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30" tabRatio="600" firstSheet="0" activeTab="2" autoFilterDateGrouping="1"/>
  </bookViews>
  <sheets>
    <sheet name="R016-02" sheetId="1" state="visible" r:id="rId1"/>
    <sheet name="SIMBOLOGIA" sheetId="2" state="visible" r:id="rId2"/>
    <sheet name="Auxiliar" sheetId="3" state="visible" r:id="rId3"/>
  </sheets>
  <definedNames>
    <definedName name="_xlnm._FilterDatabase" localSheetId="2" hidden="1">'Auxiliar'!$A$2:$X$75</definedName>
  </definedNames>
  <calcPr calcId="162913" fullCalcOnLoad="1"/>
</workbook>
</file>

<file path=xl/styles.xml><?xml version="1.0" encoding="utf-8"?>
<styleSheet xmlns="http://schemas.openxmlformats.org/spreadsheetml/2006/main">
  <numFmts count="1">
    <numFmt numFmtId="164" formatCode="dd/mm/yyyy;@"/>
  </numFmts>
  <fonts count="25">
    <font>
      <name val="Arial"/>
      <sz val="10"/>
    </font>
    <font>
      <name val="Arial"/>
      <family val="2"/>
      <sz val="8"/>
    </font>
    <font>
      <name val="Arial"/>
      <family val="2"/>
      <sz val="7"/>
    </font>
    <font>
      <name val="Arial"/>
      <family val="2"/>
      <b val="1"/>
      <sz val="12"/>
    </font>
    <font>
      <name val="Arial"/>
      <family val="2"/>
      <sz val="7"/>
    </font>
    <font>
      <name val="Arial"/>
      <family val="2"/>
      <sz val="6"/>
    </font>
    <font>
      <name val="Arial"/>
      <family val="2"/>
      <sz val="12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sz val="5"/>
    </font>
    <font>
      <name val="Arial"/>
      <family val="2"/>
      <sz val="12"/>
    </font>
    <font>
      <name val="Arial"/>
      <family val="2"/>
      <b val="1"/>
      <sz val="11"/>
    </font>
    <font>
      <name val="Arial"/>
      <family val="2"/>
      <sz val="16"/>
    </font>
    <font>
      <name val="Arial"/>
      <family val="2"/>
      <sz val="14"/>
    </font>
    <font>
      <name val="Arial"/>
      <family val="2"/>
      <b val="1"/>
      <sz val="7"/>
    </font>
    <font>
      <name val="Arial"/>
      <family val="2"/>
      <b val="1"/>
      <sz val="8"/>
    </font>
    <font>
      <name val="Arial"/>
      <family val="2"/>
      <sz val="16"/>
    </font>
    <font>
      <name val="Arial"/>
      <family val="2"/>
      <sz val="8"/>
    </font>
    <font>
      <name val="Arial"/>
      <family val="2"/>
      <b val="1"/>
      <i val="1"/>
      <sz val="11"/>
    </font>
    <font>
      <name val="Arial"/>
      <family val="2"/>
      <sz val="9"/>
    </font>
    <font>
      <name val="Arial"/>
      <family val="2"/>
      <sz val="11"/>
    </font>
    <font>
      <name val="Arial"/>
      <family val="2"/>
      <b val="1"/>
      <sz val="9"/>
    </font>
    <font>
      <name val="Arial"/>
      <family val="2"/>
      <i val="1"/>
      <sz val="9"/>
    </font>
    <font>
      <name val="Arial"/>
      <family val="2"/>
      <b val="1"/>
      <color indexed="9"/>
      <sz val="9"/>
    </font>
    <font>
      <b val="1"/>
    </font>
  </fonts>
  <fills count="10">
    <fill>
      <patternFill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5">
    <xf numFmtId="0" fontId="0" fillId="0" borderId="0" pivotButton="0" quotePrefix="0" xfId="0"/>
    <xf numFmtId="0" fontId="0" fillId="0" borderId="1" pivotButton="0" quotePrefix="0" xfId="0"/>
    <xf numFmtId="0" fontId="2" fillId="0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2" fillId="0" borderId="1" applyAlignment="1" pivotButton="0" quotePrefix="0" xfId="0">
      <alignment horizontal="center" wrapText="1"/>
    </xf>
    <xf numFmtId="0" fontId="1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wrapText="1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top"/>
    </xf>
    <xf numFmtId="0" fontId="0" fillId="0" borderId="2" applyAlignment="1" pivotButton="0" quotePrefix="0" xfId="0">
      <alignment horizontal="center" vertical="center"/>
    </xf>
    <xf numFmtId="0" fontId="10" fillId="0" borderId="3" applyAlignment="1" pivotButton="0" quotePrefix="0" xfId="0">
      <alignment horizontal="center" vertical="center"/>
    </xf>
    <xf numFmtId="0" fontId="10" fillId="0" borderId="3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0" pivotButton="0" quotePrefix="0" xfId="0"/>
    <xf numFmtId="0" fontId="0" fillId="0" borderId="4" applyAlignment="1" pivotButton="0" quotePrefix="0" xfId="0">
      <alignment horizontal="center" wrapText="1"/>
    </xf>
    <xf numFmtId="0" fontId="0" fillId="0" borderId="5" applyAlignment="1" pivotButton="0" quotePrefix="0" xfId="0">
      <alignment horizontal="center" wrapText="1"/>
    </xf>
    <xf numFmtId="0" fontId="0" fillId="0" borderId="6" applyAlignment="1" pivotButton="0" quotePrefix="0" xfId="0">
      <alignment horizontal="center" wrapText="1"/>
    </xf>
    <xf numFmtId="0" fontId="4" fillId="0" borderId="1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/>
    </xf>
    <xf numFmtId="0" fontId="2" fillId="0" borderId="8" applyAlignment="1" pivotButton="0" quotePrefix="0" xfId="0">
      <alignment horizontal="center" wrapText="1"/>
    </xf>
    <xf numFmtId="0" fontId="2" fillId="0" borderId="8" applyAlignment="1" pivotButton="0" quotePrefix="0" xfId="0">
      <alignment horizontal="center"/>
    </xf>
    <xf numFmtId="0" fontId="2" fillId="0" borderId="8" applyAlignment="1" pivotButton="0" quotePrefix="0" xfId="0">
      <alignment horizontal="center" vertical="center" wrapText="1"/>
    </xf>
    <xf numFmtId="0" fontId="0" fillId="0" borderId="8" pivotButton="0" quotePrefix="0" xfId="0"/>
    <xf numFmtId="0" fontId="4" fillId="0" borderId="8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0" borderId="7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center"/>
    </xf>
    <xf numFmtId="0" fontId="2" fillId="0" borderId="7" applyAlignment="1" pivotButton="0" quotePrefix="0" xfId="0">
      <alignment horizontal="center" wrapText="1"/>
    </xf>
    <xf numFmtId="0" fontId="2" fillId="0" borderId="7" applyAlignment="1" pivotButton="0" quotePrefix="0" xfId="0">
      <alignment horizontal="center"/>
    </xf>
    <xf numFmtId="0" fontId="2" fillId="0" borderId="7" applyAlignment="1" pivotButton="0" quotePrefix="0" xfId="0">
      <alignment horizontal="center" vertical="center" wrapText="1"/>
    </xf>
    <xf numFmtId="0" fontId="0" fillId="0" borderId="7" pivotButton="0" quotePrefix="0" xfId="0"/>
    <xf numFmtId="0" fontId="4" fillId="0" borderId="9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wrapText="1"/>
    </xf>
    <xf numFmtId="0" fontId="2" fillId="2" borderId="1" applyAlignment="1" pivotButton="0" quotePrefix="0" xfId="0">
      <alignment horizontal="center"/>
    </xf>
    <xf numFmtId="0" fontId="2" fillId="2" borderId="1" applyAlignment="1" pivotButton="0" quotePrefix="0" xfId="0">
      <alignment horizontal="center" vertical="center" wrapText="1"/>
    </xf>
    <xf numFmtId="0" fontId="0" fillId="2" borderId="1" pivotButton="0" quotePrefix="0" xfId="0"/>
    <xf numFmtId="0" fontId="17" fillId="0" borderId="0" applyAlignment="1" pivotButton="0" quotePrefix="0" xfId="0">
      <alignment vertical="center" wrapText="1" shrinkToFit="1"/>
    </xf>
    <xf numFmtId="0" fontId="10" fillId="0" borderId="7" applyAlignment="1" pivotButton="0" quotePrefix="0" xfId="0">
      <alignment vertical="center"/>
    </xf>
    <xf numFmtId="0" fontId="10" fillId="0" borderId="9" applyAlignment="1" pivotButton="0" quotePrefix="0" xfId="0">
      <alignment vertical="center"/>
    </xf>
    <xf numFmtId="0" fontId="8" fillId="0" borderId="7" applyAlignment="1" pivotButton="0" quotePrefix="0" xfId="0">
      <alignment horizontal="right"/>
    </xf>
    <xf numFmtId="0" fontId="0" fillId="0" borderId="1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8" fillId="0" borderId="0" applyAlignment="1" pivotButton="0" quotePrefix="0" xfId="0">
      <alignment horizontal="center" vertical="center"/>
    </xf>
    <xf numFmtId="1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right" vertical="center"/>
    </xf>
    <xf numFmtId="14" fontId="8" fillId="0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7" fillId="4" borderId="0" applyAlignment="1" pivotButton="0" quotePrefix="0" xfId="0">
      <alignment horizontal="right" vertical="center"/>
    </xf>
    <xf numFmtId="0" fontId="8" fillId="0" borderId="10" applyAlignment="1" pivotButton="0" quotePrefix="0" xfId="0">
      <alignment horizontal="right" vertical="center"/>
    </xf>
    <xf numFmtId="0" fontId="8" fillId="0" borderId="8" applyAlignment="1" pivotButton="0" quotePrefix="0" xfId="0">
      <alignment horizontal="right" vertical="center"/>
    </xf>
    <xf numFmtId="0" fontId="8" fillId="0" borderId="7" applyAlignment="1" pivotButton="0" quotePrefix="0" xfId="0">
      <alignment horizontal="right" vertical="center"/>
    </xf>
    <xf numFmtId="0" fontId="0" fillId="0" borderId="1" applyAlignment="1" pivotButton="0" quotePrefix="0" xfId="0">
      <alignment horizontal="right" vertical="center"/>
    </xf>
    <xf numFmtId="0" fontId="0" fillId="0" borderId="1" applyAlignment="1" pivotButton="0" quotePrefix="0" xfId="0">
      <alignment horizontal="right" vertical="center" wrapText="1"/>
    </xf>
    <xf numFmtId="0" fontId="0" fillId="0" borderId="9" applyAlignment="1" pivotButton="0" quotePrefix="0" xfId="0">
      <alignment horizontal="right" vertical="center"/>
    </xf>
    <xf numFmtId="0" fontId="7" fillId="0" borderId="1" applyAlignment="1" applyProtection="1" pivotButton="0" quotePrefix="0" xfId="0">
      <alignment horizontal="right" vertical="center"/>
      <protection locked="0" hidden="0"/>
    </xf>
    <xf numFmtId="0" fontId="0" fillId="0" borderId="0" applyAlignment="1" pivotButton="0" quotePrefix="0" xfId="0">
      <alignment horizontal="right" vertical="center"/>
    </xf>
    <xf numFmtId="0" fontId="7" fillId="0" borderId="1" applyAlignment="1" pivotButton="0" quotePrefix="0" xfId="0">
      <alignment horizontal="right" vertical="center"/>
    </xf>
    <xf numFmtId="0" fontId="15" fillId="0" borderId="0" applyAlignment="1" pivotButton="0" quotePrefix="0" xfId="0">
      <alignment horizontal="right" vertical="center"/>
    </xf>
    <xf numFmtId="0" fontId="0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left" vertical="top" wrapText="1"/>
    </xf>
    <xf numFmtId="0" fontId="7" fillId="0" borderId="1" applyAlignment="1" applyProtection="1" pivotButton="0" quotePrefix="0" xfId="0">
      <alignment horizontal="left" vertical="top" wrapText="1"/>
      <protection locked="0" hidden="0"/>
    </xf>
    <xf numFmtId="0" fontId="7" fillId="0" borderId="1" applyAlignment="1" pivotButton="0" quotePrefix="0" xfId="0">
      <alignment horizontal="left" vertical="top" wrapText="1"/>
    </xf>
    <xf numFmtId="0" fontId="7" fillId="0" borderId="0" applyAlignment="1" applyProtection="1" pivotButton="0" quotePrefix="0" xfId="0">
      <alignment horizontal="left" vertical="top" wrapText="1"/>
      <protection locked="0" hidden="0"/>
    </xf>
    <xf numFmtId="0" fontId="7" fillId="0" borderId="0" applyAlignment="1" pivotButton="0" quotePrefix="0" xfId="0">
      <alignment horizontal="left" vertical="top" wrapText="1"/>
    </xf>
    <xf numFmtId="0" fontId="7" fillId="0" borderId="0" applyAlignment="1" pivotButton="0" quotePrefix="0" xfId="0">
      <alignment vertical="center"/>
    </xf>
    <xf numFmtId="0" fontId="7" fillId="5" borderId="1" applyAlignment="1" applyProtection="1" pivotButton="0" quotePrefix="0" xfId="0">
      <alignment vertical="top" wrapText="1"/>
      <protection locked="0" hidden="0"/>
    </xf>
    <xf numFmtId="0" fontId="14" fillId="3" borderId="11" applyAlignment="1" pivotButton="0" quotePrefix="0" xfId="0">
      <alignment vertical="center" wrapText="1"/>
    </xf>
    <xf numFmtId="0" fontId="14" fillId="6" borderId="1" applyAlignment="1" pivotButton="0" quotePrefix="0" xfId="0">
      <alignment vertical="center" wrapText="1"/>
    </xf>
    <xf numFmtId="0" fontId="14" fillId="3" borderId="1" applyAlignment="1" pivotButton="0" quotePrefix="0" xfId="0">
      <alignment vertical="center"/>
    </xf>
    <xf numFmtId="0" fontId="14" fillId="6" borderId="1" applyAlignment="1" pivotButton="0" quotePrefix="0" xfId="0">
      <alignment vertical="center"/>
    </xf>
    <xf numFmtId="0" fontId="14" fillId="7" borderId="1" applyAlignment="1" pivotButton="0" quotePrefix="0" xfId="0">
      <alignment vertical="center"/>
    </xf>
    <xf numFmtId="14" fontId="0" fillId="0" borderId="0" applyAlignment="1" pivotButton="0" quotePrefix="0" xfId="0">
      <alignment horizontal="center" vertical="center"/>
    </xf>
    <xf numFmtId="0" fontId="19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19" fillId="0" borderId="15" applyAlignment="1" pivotButton="0" quotePrefix="0" xfId="0">
      <alignment horizontal="center" vertical="center" wrapText="1"/>
    </xf>
    <xf numFmtId="0" fontId="18" fillId="0" borderId="0" applyAlignment="1" pivotButton="0" quotePrefix="0" xfId="0">
      <alignment horizontal="center" vertical="center" wrapText="1"/>
    </xf>
    <xf numFmtId="0" fontId="17" fillId="0" borderId="16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right"/>
    </xf>
    <xf numFmtId="0" fontId="4" fillId="2" borderId="3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22" fillId="8" borderId="11" applyAlignment="1" pivotButton="0" quotePrefix="0" xfId="0">
      <alignment horizontal="center" vertical="center" wrapText="1"/>
    </xf>
    <xf numFmtId="0" fontId="22" fillId="8" borderId="16" applyAlignment="1" pivotButton="0" quotePrefix="0" xfId="0">
      <alignment horizontal="center" vertical="center" wrapText="1"/>
    </xf>
    <xf numFmtId="0" fontId="22" fillId="8" borderId="17" applyAlignment="1" pivotButton="0" quotePrefix="0" xfId="0">
      <alignment horizontal="center" vertical="center" wrapText="1"/>
    </xf>
    <xf numFmtId="49" fontId="13" fillId="8" borderId="18" applyAlignment="1" pivotButton="0" quotePrefix="0" xfId="0">
      <alignment horizontal="center" vertical="distributed"/>
    </xf>
    <xf numFmtId="49" fontId="13" fillId="8" borderId="19" applyAlignment="1" pivotButton="0" quotePrefix="0" xfId="0">
      <alignment horizontal="center" vertical="distributed"/>
    </xf>
    <xf numFmtId="49" fontId="13" fillId="8" borderId="20" applyAlignment="1" pivotButton="0" quotePrefix="0" xfId="0">
      <alignment horizontal="center" vertical="distributed"/>
    </xf>
    <xf numFmtId="49" fontId="13" fillId="8" borderId="15" applyAlignment="1" pivotButton="0" quotePrefix="0" xfId="0">
      <alignment horizontal="center" vertical="distributed"/>
    </xf>
    <xf numFmtId="0" fontId="23" fillId="9" borderId="21" applyAlignment="1" pivotButton="0" quotePrefix="0" xfId="0">
      <alignment horizontal="center" vertical="center" wrapText="1"/>
    </xf>
    <xf numFmtId="0" fontId="23" fillId="9" borderId="22" applyAlignment="1" pivotButton="0" quotePrefix="0" xfId="0">
      <alignment horizontal="center" vertical="center" wrapText="1"/>
    </xf>
    <xf numFmtId="0" fontId="23" fillId="9" borderId="23" applyAlignment="1" pivotButton="0" quotePrefix="0" xfId="0">
      <alignment horizontal="center" vertical="center" wrapText="1"/>
    </xf>
    <xf numFmtId="0" fontId="23" fillId="9" borderId="24" applyAlignment="1" pivotButton="0" quotePrefix="0" xfId="0">
      <alignment horizontal="center" vertical="center" wrapText="1"/>
    </xf>
    <xf numFmtId="0" fontId="0" fillId="0" borderId="5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17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4" fillId="0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center" vertical="center" wrapText="1"/>
    </xf>
    <xf numFmtId="0" fontId="4" fillId="0" borderId="9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center" vertical="center" wrapText="1"/>
    </xf>
    <xf numFmtId="0" fontId="1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/>
    </xf>
    <xf numFmtId="0" fontId="2" fillId="0" borderId="4" applyAlignment="1" pivotButton="0" quotePrefix="0" xfId="0">
      <alignment horizontal="center"/>
    </xf>
    <xf numFmtId="0" fontId="2" fillId="0" borderId="5" applyAlignment="1" pivotButton="0" quotePrefix="0" xfId="0">
      <alignment horizontal="center" vertical="center" wrapText="1"/>
    </xf>
    <xf numFmtId="0" fontId="2" fillId="0" borderId="4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10" applyAlignment="1" pivotButton="0" quotePrefix="0" xfId="0">
      <alignment horizontal="center" vertical="center" wrapText="1"/>
    </xf>
    <xf numFmtId="0" fontId="2" fillId="0" borderId="17" applyAlignment="1" pivotButton="0" quotePrefix="0" xfId="0">
      <alignment horizontal="center" wrapText="1"/>
    </xf>
    <xf numFmtId="0" fontId="2" fillId="0" borderId="25" applyAlignment="1" pivotButton="0" quotePrefix="0" xfId="0">
      <alignment horizontal="center" wrapText="1"/>
    </xf>
    <xf numFmtId="0" fontId="2" fillId="0" borderId="6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1" fillId="0" borderId="11" applyAlignment="1" pivotButton="0" quotePrefix="0" xfId="0">
      <alignment horizontal="center" vertical="center" wrapText="1"/>
    </xf>
    <xf numFmtId="0" fontId="1" fillId="0" borderId="10" applyAlignment="1" pivotButton="0" quotePrefix="0" xfId="0">
      <alignment horizontal="center" vertical="center" wrapText="1"/>
    </xf>
    <xf numFmtId="0" fontId="2" fillId="0" borderId="17" applyAlignment="1" pivotButton="0" quotePrefix="0" xfId="0">
      <alignment horizontal="center" vertical="center" wrapText="1"/>
    </xf>
    <xf numFmtId="0" fontId="2" fillId="0" borderId="25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 vertical="center" wrapText="1" shrinkToFit="1"/>
    </xf>
    <xf numFmtId="0" fontId="2" fillId="0" borderId="6" applyAlignment="1" pivotButton="0" quotePrefix="0" xfId="0">
      <alignment horizontal="center" vertical="center" wrapText="1" shrinkToFit="1"/>
    </xf>
    <xf numFmtId="0" fontId="2" fillId="0" borderId="4" applyAlignment="1" pivotButton="0" quotePrefix="0" xfId="0">
      <alignment horizontal="center" vertical="center" wrapText="1" shrinkToFit="1"/>
    </xf>
    <xf numFmtId="0" fontId="1" fillId="0" borderId="11" applyAlignment="1" pivotButton="0" quotePrefix="0" xfId="0">
      <alignment horizontal="center" vertical="center" wrapText="1"/>
    </xf>
    <xf numFmtId="0" fontId="1" fillId="0" borderId="16" applyAlignment="1" pivotButton="0" quotePrefix="0" xfId="0">
      <alignment horizontal="center" vertical="center" wrapText="1"/>
    </xf>
    <xf numFmtId="0" fontId="1" fillId="0" borderId="17" applyAlignment="1" pivotButton="0" quotePrefix="0" xfId="0">
      <alignment horizontal="center" vertical="center" wrapText="1"/>
    </xf>
    <xf numFmtId="0" fontId="1" fillId="0" borderId="10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0" borderId="25" applyAlignment="1" pivotButton="0" quotePrefix="0" xfId="0">
      <alignment horizontal="center" vertical="center" wrapText="1"/>
    </xf>
    <xf numFmtId="0" fontId="4" fillId="0" borderId="3" applyAlignment="1" pivotButton="0" quotePrefix="0" xfId="0">
      <alignment horizontal="center" vertical="center" wrapText="1"/>
    </xf>
    <xf numFmtId="0" fontId="1" fillId="0" borderId="7" applyAlignment="1" pivotButton="0" quotePrefix="0" xfId="0">
      <alignment horizontal="center" vertical="center" wrapText="1"/>
    </xf>
    <xf numFmtId="0" fontId="10" fillId="0" borderId="7" applyAlignment="1" pivotButton="0" quotePrefix="0" xfId="0">
      <alignment horizontal="center" vertical="center" wrapText="1"/>
    </xf>
    <xf numFmtId="0" fontId="10" fillId="0" borderId="9" applyAlignment="1" pivotButton="0" quotePrefix="0" xfId="0">
      <alignment horizontal="center" vertical="center" wrapText="1"/>
    </xf>
    <xf numFmtId="0" fontId="17" fillId="0" borderId="3" applyAlignment="1" pivotButton="0" quotePrefix="0" xfId="0">
      <alignment horizontal="center" vertical="center" wrapText="1"/>
    </xf>
    <xf numFmtId="0" fontId="10" fillId="0" borderId="7" applyAlignment="1" pivotButton="0" quotePrefix="0" xfId="0">
      <alignment horizontal="center" vertical="center"/>
    </xf>
    <xf numFmtId="0" fontId="4" fillId="0" borderId="3" applyAlignment="1" pivotButton="0" quotePrefix="0" xfId="0">
      <alignment horizontal="left" vertical="center" wrapText="1"/>
    </xf>
    <xf numFmtId="0" fontId="4" fillId="0" borderId="7" applyAlignment="1" pivotButton="0" quotePrefix="0" xfId="0">
      <alignment horizontal="left" vertical="center" wrapText="1"/>
    </xf>
    <xf numFmtId="0" fontId="4" fillId="0" borderId="9" applyAlignment="1" pivotButton="0" quotePrefix="0" xfId="0">
      <alignment horizontal="left" vertical="center" wrapText="1"/>
    </xf>
    <xf numFmtId="0" fontId="10" fillId="0" borderId="7" applyAlignment="1" pivotButton="0" quotePrefix="0" xfId="0">
      <alignment horizontal="left" vertical="center" wrapText="1"/>
    </xf>
    <xf numFmtId="0" fontId="10" fillId="0" borderId="9" applyAlignment="1" pivotButton="0" quotePrefix="0" xfId="0">
      <alignment horizontal="left" vertical="center" wrapText="1"/>
    </xf>
    <xf numFmtId="0" fontId="1" fillId="0" borderId="3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16" fillId="0" borderId="9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14" fontId="20" fillId="0" borderId="3" applyAlignment="1" pivotButton="0" quotePrefix="0" xfId="0">
      <alignment horizontal="center" vertical="center" wrapText="1"/>
    </xf>
    <xf numFmtId="14" fontId="20" fillId="0" borderId="7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20" fillId="0" borderId="7" applyAlignment="1" pivotButton="0" quotePrefix="0" xfId="0">
      <alignment horizontal="center" vertical="center" wrapText="1"/>
    </xf>
    <xf numFmtId="0" fontId="20" fillId="0" borderId="9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6" applyAlignment="1" pivotButton="0" quotePrefix="0" xfId="0">
      <alignment horizontal="center" vertical="center" wrapText="1"/>
    </xf>
    <xf numFmtId="0" fontId="3" fillId="0" borderId="17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26" applyAlignment="1" pivotButton="0" quotePrefix="0" xfId="0">
      <alignment horizontal="center" vertical="center" wrapText="1"/>
    </xf>
    <xf numFmtId="0" fontId="3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 wrapText="1"/>
    </xf>
    <xf numFmtId="0" fontId="3" fillId="0" borderId="25" applyAlignment="1" pivotButton="0" quotePrefix="0" xfId="0">
      <alignment horizontal="center" vertical="center" wrapText="1"/>
    </xf>
    <xf numFmtId="0" fontId="21" fillId="0" borderId="11" applyAlignment="1" pivotButton="0" quotePrefix="0" xfId="0">
      <alignment horizontal="center" wrapText="1"/>
    </xf>
    <xf numFmtId="0" fontId="7" fillId="0" borderId="16" applyAlignment="1" pivotButton="0" quotePrefix="0" xfId="0">
      <alignment horizontal="center" wrapText="1"/>
    </xf>
    <xf numFmtId="0" fontId="7" fillId="0" borderId="17" applyAlignment="1" pivotButton="0" quotePrefix="0" xfId="0">
      <alignment horizontal="center" wrapText="1"/>
    </xf>
    <xf numFmtId="0" fontId="7" fillId="0" borderId="2" applyAlignment="1" pivotButton="0" quotePrefix="0" xfId="0">
      <alignment horizontal="center" wrapText="1"/>
    </xf>
    <xf numFmtId="0" fontId="7" fillId="0" borderId="0" applyAlignment="1" pivotButton="0" quotePrefix="0" xfId="0">
      <alignment horizontal="center" wrapText="1"/>
    </xf>
    <xf numFmtId="0" fontId="7" fillId="0" borderId="26" applyAlignment="1" pivotButton="0" quotePrefix="0" xfId="0">
      <alignment horizont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 wrapText="1"/>
    </xf>
    <xf numFmtId="0" fontId="7" fillId="0" borderId="10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25" applyAlignment="1" pivotButton="0" quotePrefix="0" xfId="0">
      <alignment horizontal="center" vertical="center" wrapText="1"/>
    </xf>
    <xf numFmtId="164" fontId="11" fillId="0" borderId="11" applyAlignment="1" pivotButton="0" quotePrefix="0" xfId="0">
      <alignment horizontal="center" vertical="center" wrapText="1"/>
    </xf>
    <xf numFmtId="164" fontId="11" fillId="0" borderId="16" applyAlignment="1" pivotButton="0" quotePrefix="0" xfId="0">
      <alignment horizontal="center" vertical="center" wrapText="1"/>
    </xf>
    <xf numFmtId="164" fontId="11" fillId="0" borderId="10" applyAlignment="1" pivotButton="0" quotePrefix="0" xfId="0">
      <alignment horizontal="center" vertical="center" wrapText="1"/>
    </xf>
    <xf numFmtId="164" fontId="11" fillId="0" borderId="8" applyAlignment="1" pivotButton="0" quotePrefix="0" xfId="0">
      <alignment horizontal="center" vertical="center" wrapText="1"/>
    </xf>
    <xf numFmtId="0" fontId="11" fillId="0" borderId="16" applyAlignment="1" pivotButton="0" quotePrefix="0" xfId="0">
      <alignment horizontal="center" vertical="center" wrapText="1"/>
    </xf>
    <xf numFmtId="0" fontId="11" fillId="0" borderId="8" applyAlignment="1" pivotButton="0" quotePrefix="0" xfId="0">
      <alignment horizontal="center" vertical="center" wrapText="1"/>
    </xf>
    <xf numFmtId="1" fontId="11" fillId="0" borderId="17" applyAlignment="1" pivotButton="0" quotePrefix="0" xfId="0">
      <alignment horizontal="center" vertical="center" wrapText="1"/>
    </xf>
    <xf numFmtId="1" fontId="11" fillId="0" borderId="25" applyAlignment="1" pivotButton="0" quotePrefix="0" xfId="0">
      <alignment horizontal="center" vertical="center" wrapText="1"/>
    </xf>
    <xf numFmtId="0" fontId="11" fillId="0" borderId="11" applyAlignment="1" pivotButton="0" quotePrefix="0" xfId="0">
      <alignment horizontal="center" vertical="center" wrapText="1"/>
    </xf>
    <xf numFmtId="0" fontId="11" fillId="0" borderId="17" applyAlignment="1" pivotButton="0" quotePrefix="0" xfId="0">
      <alignment horizontal="center" vertical="center" wrapText="1"/>
    </xf>
    <xf numFmtId="0" fontId="11" fillId="0" borderId="10" applyAlignment="1" pivotButton="0" quotePrefix="0" xfId="0">
      <alignment horizontal="center" vertical="center" wrapText="1"/>
    </xf>
    <xf numFmtId="0" fontId="11" fillId="0" borderId="25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top" wrapText="1"/>
    </xf>
    <xf numFmtId="0" fontId="13" fillId="8" borderId="11" applyAlignment="1" pivotButton="0" quotePrefix="0" xfId="0">
      <alignment horizontal="center"/>
    </xf>
    <xf numFmtId="0" fontId="13" fillId="8" borderId="16" applyAlignment="1" pivotButton="0" quotePrefix="0" xfId="0">
      <alignment horizontal="center"/>
    </xf>
    <xf numFmtId="0" fontId="13" fillId="8" borderId="17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12" fillId="0" borderId="11" applyAlignment="1" pivotButton="0" quotePrefix="0" xfId="0">
      <alignment horizontal="center" vertical="center" wrapText="1"/>
    </xf>
    <xf numFmtId="0" fontId="12" fillId="0" borderId="16" applyAlignment="1" pivotButton="0" quotePrefix="0" xfId="0">
      <alignment horizontal="center" vertical="center" wrapText="1"/>
    </xf>
    <xf numFmtId="0" fontId="12" fillId="0" borderId="17" applyAlignment="1" pivotButton="0" quotePrefix="0" xfId="0">
      <alignment horizontal="center" vertical="center" wrapText="1"/>
    </xf>
    <xf numFmtId="0" fontId="12" fillId="0" borderId="2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12" fillId="0" borderId="26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0" fontId="12" fillId="0" borderId="8" applyAlignment="1" pivotButton="0" quotePrefix="0" xfId="0">
      <alignment horizontal="center" vertical="center" wrapText="1"/>
    </xf>
    <xf numFmtId="0" fontId="12" fillId="0" borderId="25" applyAlignment="1" pivotButton="0" quotePrefix="0" xfId="0">
      <alignment horizontal="center" vertical="center" wrapText="1"/>
    </xf>
    <xf numFmtId="0" fontId="10" fillId="0" borderId="7" applyAlignment="1" pivotButton="0" quotePrefix="0" xfId="0">
      <alignment horizontal="left" vertical="center"/>
    </xf>
    <xf numFmtId="0" fontId="10" fillId="0" borderId="9" applyAlignment="1" pivotButton="0" quotePrefix="0" xfId="0">
      <alignment horizontal="left" vertical="center"/>
    </xf>
    <xf numFmtId="0" fontId="0" fillId="0" borderId="7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8" borderId="3" applyAlignment="1" pivotButton="0" quotePrefix="0" xfId="0">
      <alignment horizontal="center"/>
    </xf>
    <xf numFmtId="0" fontId="0" fillId="8" borderId="7" applyAlignment="1" pivotButton="0" quotePrefix="0" xfId="0">
      <alignment horizontal="center"/>
    </xf>
    <xf numFmtId="0" fontId="0" fillId="8" borderId="9" applyAlignment="1" pivotButton="0" quotePrefix="0" xfId="0">
      <alignment horizontal="center"/>
    </xf>
    <xf numFmtId="0" fontId="0" fillId="0" borderId="7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0" fillId="0" borderId="17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26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25" applyAlignment="1" pivotButton="0" quotePrefix="0" xfId="0">
      <alignment horizontal="center"/>
    </xf>
    <xf numFmtId="0" fontId="3" fillId="3" borderId="0" applyAlignment="1" pivotButton="0" quotePrefix="0" xfId="0">
      <alignment horizontal="center"/>
    </xf>
    <xf numFmtId="0" fontId="3" fillId="6" borderId="0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21" fillId="0" borderId="5" applyAlignment="1" pivotButton="0" quotePrefix="0" xfId="0">
      <alignment horizontal="center" wrapText="1"/>
    </xf>
    <xf numFmtId="0" fontId="0" fillId="0" borderId="26" pivotButton="0" quotePrefix="0" xfId="0"/>
    <xf numFmtId="0" fontId="7" fillId="0" borderId="4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25" pivotButton="0" quotePrefix="0" xfId="0"/>
    <xf numFmtId="164" fontId="11" fillId="0" borderId="3" applyAlignment="1" pivotButton="0" quotePrefix="0" xfId="0">
      <alignment horizontal="center" vertical="center" wrapText="1"/>
    </xf>
    <xf numFmtId="0" fontId="11" fillId="0" borderId="7" applyAlignment="1" pivotButton="0" quotePrefix="0" xfId="0">
      <alignment horizontal="center" vertical="center" wrapText="1"/>
    </xf>
    <xf numFmtId="1" fontId="11" fillId="0" borderId="9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center" vertical="center" wrapText="1"/>
    </xf>
    <xf numFmtId="0" fontId="0" fillId="0" borderId="9" pivotButton="0" quotePrefix="0" xfId="0"/>
    <xf numFmtId="0" fontId="4" fillId="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horizontal="center" vertical="center" wrapText="1" shrinkToFit="1"/>
    </xf>
    <xf numFmtId="0" fontId="1" fillId="0" borderId="1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4" pivotButton="0" quotePrefix="0" xfId="0"/>
    <xf numFmtId="0" fontId="2" fillId="0" borderId="9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wrapText="1"/>
    </xf>
    <xf numFmtId="0" fontId="0" fillId="0" borderId="1" applyAlignment="1" pivotButton="0" quotePrefix="0" xfId="0">
      <alignment horizontal="center"/>
    </xf>
    <xf numFmtId="0" fontId="5" fillId="0" borderId="3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22" fillId="8" borderId="5" applyAlignment="1" pivotButton="0" quotePrefix="0" xfId="0">
      <alignment horizontal="center" vertical="center" wrapText="1"/>
    </xf>
    <xf numFmtId="49" fontId="13" fillId="8" borderId="31" applyAlignment="1" pivotButton="0" quotePrefix="0" xfId="0">
      <alignment horizontal="center" vertical="distributed"/>
    </xf>
    <xf numFmtId="0" fontId="0" fillId="0" borderId="19" pivotButton="0" quotePrefix="0" xfId="0"/>
    <xf numFmtId="0" fontId="0" fillId="0" borderId="22" pivotButton="0" quotePrefix="0" xfId="0"/>
    <xf numFmtId="0" fontId="23" fillId="9" borderId="28" applyAlignment="1" pivotButton="0" quotePrefix="0" xfId="0">
      <alignment horizontal="center" vertical="center" wrapText="1"/>
    </xf>
    <xf numFmtId="0" fontId="0" fillId="0" borderId="21" pivotButton="0" quotePrefix="0" xfId="0"/>
    <xf numFmtId="0" fontId="23" fillId="9" borderId="35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0" pivotButton="0" quotePrefix="0" xfId="0"/>
    <xf numFmtId="0" fontId="0" fillId="0" borderId="15" pivotButton="0" quotePrefix="0" xfId="0"/>
    <xf numFmtId="0" fontId="0" fillId="0" borderId="14" pivotButton="0" quotePrefix="0" xfId="0"/>
    <xf numFmtId="0" fontId="19" fillId="0" borderId="27" applyAlignment="1" pivotButton="0" quotePrefix="0" xfId="0">
      <alignment horizontal="center" vertical="center" wrapText="1"/>
    </xf>
    <xf numFmtId="0" fontId="0" fillId="0" borderId="13" pivotButton="0" quotePrefix="0" xfId="0"/>
    <xf numFmtId="0" fontId="19" fillId="0" borderId="34" applyAlignment="1" pivotButton="0" quotePrefix="0" xfId="0">
      <alignment horizontal="center" vertical="center" wrapText="1"/>
    </xf>
    <xf numFmtId="0" fontId="0" fillId="8" borderId="1" applyAlignment="1" pivotButton="0" quotePrefix="0" xfId="0">
      <alignment horizontal="center"/>
    </xf>
    <xf numFmtId="0" fontId="12" fillId="0" borderId="1" applyAlignment="1" pivotButton="0" quotePrefix="0" xfId="0">
      <alignment horizontal="center" vertical="center" wrapText="1"/>
    </xf>
    <xf numFmtId="0" fontId="13" fillId="8" borderId="5" applyAlignment="1" pivotButton="0" quotePrefix="0" xfId="0">
      <alignment horizontal="center"/>
    </xf>
    <xf numFmtId="0" fontId="24" fillId="0" borderId="0" pivotButton="0" quotePrefix="0" xfId="0"/>
    <xf numFmtId="0" fontId="24" fillId="0" borderId="1" applyAlignment="1" pivotButton="0" quotePrefix="0" xfId="0">
      <alignment horizontal="left" vertical="top" wrapText="1"/>
    </xf>
    <xf numFmtId="0" fontId="7" fillId="0" borderId="1" applyAlignment="1" pivotButton="0" quotePrefix="0" xfId="0">
      <alignment horizontal="center"/>
    </xf>
    <xf numFmtId="14" fontId="8" fillId="0" borderId="1" applyAlignment="1" pivotButton="0" quotePrefix="0" xfId="0">
      <alignment horizontal="center"/>
    </xf>
    <xf numFmtId="0" fontId="8" fillId="0" borderId="1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trlProps/ctrlProp1.xml><?xml version="1.0" encoding="utf-8"?>
<formControlPr xmlns="http://schemas.microsoft.com/office/spreadsheetml/2009/9/main" objectType="Drop" dropStyle="combo" dx="22" fmlaLink="Auxiliar!$B$1:$B$499" fmlaRange="Auxiliar!$B$3:$B$499" sel="60" val="59"/>
</file>

<file path=xl/ctrlProps/ctrlProp2.xml><?xml version="1.0" encoding="utf-8"?>
<formControlPr xmlns="http://schemas.microsoft.com/office/spreadsheetml/2009/9/main" objectType="Drop" dropStyle="combo" dx="22" fmlaLink="Auxiliar!$B$1:$B$499" fmlaRange="Auxiliar!$B$3:$B$499" sel="60" val="38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/Relationships>
</file>

<file path=xl/drawings/_rels/drawing2.xml.rels><Relationships xmlns="http://schemas.openxmlformats.org/package/2006/relationships"><Relationship Type="http://schemas.openxmlformats.org/officeDocument/2006/relationships/image" Target="/xl/media/image5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19050</colOff>
      <row>0</row>
      <rowOff>142875</rowOff>
    </from>
    <to>
      <col>2</col>
      <colOff>504825</colOff>
      <row>5</row>
      <rowOff>19050</rowOff>
    </to>
    <pic>
      <nvPicPr>
        <cNvPr id="1790" name="Picture 15" descr="SOLID"/>
        <cNvPicPr>
          <a:picLocks noChangeAspect="1" noChangeArrowheads="1"/>
        </cNvPicPr>
      </nvPicPr>
      <blipFill>
        <a:blip r:embed="rId1"/>
        <a:srcRect/>
        <a:stretch>
          <a:fillRect/>
        </a:stretch>
      </blipFill>
      <spPr bwMode="auto">
        <a:xfrm>
          <a:off x="19050" y="142875"/>
          <a:ext cx="1743075" cy="68580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 editAs="oneCell">
    <from>
      <col>15</col>
      <colOff>38100</colOff>
      <row>15</row>
      <rowOff>0</rowOff>
    </from>
    <to>
      <col>15</col>
      <colOff>723900</colOff>
      <row>24</row>
      <rowOff>95250</rowOff>
    </to>
    <pic>
      <nvPicPr>
        <cNvPr id="1791" name="Picture 34"/>
        <cNvPicPr>
          <a:picLocks noChangeAspect="1" noChangeArrowheads="1"/>
        </cNvPicPr>
      </nvPicPr>
      <blipFill>
        <a:blip r:embed="rId2"/>
        <a:srcRect/>
        <a:stretch>
          <a:fillRect/>
        </a:stretch>
      </blipFill>
      <spPr bwMode="auto">
        <a:xfrm>
          <a:off x="6629400" y="2971800"/>
          <a:ext cx="685800" cy="152400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 editAs="oneCell">
    <from>
      <col>16</col>
      <colOff>19050</colOff>
      <row>0</row>
      <rowOff>142875</rowOff>
    </from>
    <to>
      <col>18</col>
      <colOff>495300</colOff>
      <row>4</row>
      <rowOff>152400</rowOff>
    </to>
    <pic>
      <nvPicPr>
        <cNvPr id="1794" name="Picture 15" descr="SOLID"/>
        <cNvPicPr>
          <a:picLocks noChangeAspect="1" noChangeArrowheads="1"/>
        </cNvPicPr>
      </nvPicPr>
      <blipFill>
        <a:blip r:embed="rId3"/>
        <a:srcRect/>
        <a:stretch>
          <a:fillRect/>
        </a:stretch>
      </blipFill>
      <spPr bwMode="auto">
        <a:xfrm>
          <a:off x="7372350" y="142875"/>
          <a:ext cx="1733550" cy="657225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 editAs="oneCell">
    <from>
      <col>31</col>
      <colOff>38100</colOff>
      <row>15</row>
      <rowOff>0</rowOff>
    </from>
    <to>
      <col>31</col>
      <colOff>723900</colOff>
      <row>24</row>
      <rowOff>152400</rowOff>
    </to>
    <pic>
      <nvPicPr>
        <cNvPr id="1795" name="Picture 34"/>
        <cNvPicPr>
          <a:picLocks noChangeAspect="1" noChangeArrowheads="1"/>
        </cNvPicPr>
      </nvPicPr>
      <blipFill>
        <a:blip r:embed="rId4"/>
        <a:srcRect/>
        <a:stretch>
          <a:fillRect/>
        </a:stretch>
      </blipFill>
      <spPr bwMode="auto">
        <a:xfrm>
          <a:off x="13982700" y="2971800"/>
          <a:ext cx="685800" cy="158115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95250</colOff>
      <row>2</row>
      <rowOff>9525</rowOff>
    </from>
    <to>
      <col>2</col>
      <colOff>342900</colOff>
      <row>4</row>
      <rowOff>142875</rowOff>
    </to>
    <pic>
      <nvPicPr>
        <cNvPr id="2179" name="Picture 1" descr="SOLID"/>
        <cNvPicPr>
          <a:picLocks noChangeAspect="1" noChangeArrowheads="1"/>
        </cNvPicPr>
      </nvPicPr>
      <blipFill>
        <a:blip r:embed="rId1"/>
        <a:srcRect/>
        <a:stretch>
          <a:fillRect/>
        </a:stretch>
      </blipFill>
      <spPr bwMode="auto">
        <a:xfrm>
          <a:off x="95250" y="333375"/>
          <a:ext cx="1647825" cy="4572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F46"/>
  <sheetViews>
    <sheetView showGridLines="0" zoomScale="120" zoomScaleNormal="120" workbookViewId="0">
      <selection activeCell="P12" sqref="P12"/>
    </sheetView>
  </sheetViews>
  <sheetFormatPr baseColWidth="10" defaultRowHeight="12.75"/>
  <cols>
    <col width="10.42578125" customWidth="1" style="5" min="1" max="1"/>
    <col width="8.42578125" customWidth="1" style="5" min="2" max="2"/>
    <col width="9.7109375" customWidth="1" style="5" min="3" max="3"/>
    <col width="5.7109375" customWidth="1" style="5" min="4" max="7"/>
    <col width="10.5703125" customWidth="1" style="5" min="8" max="8"/>
    <col width="5.7109375" customWidth="1" style="5" min="9" max="13"/>
    <col width="4.140625" customWidth="1" style="5" min="14" max="15"/>
    <col width="10.42578125" customWidth="1" style="5" min="17" max="17"/>
    <col width="8.42578125" customWidth="1" style="5" min="18" max="18"/>
    <col width="9.7109375" customWidth="1" style="5" min="19" max="19"/>
    <col width="5.7109375" customWidth="1" style="5" min="20" max="23"/>
    <col width="10.5703125" customWidth="1" style="5" min="24" max="24"/>
    <col width="5.7109375" customWidth="1" style="5" min="25" max="29"/>
    <col width="4.140625" customWidth="1" style="5" min="30" max="31"/>
  </cols>
  <sheetData>
    <row r="1" ht="12.75" customHeight="1" s="5">
      <c r="A1" s="111" t="inlineStr">
        <is>
          <t>                                        </t>
        </is>
      </c>
      <c r="B1" s="230" t="n"/>
      <c r="C1" s="231" t="n"/>
      <c r="D1" s="232" t="inlineStr">
        <is>
          <t xml:space="preserve">REGISTRO DE INSPECCION DE PRODUCTO - ROD. DE RODILLOS </t>
        </is>
      </c>
      <c r="E1" s="230" t="n"/>
      <c r="F1" s="230" t="n"/>
      <c r="G1" s="230" t="n"/>
      <c r="H1" s="230" t="n"/>
      <c r="I1" s="230" t="n"/>
      <c r="J1" s="230" t="n"/>
      <c r="K1" s="230" t="n"/>
      <c r="L1" s="230" t="n"/>
      <c r="M1" s="230" t="n"/>
      <c r="N1" s="230" t="n"/>
      <c r="O1" s="231" t="n"/>
      <c r="Q1" s="111" t="inlineStr">
        <is>
          <t>                                        </t>
        </is>
      </c>
      <c r="R1" s="230" t="n"/>
      <c r="S1" s="231" t="n"/>
      <c r="T1" s="232" t="inlineStr">
        <is>
          <t xml:space="preserve">REGISTRO DE INSPECCION DE PRODUCTO - ROD. DE RODILLOS </t>
        </is>
      </c>
      <c r="U1" s="230" t="n"/>
      <c r="V1" s="230" t="n"/>
      <c r="W1" s="230" t="n"/>
      <c r="X1" s="230" t="n"/>
      <c r="Y1" s="230" t="n"/>
      <c r="Z1" s="230" t="n"/>
      <c r="AA1" s="230" t="n"/>
      <c r="AB1" s="230" t="n"/>
      <c r="AC1" s="230" t="n"/>
      <c r="AD1" s="230" t="n"/>
      <c r="AE1" s="231" t="n"/>
    </row>
    <row r="2" ht="12.75" customHeight="1" s="5">
      <c r="A2" s="107" t="n"/>
      <c r="C2" s="233" t="n"/>
      <c r="D2" s="107" t="n"/>
      <c r="O2" s="233" t="n"/>
      <c r="Q2" s="107" t="n"/>
      <c r="S2" s="233" t="n"/>
      <c r="T2" s="107" t="n"/>
      <c r="AE2" s="233" t="n"/>
    </row>
    <row r="3" ht="12.75" customHeight="1" s="5">
      <c r="A3" s="107" t="n"/>
      <c r="C3" s="233" t="n"/>
      <c r="D3" s="234" t="inlineStr">
        <is>
          <t xml:space="preserve"> ROLLER BEARINGS INSPECTION RECORD</t>
        </is>
      </c>
      <c r="O3" s="233" t="n"/>
      <c r="Q3" s="107" t="n"/>
      <c r="S3" s="233" t="n"/>
      <c r="T3" s="234" t="inlineStr">
        <is>
          <t xml:space="preserve"> ROLLER BEARINGS INSPECTION RECORD</t>
        </is>
      </c>
      <c r="AE3" s="233" t="n"/>
    </row>
    <row r="4" ht="12.75" customHeight="1" s="5">
      <c r="A4" s="107" t="n"/>
      <c r="C4" s="233" t="n"/>
      <c r="D4" s="235" t="n"/>
      <c r="E4" s="27" t="n"/>
      <c r="F4" s="27" t="n"/>
      <c r="G4" s="27" t="n"/>
      <c r="H4" s="27" t="n"/>
      <c r="I4" s="27" t="n"/>
      <c r="J4" s="27" t="n"/>
      <c r="K4" s="27" t="n"/>
      <c r="L4" s="27" t="n"/>
      <c r="M4" s="27" t="n"/>
      <c r="N4" s="27" t="n"/>
      <c r="O4" s="236" t="n"/>
      <c r="Q4" s="107" t="n"/>
      <c r="S4" s="233" t="n"/>
      <c r="T4" s="235" t="n"/>
      <c r="U4" s="27" t="n"/>
      <c r="V4" s="27" t="n"/>
      <c r="W4" s="27" t="n"/>
      <c r="X4" s="27" t="n"/>
      <c r="Y4" s="27" t="n"/>
      <c r="Z4" s="27" t="n"/>
      <c r="AA4" s="27" t="n"/>
      <c r="AB4" s="27" t="n"/>
      <c r="AC4" s="27" t="n"/>
      <c r="AD4" s="27" t="n"/>
      <c r="AE4" s="236" t="n"/>
    </row>
    <row r="5" ht="12.75" customHeight="1" s="5">
      <c r="A5" s="107" t="n"/>
      <c r="C5" s="233" t="n"/>
      <c r="D5" s="111" t="inlineStr">
        <is>
          <t>R016 - 01</t>
        </is>
      </c>
      <c r="E5" s="230" t="n"/>
      <c r="F5" s="230" t="n"/>
      <c r="G5" s="231" t="n"/>
      <c r="H5" s="237" t="n">
        <v>42611</v>
      </c>
      <c r="I5" s="230" t="n"/>
      <c r="J5" s="238" t="inlineStr">
        <is>
          <t>REV.</t>
        </is>
      </c>
      <c r="K5" s="239" t="n">
        <v>9</v>
      </c>
      <c r="L5" s="240" t="inlineStr">
        <is>
          <t>PAG. 01 - 01</t>
        </is>
      </c>
      <c r="M5" s="230" t="n"/>
      <c r="N5" s="230" t="n"/>
      <c r="O5" s="231" t="n"/>
      <c r="Q5" s="107" t="n"/>
      <c r="S5" s="233" t="n"/>
      <c r="T5" s="111" t="inlineStr">
        <is>
          <t>R016 - 01</t>
        </is>
      </c>
      <c r="U5" s="230" t="n"/>
      <c r="V5" s="230" t="n"/>
      <c r="W5" s="231" t="n"/>
      <c r="X5" s="237" t="n">
        <v>42611</v>
      </c>
      <c r="Y5" s="230" t="n"/>
      <c r="Z5" s="238" t="inlineStr">
        <is>
          <t>REV.</t>
        </is>
      </c>
      <c r="AA5" s="239" t="n">
        <v>9</v>
      </c>
      <c r="AB5" s="240" t="inlineStr">
        <is>
          <t>PAG. 01 - 01</t>
        </is>
      </c>
      <c r="AC5" s="230" t="n"/>
      <c r="AD5" s="230" t="n"/>
      <c r="AE5" s="231" t="n"/>
    </row>
    <row r="6" ht="12.75" customHeight="1" s="5">
      <c r="A6" s="235" t="n"/>
      <c r="B6" s="27" t="n"/>
      <c r="C6" s="236" t="n"/>
      <c r="D6" s="235" t="n"/>
      <c r="E6" s="27" t="n"/>
      <c r="F6" s="27" t="n"/>
      <c r="G6" s="236" t="n"/>
      <c r="H6" s="235" t="n"/>
      <c r="I6" s="27" t="n"/>
      <c r="J6" s="27" t="n"/>
      <c r="K6" s="236" t="n"/>
      <c r="L6" s="235" t="n"/>
      <c r="M6" s="27" t="n"/>
      <c r="N6" s="27" t="n"/>
      <c r="O6" s="236" t="n"/>
      <c r="Q6" s="235" t="n"/>
      <c r="R6" s="27" t="n"/>
      <c r="S6" s="236" t="n"/>
      <c r="T6" s="235" t="n"/>
      <c r="U6" s="27" t="n"/>
      <c r="V6" s="27" t="n"/>
      <c r="W6" s="236" t="n"/>
      <c r="X6" s="235" t="n"/>
      <c r="Y6" s="27" t="n"/>
      <c r="Z6" s="27" t="n"/>
      <c r="AA6" s="236" t="n"/>
      <c r="AB6" s="235" t="n"/>
      <c r="AC6" s="27" t="n"/>
      <c r="AD6" s="27" t="n"/>
      <c r="AE6" s="236" t="n"/>
    </row>
    <row r="7" ht="24.95" customHeight="1" s="5">
      <c r="A7" s="151" t="inlineStr">
        <is>
          <t>UBIC. EN DEPOSITO / LOCATION IN DEPOSITS:</t>
        </is>
      </c>
      <c r="B7" s="35" t="n"/>
      <c r="C7" s="153" t="n"/>
      <c r="D7" s="35" t="n"/>
      <c r="E7" s="35" t="n"/>
      <c r="F7" s="35" t="n"/>
      <c r="G7" s="241" t="n"/>
      <c r="H7" s="151" t="inlineStr">
        <is>
          <t>PRODUCTO / PRODUCT:</t>
        </is>
      </c>
      <c r="I7" s="35" t="n"/>
      <c r="J7" s="35" t="n"/>
      <c r="K7" s="155" t="n"/>
      <c r="L7" s="35" t="n"/>
      <c r="M7" s="35" t="n"/>
      <c r="N7" s="35" t="n"/>
      <c r="O7" s="241" t="n"/>
      <c r="Q7" s="151" t="inlineStr">
        <is>
          <t>UBIC. EN DEPOSITO / LOCATION IN DEPOSITS:</t>
        </is>
      </c>
      <c r="R7" s="35" t="n"/>
      <c r="S7" s="153" t="n"/>
      <c r="T7" s="35" t="n"/>
      <c r="U7" s="35" t="n"/>
      <c r="V7" s="35" t="n"/>
      <c r="W7" s="241" t="n"/>
      <c r="X7" s="151" t="inlineStr">
        <is>
          <t>PRODUCTO / PRODUCT:</t>
        </is>
      </c>
      <c r="Y7" s="35" t="n"/>
      <c r="Z7" s="35" t="n"/>
      <c r="AA7" s="155" t="n"/>
      <c r="AB7" s="35" t="n"/>
      <c r="AC7" s="35" t="n"/>
      <c r="AD7" s="35" t="n"/>
      <c r="AE7" s="241" t="n"/>
    </row>
    <row r="8" ht="24.95" customHeight="1" s="5">
      <c r="A8" s="151" t="inlineStr">
        <is>
          <t>PROVEEDOR / SUPPLIER:</t>
        </is>
      </c>
      <c r="B8" s="35" t="n"/>
      <c r="C8" s="156" t="n"/>
      <c r="D8" s="35" t="n"/>
      <c r="E8" s="35" t="n"/>
      <c r="F8" s="35" t="n"/>
      <c r="G8" s="241" t="n"/>
      <c r="H8" s="157">
        <f>VLOOKUP(Auxiliar!B1,Auxiliar!A3:AM5799,23,FALSE)</f>
        <v/>
      </c>
      <c r="I8" s="35" t="n"/>
      <c r="J8" s="35" t="n"/>
      <c r="K8" s="159" t="inlineStr">
        <is>
          <t>REV.
PRINT</t>
        </is>
      </c>
      <c r="L8" s="35" t="n"/>
      <c r="M8" s="35" t="n"/>
      <c r="N8" s="161">
        <f>VLOOKUP(Auxiliar!B1,Auxiliar!A3:AM5799,24,FALSE)</f>
        <v/>
      </c>
      <c r="O8" s="241" t="n"/>
      <c r="P8" s="223" t="n"/>
      <c r="Q8" s="151" t="inlineStr">
        <is>
          <t>PROVEEDOR / SUPPLIER:</t>
        </is>
      </c>
      <c r="R8" s="35" t="n"/>
      <c r="S8" s="156" t="n"/>
      <c r="T8" s="35" t="n"/>
      <c r="U8" s="35" t="n"/>
      <c r="V8" s="35" t="n"/>
      <c r="W8" s="241" t="n"/>
      <c r="X8" s="157">
        <f>VLOOKUP(Auxiliar!B1,Auxiliar!A3:AM5799,23,FALSE)</f>
        <v/>
      </c>
      <c r="Y8" s="35" t="n"/>
      <c r="Z8" s="35" t="n"/>
      <c r="AA8" s="159" t="inlineStr">
        <is>
          <t>REV.
PRINT</t>
        </is>
      </c>
      <c r="AB8" s="35" t="n"/>
      <c r="AC8" s="35" t="n"/>
      <c r="AD8" s="161">
        <f>VLOOKUP(Auxiliar!B1,Auxiliar!A3:AM5799,24,FALSE)</f>
        <v/>
      </c>
      <c r="AE8" s="241" t="n"/>
      <c r="AF8" s="223" t="n"/>
    </row>
    <row r="9" ht="24.95" customHeight="1" s="5">
      <c r="A9" s="140" t="inlineStr">
        <is>
          <t xml:space="preserve">LUGAR DE INSPEC. /    NAME OF INSPECTION FACILITY: </t>
        </is>
      </c>
      <c r="B9" s="35" t="n"/>
      <c r="C9" s="143" t="inlineStr">
        <is>
          <t>LABORATORIO BPB</t>
        </is>
      </c>
      <c r="D9" s="35" t="n"/>
      <c r="E9" s="35" t="n"/>
      <c r="F9" s="35" t="n"/>
      <c r="G9" s="241" t="n"/>
      <c r="H9" s="140" t="inlineStr">
        <is>
          <t>CRITERIO DE MUESTRA / SAMPLE DISCRETION:</t>
        </is>
      </c>
      <c r="I9" s="35" t="n"/>
      <c r="J9" s="35" t="n"/>
      <c r="K9" s="42" t="n"/>
      <c r="L9" s="42" t="n"/>
      <c r="M9" s="144" t="inlineStr">
        <is>
          <t>Prod.Armado 
           Partes</t>
        </is>
      </c>
      <c r="N9" s="35" t="n"/>
      <c r="O9" s="43" t="n"/>
      <c r="Q9" s="140" t="inlineStr">
        <is>
          <t xml:space="preserve">LUGAR DE INSPEC. /    NAME OF INSPECTION FACILITY: </t>
        </is>
      </c>
      <c r="R9" s="35" t="n"/>
      <c r="S9" s="143" t="inlineStr">
        <is>
          <t>LABORATORIO BPB</t>
        </is>
      </c>
      <c r="T9" s="35" t="n"/>
      <c r="U9" s="35" t="n"/>
      <c r="V9" s="35" t="n"/>
      <c r="W9" s="241" t="n"/>
      <c r="X9" s="140" t="inlineStr">
        <is>
          <t>CRITERIO DE MUESTRA / SAMPLE DISCRETION:</t>
        </is>
      </c>
      <c r="Y9" s="35" t="n"/>
      <c r="Z9" s="35" t="n"/>
      <c r="AA9" s="42" t="n"/>
      <c r="AB9" s="42" t="n"/>
      <c r="AC9" s="144" t="inlineStr">
        <is>
          <t>Prod.Armado 
           Partes</t>
        </is>
      </c>
      <c r="AD9" s="35" t="n"/>
      <c r="AE9" s="43" t="n"/>
    </row>
    <row r="10" ht="24.95" customHeight="1" s="5">
      <c r="A10" s="242" t="inlineStr">
        <is>
          <t xml:space="preserve">      DOC. DE REF.
        (PO#/PI#):</t>
        </is>
      </c>
      <c r="B10" s="35" t="n"/>
      <c r="C10" s="35" t="n"/>
      <c r="D10" s="35" t="n"/>
      <c r="E10" s="35" t="n"/>
      <c r="F10" s="35" t="n"/>
      <c r="G10" s="241" t="n"/>
      <c r="H10" s="242" t="inlineStr">
        <is>
          <t xml:space="preserve">   PARTIDA/
     BATCH:</t>
        </is>
      </c>
      <c r="I10" s="35" t="n"/>
      <c r="J10" s="35" t="n"/>
      <c r="K10" s="35" t="n"/>
      <c r="L10" s="35" t="n"/>
      <c r="M10" s="35" t="n"/>
      <c r="N10" s="35" t="n"/>
      <c r="O10" s="241" t="n"/>
      <c r="Q10" s="242" t="inlineStr">
        <is>
          <t xml:space="preserve">      DOC. DE REF.
        (PO#/PI#):</t>
        </is>
      </c>
      <c r="R10" s="35" t="n"/>
      <c r="S10" s="35" t="n"/>
      <c r="T10" s="35" t="n"/>
      <c r="U10" s="35" t="n"/>
      <c r="V10" s="35" t="n"/>
      <c r="W10" s="241" t="n"/>
      <c r="X10" s="242" t="inlineStr">
        <is>
          <t xml:space="preserve">   PARTIDA/
     BATCH:</t>
        </is>
      </c>
      <c r="Y10" s="35" t="n"/>
      <c r="Z10" s="35" t="n"/>
      <c r="AA10" s="35" t="n"/>
      <c r="AB10" s="35" t="n"/>
      <c r="AC10" s="35" t="n"/>
      <c r="AD10" s="35" t="n"/>
      <c r="AE10" s="241" t="n"/>
    </row>
    <row r="11" ht="10.5" customHeight="1" s="5">
      <c r="A11" s="130" t="inlineStr">
        <is>
          <t>ITEM</t>
        </is>
      </c>
      <c r="B11" s="243" t="inlineStr">
        <is>
          <t>D.NOMINAL / NOMINAL DIM.   (mm)</t>
        </is>
      </c>
      <c r="C11" s="131" t="inlineStr">
        <is>
          <t>TOLERANCIA/ TOLERANCE (µm)</t>
        </is>
      </c>
      <c r="D11" s="244" t="inlineStr">
        <is>
          <t>MEDICIONES /ACTUAL READINGS (µm)</t>
        </is>
      </c>
      <c r="E11" s="230" t="n"/>
      <c r="F11" s="230" t="n"/>
      <c r="G11" s="230" t="n"/>
      <c r="H11" s="230" t="n"/>
      <c r="I11" s="230" t="n"/>
      <c r="J11" s="230" t="n"/>
      <c r="K11" s="230" t="n"/>
      <c r="L11" s="230" t="n"/>
      <c r="M11" s="231" t="n"/>
      <c r="N11" s="130" t="inlineStr">
        <is>
          <t>OK</t>
        </is>
      </c>
      <c r="O11" s="130" t="inlineStr">
        <is>
          <t>NOT  OK</t>
        </is>
      </c>
      <c r="Q11" s="130" t="inlineStr">
        <is>
          <t>ITEM</t>
        </is>
      </c>
      <c r="R11" s="243" t="inlineStr">
        <is>
          <t>D.NOMINAL / NOMINAL DIM.   (mm)</t>
        </is>
      </c>
      <c r="S11" s="131" t="inlineStr">
        <is>
          <t>TOLERANCIA/ TOLERANCE (µm)</t>
        </is>
      </c>
      <c r="T11" s="244" t="inlineStr">
        <is>
          <t>MEDICIONES /ACTUAL READINGS (µm)</t>
        </is>
      </c>
      <c r="U11" s="230" t="n"/>
      <c r="V11" s="230" t="n"/>
      <c r="W11" s="230" t="n"/>
      <c r="X11" s="230" t="n"/>
      <c r="Y11" s="230" t="n"/>
      <c r="Z11" s="230" t="n"/>
      <c r="AA11" s="230" t="n"/>
      <c r="AB11" s="230" t="n"/>
      <c r="AC11" s="231" t="n"/>
      <c r="AD11" s="130" t="inlineStr">
        <is>
          <t>OK</t>
        </is>
      </c>
      <c r="AE11" s="130" t="inlineStr">
        <is>
          <t>NOT  OK</t>
        </is>
      </c>
    </row>
    <row r="12" ht="9.75" customHeight="1" s="5">
      <c r="A12" s="245" t="n"/>
      <c r="B12" s="245" t="n"/>
      <c r="C12" s="245" t="n"/>
      <c r="D12" s="235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36" t="n"/>
      <c r="N12" s="245" t="n"/>
      <c r="O12" s="245" t="n"/>
      <c r="Q12" s="245" t="n"/>
      <c r="R12" s="245" t="n"/>
      <c r="S12" s="245" t="n"/>
      <c r="T12" s="235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36" t="n"/>
      <c r="AD12" s="245" t="n"/>
      <c r="AE12" s="245" t="n"/>
    </row>
    <row r="13" ht="14.25" customHeight="1" s="5">
      <c r="A13" s="246" t="n"/>
      <c r="B13" s="246" t="n"/>
      <c r="C13" s="245" t="n"/>
      <c r="D13" s="130" t="inlineStr">
        <is>
          <t>Nº 1</t>
        </is>
      </c>
      <c r="E13" s="130" t="inlineStr">
        <is>
          <t>Nº 2</t>
        </is>
      </c>
      <c r="F13" s="130" t="inlineStr">
        <is>
          <t>Nº 3</t>
        </is>
      </c>
      <c r="G13" s="130" t="inlineStr">
        <is>
          <t>Nº 4</t>
        </is>
      </c>
      <c r="H13" s="130" t="inlineStr">
        <is>
          <t>Nº 5</t>
        </is>
      </c>
      <c r="I13" s="130" t="inlineStr">
        <is>
          <t>Nº 6</t>
        </is>
      </c>
      <c r="J13" s="130" t="inlineStr">
        <is>
          <t>Nº 7</t>
        </is>
      </c>
      <c r="K13" s="130" t="inlineStr">
        <is>
          <t>Nº 8</t>
        </is>
      </c>
      <c r="L13" s="130" t="inlineStr">
        <is>
          <t>Nº 9</t>
        </is>
      </c>
      <c r="M13" s="130" t="inlineStr">
        <is>
          <t>Nº 10</t>
        </is>
      </c>
      <c r="N13" s="246" t="n"/>
      <c r="O13" s="246" t="n"/>
      <c r="Q13" s="246" t="n"/>
      <c r="R13" s="246" t="n"/>
      <c r="S13" s="245" t="n"/>
      <c r="T13" s="130" t="inlineStr">
        <is>
          <t>Nº 1</t>
        </is>
      </c>
      <c r="U13" s="130" t="inlineStr">
        <is>
          <t>Nº 2</t>
        </is>
      </c>
      <c r="V13" s="130" t="inlineStr">
        <is>
          <t>Nº 3</t>
        </is>
      </c>
      <c r="W13" s="130" t="inlineStr">
        <is>
          <t>Nº 4</t>
        </is>
      </c>
      <c r="X13" s="130" t="inlineStr">
        <is>
          <t>Nº 5</t>
        </is>
      </c>
      <c r="Y13" s="130" t="inlineStr">
        <is>
          <t>Nº 6</t>
        </is>
      </c>
      <c r="Z13" s="130" t="inlineStr">
        <is>
          <t>Nº 7</t>
        </is>
      </c>
      <c r="AA13" s="130" t="inlineStr">
        <is>
          <t>Nº 8</t>
        </is>
      </c>
      <c r="AB13" s="130" t="inlineStr">
        <is>
          <t>Nº 9</t>
        </is>
      </c>
      <c r="AC13" s="130" t="inlineStr">
        <is>
          <t>Nº 10</t>
        </is>
      </c>
      <c r="AD13" s="246" t="n"/>
      <c r="AE13" s="246" t="n"/>
    </row>
    <row r="14" ht="12" customHeight="1" s="5">
      <c r="A14" s="130" t="inlineStr">
        <is>
          <t xml:space="preserve">        B</t>
        </is>
      </c>
      <c r="B14" s="151">
        <f>VLOOKUP(Auxiliar!B1,Auxiliar!A3:AM5799,6,FALSE)</f>
        <v/>
      </c>
      <c r="C14" s="19">
        <f>VLOOKUP(Auxiliar!B1,Auxiliar!A3:AM5799,7,FALSE)</f>
        <v/>
      </c>
      <c r="D14" s="247" t="n"/>
      <c r="E14" s="130" t="n"/>
      <c r="F14" s="130" t="n"/>
      <c r="G14" s="130" t="n"/>
      <c r="H14" s="130" t="n"/>
      <c r="I14" s="130" t="n"/>
      <c r="J14" s="130" t="n"/>
      <c r="K14" s="130" t="n"/>
      <c r="L14" s="130" t="n"/>
      <c r="M14" s="130" t="n"/>
      <c r="N14" s="130" t="n"/>
      <c r="O14" s="130" t="n"/>
      <c r="Q14" s="130" t="inlineStr">
        <is>
          <t xml:space="preserve">        B</t>
        </is>
      </c>
      <c r="R14" s="151">
        <f>VLOOKUP(Auxiliar!B1,Auxiliar!A3:AM5799,6,FALSE)</f>
        <v/>
      </c>
      <c r="S14" s="19">
        <f>VLOOKUP(Auxiliar!B1,Auxiliar!A3:AM5799,7,FALSE)</f>
        <v/>
      </c>
      <c r="T14" s="247" t="n"/>
      <c r="U14" s="130" t="n"/>
      <c r="V14" s="130" t="n"/>
      <c r="W14" s="130" t="n"/>
      <c r="X14" s="130" t="n"/>
      <c r="Y14" s="130" t="n"/>
      <c r="Z14" s="130" t="n"/>
      <c r="AA14" s="130" t="n"/>
      <c r="AB14" s="130" t="n"/>
      <c r="AC14" s="130" t="n"/>
      <c r="AD14" s="130" t="n"/>
      <c r="AE14" s="130" t="n"/>
    </row>
    <row r="15" ht="12" customHeight="1" s="5">
      <c r="A15" s="246" t="n"/>
      <c r="B15" s="235" t="n"/>
      <c r="C15" s="20">
        <f>VLOOKUP(Auxiliar!B1,Auxiliar!A3:AM5799,8,FALSE)</f>
        <v/>
      </c>
      <c r="D15" s="236" t="n"/>
      <c r="E15" s="246" t="n"/>
      <c r="F15" s="246" t="n"/>
      <c r="G15" s="246" t="n"/>
      <c r="H15" s="246" t="n"/>
      <c r="I15" s="246" t="n"/>
      <c r="J15" s="246" t="n"/>
      <c r="K15" s="246" t="n"/>
      <c r="L15" s="246" t="n"/>
      <c r="M15" s="246" t="n"/>
      <c r="N15" s="246" t="n"/>
      <c r="O15" s="246" t="n"/>
      <c r="Q15" s="246" t="n"/>
      <c r="R15" s="235" t="n"/>
      <c r="S15" s="20">
        <f>VLOOKUP(Auxiliar!B1,Auxiliar!A3:AM5799,8,FALSE)</f>
        <v/>
      </c>
      <c r="T15" s="236" t="n"/>
      <c r="U15" s="246" t="n"/>
      <c r="V15" s="246" t="n"/>
      <c r="W15" s="246" t="n"/>
      <c r="X15" s="246" t="n"/>
      <c r="Y15" s="246" t="n"/>
      <c r="Z15" s="246" t="n"/>
      <c r="AA15" s="246" t="n"/>
      <c r="AB15" s="246" t="n"/>
      <c r="AC15" s="246" t="n"/>
      <c r="AD15" s="246" t="n"/>
      <c r="AE15" s="246" t="n"/>
    </row>
    <row r="16" ht="12" customHeight="1" s="5">
      <c r="A16" s="130" t="inlineStr">
        <is>
          <t xml:space="preserve">        C</t>
        </is>
      </c>
      <c r="B16" s="151">
        <f>VLOOKUP(Auxiliar!B1,Auxiliar!A3:AM5799,3,FALSE)</f>
        <v/>
      </c>
      <c r="C16" s="19">
        <f>VLOOKUP(Auxiliar!B1,Auxiliar!A5:AM5999,4,FALSE)</f>
        <v/>
      </c>
      <c r="D16" s="247" t="n"/>
      <c r="E16" s="130" t="n"/>
      <c r="F16" s="130" t="n"/>
      <c r="G16" s="130" t="n"/>
      <c r="H16" s="130" t="n"/>
      <c r="I16" s="130" t="n"/>
      <c r="J16" s="130" t="n"/>
      <c r="K16" s="130" t="n"/>
      <c r="L16" s="130" t="n"/>
      <c r="M16" s="130" t="n"/>
      <c r="N16" s="130" t="n"/>
      <c r="O16" s="130" t="n"/>
      <c r="Q16" s="130" t="inlineStr">
        <is>
          <t xml:space="preserve">        C</t>
        </is>
      </c>
      <c r="R16" s="151">
        <f>VLOOKUP(Auxiliar!B1,Auxiliar!A3:AM5799,3,FALSE)</f>
        <v/>
      </c>
      <c r="S16" s="19">
        <f>VLOOKUP(Auxiliar!B1,Auxiliar!A5:AM5999,4,FALSE)</f>
        <v/>
      </c>
      <c r="T16" s="247" t="n"/>
      <c r="U16" s="130" t="n"/>
      <c r="V16" s="130" t="n"/>
      <c r="W16" s="130" t="n"/>
      <c r="X16" s="130" t="n"/>
      <c r="Y16" s="130" t="n"/>
      <c r="Z16" s="130" t="n"/>
      <c r="AA16" s="130" t="n"/>
      <c r="AB16" s="130" t="n"/>
      <c r="AC16" s="130" t="n"/>
      <c r="AD16" s="130" t="n"/>
      <c r="AE16" s="130" t="n"/>
    </row>
    <row r="17" ht="12" customHeight="1" s="5">
      <c r="A17" s="246" t="n"/>
      <c r="B17" s="235" t="n"/>
      <c r="C17" s="20">
        <f>VLOOKUP(Auxiliar!B1,Auxiliar!A5:AM5999,5,FALSE)</f>
        <v/>
      </c>
      <c r="D17" s="236" t="n"/>
      <c r="E17" s="246" t="n"/>
      <c r="F17" s="246" t="n"/>
      <c r="G17" s="246" t="n"/>
      <c r="H17" s="246" t="n"/>
      <c r="I17" s="246" t="n"/>
      <c r="J17" s="246" t="n"/>
      <c r="K17" s="246" t="n"/>
      <c r="L17" s="246" t="n"/>
      <c r="M17" s="246" t="n"/>
      <c r="N17" s="246" t="n"/>
      <c r="O17" s="246" t="n"/>
      <c r="Q17" s="246" t="n"/>
      <c r="R17" s="235" t="n"/>
      <c r="S17" s="20">
        <f>VLOOKUP(Auxiliar!B1,Auxiliar!A5:AM5999,5,FALSE)</f>
        <v/>
      </c>
      <c r="T17" s="236" t="n"/>
      <c r="U17" s="246" t="n"/>
      <c r="V17" s="246" t="n"/>
      <c r="W17" s="246" t="n"/>
      <c r="X17" s="246" t="n"/>
      <c r="Y17" s="246" t="n"/>
      <c r="Z17" s="246" t="n"/>
      <c r="AA17" s="246" t="n"/>
      <c r="AB17" s="246" t="n"/>
      <c r="AC17" s="246" t="n"/>
      <c r="AD17" s="246" t="n"/>
      <c r="AE17" s="246" t="n"/>
    </row>
    <row r="18" ht="12" customHeight="1" s="5">
      <c r="A18" s="248" t="inlineStr">
        <is>
          <t xml:space="preserve">        D</t>
        </is>
      </c>
      <c r="B18" s="151">
        <f>VLOOKUP(Auxiliar!B1,Auxiliar!A3:AM5799,9,FALSE)</f>
        <v/>
      </c>
      <c r="C18" s="19">
        <f>VLOOKUP(Auxiliar!B1,Auxiliar!A3:AM5799,10,FALSE)</f>
        <v/>
      </c>
      <c r="D18" s="247" t="n"/>
      <c r="E18" s="130" t="n"/>
      <c r="F18" s="130" t="n"/>
      <c r="G18" s="130" t="n"/>
      <c r="H18" s="130" t="n"/>
      <c r="I18" s="130" t="n"/>
      <c r="J18" s="130" t="n"/>
      <c r="K18" s="130" t="n"/>
      <c r="L18" s="130" t="n"/>
      <c r="M18" s="130" t="n"/>
      <c r="N18" s="130" t="n"/>
      <c r="O18" s="130" t="n"/>
      <c r="Q18" s="248" t="inlineStr">
        <is>
          <t xml:space="preserve">        D</t>
        </is>
      </c>
      <c r="R18" s="151">
        <f>VLOOKUP(Auxiliar!B1,Auxiliar!A3:AM5799,9,FALSE)</f>
        <v/>
      </c>
      <c r="S18" s="19">
        <f>VLOOKUP(Auxiliar!B1,Auxiliar!A3:AM5799,10,FALSE)</f>
        <v/>
      </c>
      <c r="T18" s="247" t="n"/>
      <c r="U18" s="130" t="n"/>
      <c r="V18" s="130" t="n"/>
      <c r="W18" s="130" t="n"/>
      <c r="X18" s="130" t="n"/>
      <c r="Y18" s="130" t="n"/>
      <c r="Z18" s="130" t="n"/>
      <c r="AA18" s="130" t="n"/>
      <c r="AB18" s="130" t="n"/>
      <c r="AC18" s="130" t="n"/>
      <c r="AD18" s="130" t="n"/>
      <c r="AE18" s="130" t="n"/>
    </row>
    <row r="19" ht="12" customHeight="1" s="5">
      <c r="A19" s="246" t="n"/>
      <c r="B19" s="235" t="n"/>
      <c r="C19" s="18">
        <f>VLOOKUP(Auxiliar!B1,Auxiliar!A3:AM5799,11,FALSE)</f>
        <v/>
      </c>
      <c r="D19" s="236" t="n"/>
      <c r="E19" s="246" t="n"/>
      <c r="F19" s="246" t="n"/>
      <c r="G19" s="246" t="n"/>
      <c r="H19" s="246" t="n"/>
      <c r="I19" s="246" t="n"/>
      <c r="J19" s="246" t="n"/>
      <c r="K19" s="246" t="n"/>
      <c r="L19" s="246" t="n"/>
      <c r="M19" s="246" t="n"/>
      <c r="N19" s="246" t="n"/>
      <c r="O19" s="246" t="n"/>
      <c r="Q19" s="246" t="n"/>
      <c r="R19" s="235" t="n"/>
      <c r="S19" s="18">
        <f>VLOOKUP(Auxiliar!B1,Auxiliar!A3:AM5799,11,FALSE)</f>
        <v/>
      </c>
      <c r="T19" s="236" t="n"/>
      <c r="U19" s="246" t="n"/>
      <c r="V19" s="246" t="n"/>
      <c r="W19" s="246" t="n"/>
      <c r="X19" s="246" t="n"/>
      <c r="Y19" s="246" t="n"/>
      <c r="Z19" s="246" t="n"/>
      <c r="AA19" s="246" t="n"/>
      <c r="AB19" s="246" t="n"/>
      <c r="AC19" s="246" t="n"/>
      <c r="AD19" s="246" t="n"/>
      <c r="AE19" s="246" t="n"/>
    </row>
    <row r="20" ht="12" customHeight="1" s="5">
      <c r="A20" s="248" t="inlineStr">
        <is>
          <t xml:space="preserve">        d</t>
        </is>
      </c>
      <c r="B20" s="151">
        <f>VLOOKUP(Auxiliar!B1,Auxiliar!A3:AM5799,12,FALSE)</f>
        <v/>
      </c>
      <c r="C20" s="19">
        <f>VLOOKUP(Auxiliar!B1,Auxiliar!A3:AM5799,13,FALSE)</f>
        <v/>
      </c>
      <c r="D20" s="249" t="n"/>
      <c r="E20" s="3" t="n"/>
      <c r="F20" s="3" t="n"/>
      <c r="G20" s="3" t="n"/>
      <c r="H20" s="3" t="n"/>
      <c r="I20" s="3" t="n"/>
      <c r="J20" s="3" t="n"/>
      <c r="K20" s="3" t="n"/>
      <c r="L20" s="130" t="n"/>
      <c r="M20" s="3" t="n"/>
      <c r="N20" s="250" t="n"/>
      <c r="O20" s="250" t="n"/>
      <c r="Q20" s="248" t="inlineStr">
        <is>
          <t xml:space="preserve">        d</t>
        </is>
      </c>
      <c r="R20" s="151">
        <f>VLOOKUP(Auxiliar!B1,Auxiliar!A3:AM5799,12,FALSE)</f>
        <v/>
      </c>
      <c r="S20" s="19">
        <f>VLOOKUP(Auxiliar!B1,Auxiliar!A3:AM5799,13,FALSE)</f>
        <v/>
      </c>
      <c r="T20" s="249" t="n"/>
      <c r="U20" s="3" t="n"/>
      <c r="V20" s="3" t="n"/>
      <c r="W20" s="3" t="n"/>
      <c r="X20" s="3" t="n"/>
      <c r="Y20" s="3" t="n"/>
      <c r="Z20" s="3" t="n"/>
      <c r="AA20" s="3" t="n"/>
      <c r="AB20" s="130" t="n"/>
      <c r="AC20" s="3" t="n"/>
      <c r="AD20" s="250" t="n"/>
      <c r="AE20" s="250" t="n"/>
    </row>
    <row r="21" ht="12" customHeight="1" s="5">
      <c r="A21" s="246" t="n"/>
      <c r="B21" s="235" t="n"/>
      <c r="C21" s="18">
        <f>VLOOKUP(Auxiliar!B1,Auxiliar!A3:AM5799,14,FALSE)</f>
        <v/>
      </c>
      <c r="D21" s="236" t="n"/>
      <c r="E21" s="246" t="n"/>
      <c r="F21" s="246" t="n"/>
      <c r="G21" s="246" t="n"/>
      <c r="H21" s="246" t="n"/>
      <c r="I21" s="246" t="n"/>
      <c r="J21" s="246" t="n"/>
      <c r="K21" s="246" t="n"/>
      <c r="L21" s="246" t="n"/>
      <c r="M21" s="246" t="n"/>
      <c r="N21" s="246" t="n"/>
      <c r="O21" s="246" t="n"/>
      <c r="Q21" s="246" t="n"/>
      <c r="R21" s="235" t="n"/>
      <c r="S21" s="18">
        <f>VLOOKUP(Auxiliar!B1,Auxiliar!A3:AM5799,14,FALSE)</f>
        <v/>
      </c>
      <c r="T21" s="236" t="n"/>
      <c r="U21" s="246" t="n"/>
      <c r="V21" s="246" t="n"/>
      <c r="W21" s="246" t="n"/>
      <c r="X21" s="246" t="n"/>
      <c r="Y21" s="246" t="n"/>
      <c r="Z21" s="246" t="n"/>
      <c r="AA21" s="246" t="n"/>
      <c r="AB21" s="246" t="n"/>
      <c r="AC21" s="246" t="n"/>
      <c r="AD21" s="246" t="n"/>
      <c r="AE21" s="246" t="n"/>
    </row>
    <row r="22" ht="14.1" customHeight="1" s="5">
      <c r="A22" s="248" t="inlineStr">
        <is>
          <t xml:space="preserve">       GR</t>
        </is>
      </c>
      <c r="B22" s="151">
        <f>VLOOKUP(Auxiliar!B1,Auxiliar!A3:AM5799,15,FALSE)</f>
        <v/>
      </c>
      <c r="C22" s="19">
        <f>VLOOKUP(Auxiliar!B1,Auxiliar!A3:AM5799,16,FALSE)</f>
        <v/>
      </c>
      <c r="D22" s="249" t="n"/>
      <c r="E22" s="3" t="n"/>
      <c r="F22" s="3" t="n"/>
      <c r="G22" s="3" t="n"/>
      <c r="H22" s="3" t="n"/>
      <c r="I22" s="3" t="n"/>
      <c r="J22" s="3" t="n"/>
      <c r="K22" s="3" t="n"/>
      <c r="L22" s="130" t="n"/>
      <c r="M22" s="3" t="n"/>
      <c r="N22" s="250" t="n"/>
      <c r="O22" s="250" t="n"/>
      <c r="Q22" s="248" t="inlineStr">
        <is>
          <t xml:space="preserve">       GA</t>
        </is>
      </c>
      <c r="R22" s="151">
        <f>VLOOKUP(Auxiliar!B1,Auxiliar!A3:AM5799,15,FALSE)</f>
        <v/>
      </c>
      <c r="S22" s="19">
        <f>VLOOKUP(Auxiliar!B1,Auxiliar!A3:AM5799,16,FALSE)</f>
        <v/>
      </c>
      <c r="T22" s="249" t="n"/>
      <c r="U22" s="3" t="n"/>
      <c r="V22" s="3" t="n"/>
      <c r="W22" s="3" t="n"/>
      <c r="X22" s="3" t="n"/>
      <c r="Y22" s="3" t="n"/>
      <c r="Z22" s="3" t="n"/>
      <c r="AA22" s="3" t="n"/>
      <c r="AB22" s="130" t="n"/>
      <c r="AC22" s="3" t="n"/>
      <c r="AD22" s="250" t="n"/>
      <c r="AE22" s="250" t="n"/>
    </row>
    <row r="23" ht="14.1" customHeight="1" s="5">
      <c r="A23" s="246" t="n"/>
      <c r="B23" s="235" t="n"/>
      <c r="C23" s="18">
        <f>VLOOKUP(Auxiliar!B1,Auxiliar!A3:AM5799,17,FALSE)</f>
        <v/>
      </c>
      <c r="D23" s="236" t="n"/>
      <c r="E23" s="246" t="n"/>
      <c r="F23" s="246" t="n"/>
      <c r="G23" s="246" t="n"/>
      <c r="H23" s="246" t="n"/>
      <c r="I23" s="246" t="n"/>
      <c r="J23" s="246" t="n"/>
      <c r="K23" s="246" t="n"/>
      <c r="L23" s="246" t="n"/>
      <c r="M23" s="246" t="n"/>
      <c r="N23" s="246" t="n"/>
      <c r="O23" s="246" t="n"/>
      <c r="Q23" s="246" t="n"/>
      <c r="R23" s="235" t="n"/>
      <c r="S23" s="18">
        <f>VLOOKUP(Auxiliar!B1,Auxiliar!A3:AM5799,17,FALSE)</f>
        <v/>
      </c>
      <c r="T23" s="236" t="n"/>
      <c r="U23" s="246" t="n"/>
      <c r="V23" s="246" t="n"/>
      <c r="W23" s="246" t="n"/>
      <c r="X23" s="246" t="n"/>
      <c r="Y23" s="246" t="n"/>
      <c r="Z23" s="246" t="n"/>
      <c r="AA23" s="246" t="n"/>
      <c r="AB23" s="246" t="n"/>
      <c r="AC23" s="246" t="n"/>
      <c r="AD23" s="246" t="n"/>
      <c r="AE23" s="246" t="n"/>
    </row>
    <row r="24" ht="14.1" customHeight="1" s="5">
      <c r="A24" s="130" t="inlineStr">
        <is>
          <t>DUREZA / HARDNESS (HRC)</t>
        </is>
      </c>
      <c r="B24" s="251" t="inlineStr">
        <is>
          <t>ARO INTERIOR / INNER RING</t>
        </is>
      </c>
      <c r="C24" s="20">
        <f>VLOOKUP(Auxiliar!B1,Auxiliar!A3:AM5799,18,FALSE)</f>
        <v/>
      </c>
      <c r="D24" s="249" t="n"/>
      <c r="E24" s="3" t="n"/>
      <c r="F24" s="3" t="n"/>
      <c r="G24" s="3" t="n"/>
      <c r="H24" s="3" t="n"/>
      <c r="I24" s="3" t="n"/>
      <c r="J24" s="3" t="n"/>
      <c r="K24" s="3" t="n"/>
      <c r="L24" s="130" t="n"/>
      <c r="M24" s="3" t="n"/>
      <c r="N24" s="250" t="n"/>
      <c r="O24" s="250" t="n"/>
      <c r="Q24" s="130" t="inlineStr">
        <is>
          <t>DUREZA / HARDNESS (HRC)</t>
        </is>
      </c>
      <c r="R24" s="251" t="inlineStr">
        <is>
          <t>ARO INTERIOR / INNER RING</t>
        </is>
      </c>
      <c r="S24" s="20">
        <f>VLOOKUP(Auxiliar!B1,Auxiliar!A3:AM5799,18,FALSE)</f>
        <v/>
      </c>
      <c r="T24" s="249" t="n"/>
      <c r="U24" s="3" t="n"/>
      <c r="V24" s="3" t="n"/>
      <c r="W24" s="3" t="n"/>
      <c r="X24" s="3" t="n"/>
      <c r="Y24" s="3" t="n"/>
      <c r="Z24" s="3" t="n"/>
      <c r="AA24" s="3" t="n"/>
      <c r="AB24" s="130" t="n"/>
      <c r="AC24" s="3" t="n"/>
      <c r="AD24" s="250" t="n"/>
      <c r="AE24" s="250" t="n"/>
    </row>
    <row r="25" ht="14.1" customHeight="1" s="5">
      <c r="A25" s="245" t="n"/>
      <c r="B25" s="235" t="n"/>
      <c r="C25" s="20">
        <f>VLOOKUP(Auxiliar!B1,Auxiliar!A3:AM5799,19,FALSE)</f>
        <v/>
      </c>
      <c r="D25" s="236" t="n"/>
      <c r="E25" s="246" t="n"/>
      <c r="F25" s="246" t="n"/>
      <c r="G25" s="246" t="n"/>
      <c r="H25" s="246" t="n"/>
      <c r="I25" s="246" t="n"/>
      <c r="J25" s="246" t="n"/>
      <c r="K25" s="246" t="n"/>
      <c r="L25" s="246" t="n"/>
      <c r="M25" s="246" t="n"/>
      <c r="N25" s="246" t="n"/>
      <c r="O25" s="246" t="n"/>
      <c r="Q25" s="245" t="n"/>
      <c r="R25" s="235" t="n"/>
      <c r="S25" s="20">
        <f>VLOOKUP(Auxiliar!B1,Auxiliar!A3:AM5799,19,FALSE)</f>
        <v/>
      </c>
      <c r="T25" s="236" t="n"/>
      <c r="U25" s="246" t="n"/>
      <c r="V25" s="246" t="n"/>
      <c r="W25" s="246" t="n"/>
      <c r="X25" s="246" t="n"/>
      <c r="Y25" s="246" t="n"/>
      <c r="Z25" s="246" t="n"/>
      <c r="AA25" s="246" t="n"/>
      <c r="AB25" s="246" t="n"/>
      <c r="AC25" s="246" t="n"/>
      <c r="AD25" s="246" t="n"/>
      <c r="AE25" s="246" t="n"/>
    </row>
    <row r="26" ht="24" customHeight="1" s="5">
      <c r="A26" s="245" t="n"/>
      <c r="B26" s="251" t="inlineStr">
        <is>
          <t>ARO EXTERIOR / OUTER RING</t>
        </is>
      </c>
      <c r="C26" s="19">
        <f>VLOOKUP(Auxiliar!B1,Auxiliar!A3:AM5799,20,FALSE)</f>
        <v/>
      </c>
      <c r="D26" s="249" t="n"/>
      <c r="E26" s="3" t="n"/>
      <c r="F26" s="3" t="n"/>
      <c r="G26" s="3" t="n"/>
      <c r="H26" s="3" t="n"/>
      <c r="I26" s="3" t="n"/>
      <c r="J26" s="3" t="n"/>
      <c r="K26" s="3" t="n"/>
      <c r="L26" s="130" t="n"/>
      <c r="M26" s="3" t="n"/>
      <c r="N26" s="250" t="n"/>
      <c r="O26" s="250" t="n"/>
      <c r="Q26" s="245" t="n"/>
      <c r="R26" s="251" t="inlineStr">
        <is>
          <t>ARO EXTERIOR / OUTER RING</t>
        </is>
      </c>
      <c r="S26" s="19">
        <f>VLOOKUP(Auxiliar!B1,Auxiliar!A3:AM5799,20,FALSE)</f>
        <v/>
      </c>
      <c r="T26" s="249" t="n"/>
      <c r="U26" s="3" t="n"/>
      <c r="V26" s="3" t="n"/>
      <c r="W26" s="3" t="n"/>
      <c r="X26" s="3" t="n"/>
      <c r="Y26" s="3" t="n"/>
      <c r="Z26" s="3" t="n"/>
      <c r="AA26" s="3" t="n"/>
      <c r="AB26" s="130" t="n"/>
      <c r="AC26" s="3" t="n"/>
      <c r="AD26" s="250" t="n"/>
      <c r="AE26" s="250" t="n"/>
    </row>
    <row r="27" ht="24" customHeight="1" s="5">
      <c r="A27" s="246" t="n"/>
      <c r="B27" s="235" t="n"/>
      <c r="C27" s="18">
        <f>VLOOKUP(Auxiliar!B1,Auxiliar!A3:AM5799,21,FALSE)</f>
        <v/>
      </c>
      <c r="D27" s="236" t="n"/>
      <c r="E27" s="246" t="n"/>
      <c r="F27" s="246" t="n"/>
      <c r="G27" s="246" t="n"/>
      <c r="H27" s="246" t="n"/>
      <c r="I27" s="246" t="n"/>
      <c r="J27" s="246" t="n"/>
      <c r="K27" s="246" t="n"/>
      <c r="L27" s="246" t="n"/>
      <c r="M27" s="246" t="n"/>
      <c r="N27" s="246" t="n"/>
      <c r="O27" s="246" t="n"/>
      <c r="P27" s="106" t="n"/>
      <c r="Q27" s="246" t="n"/>
      <c r="R27" s="235" t="n"/>
      <c r="S27" s="18">
        <f>VLOOKUP(Auxiliar!B1,Auxiliar!A3:AM5799,21,FALSE)</f>
        <v/>
      </c>
      <c r="T27" s="236" t="n"/>
      <c r="U27" s="246" t="n"/>
      <c r="V27" s="246" t="n"/>
      <c r="W27" s="246" t="n"/>
      <c r="X27" s="246" t="n"/>
      <c r="Y27" s="246" t="n"/>
      <c r="Z27" s="246" t="n"/>
      <c r="AA27" s="246" t="n"/>
      <c r="AB27" s="246" t="n"/>
      <c r="AC27" s="246" t="n"/>
      <c r="AD27" s="246" t="n"/>
      <c r="AE27" s="246" t="n"/>
      <c r="AF27" s="106" t="n"/>
    </row>
    <row r="28" ht="24" customHeight="1" s="5">
      <c r="A28" s="113" t="inlineStr">
        <is>
          <t>GRABADO / MARKING</t>
        </is>
      </c>
      <c r="B28" s="35" t="n"/>
      <c r="C28" s="241" t="n"/>
      <c r="D28" s="6" t="n"/>
      <c r="E28" s="3" t="n"/>
      <c r="F28" s="3" t="n"/>
      <c r="G28" s="3" t="n"/>
      <c r="H28" s="3" t="n"/>
      <c r="I28" s="3" t="n"/>
      <c r="J28" s="3" t="n"/>
      <c r="K28" s="3" t="n"/>
      <c r="L28" s="130" t="n"/>
      <c r="M28" s="3" t="n"/>
      <c r="N28" s="1" t="n"/>
      <c r="O28" s="1" t="n"/>
      <c r="P28" s="107" t="n"/>
      <c r="Q28" s="113" t="inlineStr">
        <is>
          <t>GRABADO / MARKING</t>
        </is>
      </c>
      <c r="R28" s="35" t="n"/>
      <c r="S28" s="241" t="n"/>
      <c r="T28" s="6" t="n"/>
      <c r="U28" s="3" t="n"/>
      <c r="V28" s="3" t="n"/>
      <c r="W28" s="3" t="n"/>
      <c r="X28" s="3" t="n"/>
      <c r="Y28" s="3" t="n"/>
      <c r="Z28" s="3" t="n"/>
      <c r="AA28" s="3" t="n"/>
      <c r="AB28" s="130" t="n"/>
      <c r="AC28" s="3" t="n"/>
      <c r="AD28" s="1" t="n"/>
      <c r="AE28" s="1" t="n"/>
      <c r="AF28" s="107" t="n"/>
    </row>
    <row r="29" ht="24" customHeight="1" s="5">
      <c r="A29" s="113" t="inlineStr">
        <is>
          <t>ASPECTO</t>
        </is>
      </c>
      <c r="B29" s="111" t="inlineStr">
        <is>
          <t>*Rayas, Golpes, Oxido, Desprendimiento de material</t>
        </is>
      </c>
      <c r="C29" s="241" t="n"/>
      <c r="D29" s="6" t="n"/>
      <c r="E29" s="3" t="n"/>
      <c r="F29" s="3" t="n"/>
      <c r="G29" s="3" t="n"/>
      <c r="H29" s="3" t="n"/>
      <c r="I29" s="3" t="n"/>
      <c r="J29" s="3" t="n"/>
      <c r="K29" s="3" t="n"/>
      <c r="L29" s="130" t="n"/>
      <c r="M29" s="3" t="n"/>
      <c r="N29" s="1" t="n"/>
      <c r="O29" s="1" t="n"/>
      <c r="P29" s="107" t="n"/>
      <c r="Q29" s="113" t="inlineStr">
        <is>
          <t>ASPECTO</t>
        </is>
      </c>
      <c r="R29" s="111" t="inlineStr">
        <is>
          <t>*Rayas, Golpes, Oxido, Desprendimiento de material</t>
        </is>
      </c>
      <c r="S29" s="241" t="n"/>
      <c r="T29" s="6" t="n"/>
      <c r="U29" s="3" t="n"/>
      <c r="V29" s="3" t="n"/>
      <c r="W29" s="3" t="n"/>
      <c r="X29" s="3" t="n"/>
      <c r="Y29" s="3" t="n"/>
      <c r="Z29" s="3" t="n"/>
      <c r="AA29" s="3" t="n"/>
      <c r="AB29" s="130" t="n"/>
      <c r="AC29" s="3" t="n"/>
      <c r="AD29" s="1" t="n"/>
      <c r="AE29" s="1" t="n"/>
      <c r="AF29" s="107" t="n"/>
    </row>
    <row r="30" ht="24" customHeight="1" s="5">
      <c r="A30" s="113" t="inlineStr">
        <is>
          <t>GIRO</t>
        </is>
      </c>
      <c r="B30" s="113" t="inlineStr">
        <is>
          <t>RUIDO,
SALTO</t>
        </is>
      </c>
      <c r="C30" s="241" t="n"/>
      <c r="D30" s="6" t="n"/>
      <c r="E30" s="3" t="n"/>
      <c r="F30" s="3" t="n"/>
      <c r="G30" s="3" t="n"/>
      <c r="H30" s="3" t="n"/>
      <c r="I30" s="3" t="n"/>
      <c r="J30" s="3" t="n"/>
      <c r="K30" s="3" t="n"/>
      <c r="L30" s="130" t="n"/>
      <c r="M30" s="3" t="n"/>
      <c r="N30" s="1" t="n"/>
      <c r="O30" s="1" t="n"/>
      <c r="P30" s="107" t="n"/>
      <c r="Q30" s="113" t="inlineStr">
        <is>
          <t>GIRO</t>
        </is>
      </c>
      <c r="R30" s="113" t="inlineStr">
        <is>
          <t>RUIDO,
SALTO</t>
        </is>
      </c>
      <c r="S30" s="241" t="n"/>
      <c r="T30" s="6" t="n"/>
      <c r="U30" s="3" t="n"/>
      <c r="V30" s="3" t="n"/>
      <c r="W30" s="3" t="n"/>
      <c r="X30" s="3" t="n"/>
      <c r="Y30" s="3" t="n"/>
      <c r="Z30" s="3" t="n"/>
      <c r="AA30" s="3" t="n"/>
      <c r="AB30" s="130" t="n"/>
      <c r="AC30" s="3" t="n"/>
      <c r="AD30" s="1" t="n"/>
      <c r="AE30" s="1" t="n"/>
      <c r="AF30" s="107" t="n"/>
    </row>
    <row r="31" ht="24" customHeight="1" s="5">
      <c r="A31" s="113" t="inlineStr">
        <is>
          <t>Tipo de jaula / Cage type</t>
        </is>
      </c>
      <c r="B31" s="241" t="n"/>
      <c r="C31" s="110">
        <f>VLOOKUP(Auxiliar!B1,Auxiliar!A3:AM5799,22,FALSE)</f>
        <v/>
      </c>
      <c r="D31" s="6" t="n"/>
      <c r="E31" s="3" t="n"/>
      <c r="F31" s="3" t="n"/>
      <c r="G31" s="3" t="n"/>
      <c r="H31" s="3" t="n"/>
      <c r="I31" s="3" t="n"/>
      <c r="J31" s="3" t="n"/>
      <c r="K31" s="3" t="n"/>
      <c r="L31" s="130" t="n"/>
      <c r="M31" s="3" t="n"/>
      <c r="N31" s="1" t="n"/>
      <c r="O31" s="1" t="n"/>
      <c r="P31" s="41" t="n"/>
      <c r="Q31" s="113" t="inlineStr">
        <is>
          <t>Tipo de jaula / Cage type</t>
        </is>
      </c>
      <c r="R31" s="241" t="n"/>
      <c r="S31" s="110">
        <f>VLOOKUP(Auxiliar!B1,Auxiliar!A3:AM5799,22,FALSE)</f>
        <v/>
      </c>
      <c r="T31" s="6" t="n"/>
      <c r="U31" s="3" t="n"/>
      <c r="V31" s="3" t="n"/>
      <c r="W31" s="3" t="n"/>
      <c r="X31" s="3" t="n"/>
      <c r="Y31" s="3" t="n"/>
      <c r="Z31" s="3" t="n"/>
      <c r="AA31" s="3" t="n"/>
      <c r="AB31" s="130" t="n"/>
      <c r="AC31" s="3" t="n"/>
      <c r="AD31" s="1" t="n"/>
      <c r="AE31" s="1" t="n"/>
      <c r="AF31" s="41" t="n"/>
    </row>
    <row r="32" ht="24" customHeight="1" s="5">
      <c r="A32" s="252" t="inlineStr">
        <is>
          <t>Peso rodamiento sin grasa/ Washed assembled bearing weight</t>
        </is>
      </c>
      <c r="B32" s="35" t="n"/>
      <c r="C32" s="241" t="n"/>
      <c r="D32" s="37" t="n"/>
      <c r="E32" s="38" t="n"/>
      <c r="F32" s="38" t="n"/>
      <c r="G32" s="38" t="n"/>
      <c r="H32" s="38" t="n"/>
      <c r="I32" s="38" t="n"/>
      <c r="J32" s="38" t="n"/>
      <c r="K32" s="38" t="n"/>
      <c r="L32" s="39" t="n"/>
      <c r="M32" s="38" t="n"/>
      <c r="N32" s="40" t="n"/>
      <c r="O32" s="40" t="n"/>
      <c r="P32" s="41" t="n"/>
      <c r="Q32" s="252" t="inlineStr">
        <is>
          <t>Peso rodamiento sin grasa/ Washed assembled bearing weight</t>
        </is>
      </c>
      <c r="R32" s="35" t="n"/>
      <c r="S32" s="241" t="n"/>
      <c r="T32" s="37" t="n"/>
      <c r="U32" s="38" t="n"/>
      <c r="V32" s="38" t="n"/>
      <c r="W32" s="38" t="n"/>
      <c r="X32" s="38" t="n"/>
      <c r="Y32" s="38" t="n"/>
      <c r="Z32" s="38" t="n"/>
      <c r="AA32" s="38" t="n"/>
      <c r="AB32" s="39" t="n"/>
      <c r="AC32" s="38" t="n"/>
      <c r="AD32" s="40" t="n"/>
      <c r="AE32" s="40" t="n"/>
      <c r="AF32" s="41" t="n"/>
    </row>
    <row r="33" ht="24" customHeight="1" s="5">
      <c r="A33" s="252" t="inlineStr">
        <is>
          <t>Peso de Grasa (grs) / Grease Weight (grs)</t>
        </is>
      </c>
      <c r="B33" s="35" t="n"/>
      <c r="C33" s="241" t="n"/>
      <c r="D33" s="37">
        <f>+D32-D31</f>
        <v/>
      </c>
      <c r="E33" s="37">
        <f>+E32-E31</f>
        <v/>
      </c>
      <c r="F33" s="37">
        <f>+F32-F31</f>
        <v/>
      </c>
      <c r="G33" s="37">
        <f>+G32-G31</f>
        <v/>
      </c>
      <c r="H33" s="37">
        <f>+H32-H31</f>
        <v/>
      </c>
      <c r="I33" s="37">
        <f>+I32-I31</f>
        <v/>
      </c>
      <c r="J33" s="37">
        <f>+J32-J31</f>
        <v/>
      </c>
      <c r="K33" s="37">
        <f>+K32-K31</f>
        <v/>
      </c>
      <c r="L33" s="37">
        <f>+L32-L31</f>
        <v/>
      </c>
      <c r="M33" s="37">
        <f>+M32-M31</f>
        <v/>
      </c>
      <c r="N33" s="37">
        <f>+N32-N31</f>
        <v/>
      </c>
      <c r="O33" s="37">
        <f>+O32-O31</f>
        <v/>
      </c>
      <c r="P33" s="41" t="n"/>
      <c r="Q33" s="252" t="inlineStr">
        <is>
          <t>Peso de Grasa (grs) / Grease Weight (grs)</t>
        </is>
      </c>
      <c r="R33" s="35" t="n"/>
      <c r="S33" s="241" t="n"/>
      <c r="T33" s="37">
        <f>+T32-T31</f>
        <v/>
      </c>
      <c r="U33" s="37">
        <f>+U32-U31</f>
        <v/>
      </c>
      <c r="V33" s="37">
        <f>+V32-V31</f>
        <v/>
      </c>
      <c r="W33" s="37">
        <f>+W32-W31</f>
        <v/>
      </c>
      <c r="X33" s="37">
        <f>+X32-X31</f>
        <v/>
      </c>
      <c r="Y33" s="37">
        <f>+Y32-Y31</f>
        <v/>
      </c>
      <c r="Z33" s="37">
        <f>+Z32-Z31</f>
        <v/>
      </c>
      <c r="AA33" s="37">
        <f>+AA32-AA31</f>
        <v/>
      </c>
      <c r="AB33" s="37">
        <f>+AB32-AB31</f>
        <v/>
      </c>
      <c r="AC33" s="37">
        <f>+AC32-AC31</f>
        <v/>
      </c>
      <c r="AD33" s="37">
        <f>+AD32-AD31</f>
        <v/>
      </c>
      <c r="AE33" s="37">
        <f>+AE32-AE31</f>
        <v/>
      </c>
      <c r="AF33" s="41" t="n"/>
    </row>
    <row r="34" ht="43.5" customHeight="1" s="5" thickBot="1">
      <c r="A34" s="253" t="inlineStr">
        <is>
          <t>* IDENTIFICAR EL TIPO DE DEFECTO CON LETRA INICIAL RESALTADA</t>
        </is>
      </c>
      <c r="B34" s="230" t="n"/>
      <c r="C34" s="230" t="n"/>
      <c r="D34" s="230" t="n"/>
      <c r="E34" s="230" t="n"/>
      <c r="F34" s="230" t="n"/>
      <c r="G34" s="230" t="n"/>
      <c r="H34" s="230" t="n"/>
      <c r="I34" s="230" t="n"/>
      <c r="J34" s="230" t="n"/>
      <c r="K34" s="230" t="n"/>
      <c r="L34" s="230" t="n"/>
      <c r="M34" s="230" t="n"/>
      <c r="N34" s="230" t="n"/>
      <c r="O34" s="231" t="n"/>
      <c r="P34" s="41" t="n"/>
      <c r="Q34" s="253" t="inlineStr">
        <is>
          <t>* IDENTIFICAR EL TIPO DE DEFECTO CON LETRA INICIAL RESALTADA</t>
        </is>
      </c>
      <c r="R34" s="230" t="n"/>
      <c r="S34" s="230" t="n"/>
      <c r="T34" s="230" t="n"/>
      <c r="U34" s="230" t="n"/>
      <c r="V34" s="230" t="n"/>
      <c r="W34" s="230" t="n"/>
      <c r="X34" s="230" t="n"/>
      <c r="Y34" s="230" t="n"/>
      <c r="Z34" s="230" t="n"/>
      <c r="AA34" s="230" t="n"/>
      <c r="AB34" s="230" t="n"/>
      <c r="AC34" s="230" t="n"/>
      <c r="AD34" s="230" t="n"/>
      <c r="AE34" s="231" t="n"/>
      <c r="AF34" s="41" t="n"/>
    </row>
    <row r="35" ht="23.25" customHeight="1" s="5" thickBot="1">
      <c r="A35" s="254" t="inlineStr">
        <is>
          <t>Resultado final de la inspección</t>
        </is>
      </c>
      <c r="B35" s="255" t="n"/>
      <c r="C35" s="101" t="inlineStr">
        <is>
          <t>Total Lote</t>
        </is>
      </c>
      <c r="D35" s="256" t="n"/>
      <c r="E35" s="257" t="inlineStr">
        <is>
          <t>Aprobado</t>
        </is>
      </c>
      <c r="F35" s="258" t="n"/>
      <c r="G35" s="256" t="n"/>
      <c r="H35" s="257" t="inlineStr">
        <is>
          <t>Retrabajar</t>
        </is>
      </c>
      <c r="I35" s="258" t="n"/>
      <c r="J35" s="256" t="n"/>
      <c r="K35" s="257" t="inlineStr">
        <is>
          <t>Scrap</t>
        </is>
      </c>
      <c r="L35" s="256" t="n"/>
      <c r="M35" s="259" t="inlineStr">
        <is>
          <t>2º Calidad</t>
        </is>
      </c>
      <c r="N35" s="258" t="n"/>
      <c r="O35" s="260" t="n"/>
      <c r="P35" s="41" t="n"/>
      <c r="Q35" s="254" t="inlineStr">
        <is>
          <t>Resultado final de la inspección</t>
        </is>
      </c>
      <c r="R35" s="255" t="n"/>
      <c r="S35" s="101" t="inlineStr">
        <is>
          <t>Total Lote</t>
        </is>
      </c>
      <c r="T35" s="256" t="n"/>
      <c r="U35" s="257" t="inlineStr">
        <is>
          <t>Aprobado</t>
        </is>
      </c>
      <c r="V35" s="258" t="n"/>
      <c r="W35" s="256" t="n"/>
      <c r="X35" s="257" t="inlineStr">
        <is>
          <t>Retrabajar</t>
        </is>
      </c>
      <c r="Y35" s="258" t="n"/>
      <c r="Z35" s="256" t="n"/>
      <c r="AA35" s="257" t="inlineStr">
        <is>
          <t>Scrap</t>
        </is>
      </c>
      <c r="AB35" s="256" t="n"/>
      <c r="AC35" s="259" t="inlineStr">
        <is>
          <t>2º Calidad</t>
        </is>
      </c>
      <c r="AD35" s="258" t="n"/>
      <c r="AE35" s="260" t="n"/>
      <c r="AF35" s="41" t="n"/>
    </row>
    <row r="36" ht="30.75" customHeight="1" s="5" thickBot="1">
      <c r="A36" s="261" t="n"/>
      <c r="B36" s="262" t="n"/>
      <c r="C36" s="85" t="n"/>
      <c r="D36" s="263" t="n"/>
      <c r="E36" s="264" t="n"/>
      <c r="F36" s="265" t="n"/>
      <c r="G36" s="263" t="n"/>
      <c r="H36" s="264" t="n"/>
      <c r="I36" s="265" t="n"/>
      <c r="J36" s="263" t="n"/>
      <c r="K36" s="264" t="n"/>
      <c r="L36" s="263" t="n"/>
      <c r="M36" s="266" t="n"/>
      <c r="N36" s="265" t="n"/>
      <c r="O36" s="262" t="n"/>
      <c r="P36" s="41" t="n"/>
      <c r="Q36" s="261" t="n"/>
      <c r="R36" s="262" t="n"/>
      <c r="S36" s="85" t="n"/>
      <c r="T36" s="263" t="n"/>
      <c r="U36" s="264" t="n"/>
      <c r="V36" s="265" t="n"/>
      <c r="W36" s="263" t="n"/>
      <c r="X36" s="264" t="n"/>
      <c r="Y36" s="265" t="n"/>
      <c r="Z36" s="263" t="n"/>
      <c r="AA36" s="264" t="n"/>
      <c r="AB36" s="263" t="n"/>
      <c r="AC36" s="266" t="n"/>
      <c r="AD36" s="265" t="n"/>
      <c r="AE36" s="262" t="n"/>
      <c r="AF36" s="41" t="n"/>
    </row>
    <row r="37" ht="24" customHeight="1" s="5">
      <c r="A37" s="87" t="inlineStr">
        <is>
          <t>OBSERVACION:</t>
        </is>
      </c>
      <c r="C37" s="226" t="n"/>
      <c r="D37" s="24" t="n"/>
      <c r="E37" s="25" t="n"/>
      <c r="F37" s="25" t="n"/>
      <c r="G37" s="25" t="n"/>
      <c r="H37" s="25" t="n"/>
      <c r="I37" s="25" t="n"/>
      <c r="J37" s="25" t="n"/>
      <c r="K37" s="25" t="n"/>
      <c r="L37" s="26" t="n"/>
      <c r="M37" s="25" t="n"/>
      <c r="N37" s="27" t="n"/>
      <c r="O37" s="27" t="n"/>
      <c r="Q37" s="87" t="inlineStr">
        <is>
          <t>OBSERVACION:</t>
        </is>
      </c>
      <c r="S37" s="226" t="n"/>
      <c r="T37" s="24" t="n"/>
      <c r="U37" s="25" t="n"/>
      <c r="V37" s="25" t="n"/>
      <c r="W37" s="25" t="n"/>
      <c r="X37" s="25" t="n"/>
      <c r="Y37" s="25" t="n"/>
      <c r="Z37" s="25" t="n"/>
      <c r="AA37" s="25" t="n"/>
      <c r="AB37" s="26" t="n"/>
      <c r="AC37" s="25" t="n"/>
      <c r="AD37" s="27" t="n"/>
      <c r="AE37" s="27" t="n"/>
    </row>
    <row r="38" ht="24" customHeight="1" s="5">
      <c r="A38" s="28" t="n"/>
      <c r="B38" s="138" t="n"/>
      <c r="C38" s="226" t="n"/>
      <c r="D38" s="24" t="n"/>
      <c r="E38" s="25" t="n"/>
      <c r="F38" s="25" t="n"/>
      <c r="G38" s="25" t="n"/>
      <c r="H38" s="25" t="n"/>
      <c r="I38" s="25" t="n"/>
      <c r="J38" s="25" t="n"/>
      <c r="K38" s="25" t="n"/>
      <c r="L38" s="26" t="n"/>
      <c r="M38" s="25" t="n"/>
      <c r="N38" s="27" t="n"/>
      <c r="O38" s="27" t="n"/>
      <c r="Q38" s="28" t="n"/>
      <c r="R38" s="138" t="n"/>
      <c r="S38" s="226" t="n"/>
      <c r="T38" s="24" t="n"/>
      <c r="U38" s="25" t="n"/>
      <c r="V38" s="25" t="n"/>
      <c r="W38" s="25" t="n"/>
      <c r="X38" s="25" t="n"/>
      <c r="Y38" s="25" t="n"/>
      <c r="Z38" s="25" t="n"/>
      <c r="AA38" s="25" t="n"/>
      <c r="AB38" s="26" t="n"/>
      <c r="AC38" s="25" t="n"/>
      <c r="AD38" s="27" t="n"/>
      <c r="AE38" s="27" t="n"/>
    </row>
    <row r="39" ht="21" customHeight="1" s="5">
      <c r="A39" s="28" t="n"/>
      <c r="B39" s="138" t="n"/>
      <c r="C39" s="226" t="n"/>
      <c r="D39" s="24" t="n"/>
      <c r="E39" s="25" t="n"/>
      <c r="F39" s="25" t="n"/>
      <c r="G39" s="25" t="n"/>
      <c r="H39" s="25" t="n"/>
      <c r="I39" s="25" t="n"/>
      <c r="J39" s="25" t="n"/>
      <c r="K39" s="25" t="n"/>
      <c r="L39" s="26" t="n"/>
      <c r="M39" s="25" t="n"/>
      <c r="N39" s="27" t="n"/>
      <c r="O39" s="27" t="n"/>
      <c r="Q39" s="28" t="n"/>
      <c r="R39" s="138" t="n"/>
      <c r="S39" s="226" t="n"/>
      <c r="T39" s="24" t="n"/>
      <c r="U39" s="25" t="n"/>
      <c r="V39" s="25" t="n"/>
      <c r="W39" s="25" t="n"/>
      <c r="X39" s="25" t="n"/>
      <c r="Y39" s="25" t="n"/>
      <c r="Z39" s="25" t="n"/>
      <c r="AA39" s="25" t="n"/>
      <c r="AB39" s="26" t="n"/>
      <c r="AC39" s="25" t="n"/>
      <c r="AD39" s="27" t="n"/>
      <c r="AE39" s="27" t="n"/>
    </row>
    <row r="40" ht="22.5" customHeight="1" s="5">
      <c r="A40" s="28" t="n"/>
      <c r="B40" s="138" t="n"/>
      <c r="C40" s="226" t="n"/>
      <c r="D40" s="24" t="n"/>
      <c r="E40" s="25" t="n"/>
      <c r="F40" s="25" t="n"/>
      <c r="G40" s="25" t="n"/>
      <c r="H40" s="25" t="n"/>
      <c r="I40" s="25" t="n"/>
      <c r="J40" s="25" t="n"/>
      <c r="K40" s="25" t="n"/>
      <c r="L40" s="26" t="n"/>
      <c r="M40" s="25" t="n"/>
      <c r="N40" s="27" t="n"/>
      <c r="O40" s="27" t="n"/>
      <c r="Q40" s="28" t="n"/>
      <c r="R40" s="138" t="n"/>
      <c r="S40" s="226" t="n"/>
      <c r="T40" s="24" t="n"/>
      <c r="U40" s="25" t="n"/>
      <c r="V40" s="25" t="n"/>
      <c r="W40" s="25" t="n"/>
      <c r="X40" s="25" t="n"/>
      <c r="Y40" s="25" t="n"/>
      <c r="Z40" s="25" t="n"/>
      <c r="AA40" s="25" t="n"/>
      <c r="AB40" s="26" t="n"/>
      <c r="AC40" s="25" t="n"/>
      <c r="AD40" s="27" t="n"/>
      <c r="AE40" s="27" t="n"/>
    </row>
    <row r="41" ht="24" customHeight="1" s="5">
      <c r="A41" s="109" t="n"/>
      <c r="B41" s="141" t="n"/>
      <c r="C41" s="212" t="n"/>
      <c r="D41" s="32" t="n"/>
      <c r="E41" s="33" t="n"/>
      <c r="F41" s="33" t="n"/>
      <c r="G41" s="33" t="n"/>
      <c r="H41" s="33" t="n"/>
      <c r="I41" s="33" t="n"/>
      <c r="J41" s="33" t="n"/>
      <c r="K41" s="33" t="n"/>
      <c r="L41" s="34" t="n"/>
      <c r="M41" s="33" t="n"/>
      <c r="N41" s="35" t="n"/>
      <c r="O41" s="35" t="n"/>
      <c r="Q41" s="109" t="n"/>
      <c r="R41" s="141" t="n"/>
      <c r="S41" s="212" t="n"/>
      <c r="T41" s="32" t="n"/>
      <c r="U41" s="33" t="n"/>
      <c r="V41" s="33" t="n"/>
      <c r="W41" s="33" t="n"/>
      <c r="X41" s="33" t="n"/>
      <c r="Y41" s="33" t="n"/>
      <c r="Z41" s="33" t="n"/>
      <c r="AA41" s="33" t="n"/>
      <c r="AB41" s="34" t="n"/>
      <c r="AC41" s="33" t="n"/>
      <c r="AD41" s="35" t="n"/>
      <c r="AE41" s="35" t="n"/>
    </row>
    <row r="42" hidden="1" ht="6.75" customHeight="1" s="5">
      <c r="A42" s="109" t="n"/>
      <c r="B42" s="141" t="n"/>
      <c r="C42" s="212" t="n"/>
      <c r="D42" s="32" t="n"/>
      <c r="E42" s="33" t="n"/>
      <c r="F42" s="33" t="n"/>
      <c r="G42" s="33" t="n"/>
      <c r="H42" s="33" t="n"/>
      <c r="I42" s="33" t="n"/>
      <c r="J42" s="33" t="n"/>
      <c r="K42" s="33" t="n"/>
      <c r="L42" s="34" t="n"/>
      <c r="M42" s="33" t="n"/>
      <c r="N42" s="35" t="n"/>
      <c r="O42" s="35" t="n"/>
      <c r="Q42" s="109" t="n"/>
      <c r="R42" s="141" t="n"/>
      <c r="S42" s="212" t="n"/>
      <c r="T42" s="32" t="n"/>
      <c r="U42" s="33" t="n"/>
      <c r="V42" s="33" t="n"/>
      <c r="W42" s="33" t="n"/>
      <c r="X42" s="33" t="n"/>
      <c r="Y42" s="33" t="n"/>
      <c r="Z42" s="33" t="n"/>
      <c r="AA42" s="33" t="n"/>
      <c r="AB42" s="34" t="n"/>
      <c r="AC42" s="33" t="n"/>
      <c r="AD42" s="35" t="n"/>
      <c r="AE42" s="35" t="n"/>
    </row>
    <row r="43" ht="23.25" customHeight="1" s="5">
      <c r="A43" s="109" t="n"/>
      <c r="B43" s="141" t="n"/>
      <c r="C43" s="212" t="n"/>
      <c r="D43" s="32" t="n"/>
      <c r="E43" s="33" t="n"/>
      <c r="F43" s="33" t="n"/>
      <c r="G43" s="33" t="n"/>
      <c r="H43" s="33" t="n"/>
      <c r="I43" s="33" t="n"/>
      <c r="J43" s="33" t="n"/>
      <c r="K43" s="33" t="n"/>
      <c r="L43" s="34" t="n"/>
      <c r="M43" s="33" t="n"/>
      <c r="N43" s="35" t="n"/>
      <c r="O43" s="35" t="n"/>
      <c r="Q43" s="109" t="n"/>
      <c r="R43" s="141" t="n"/>
      <c r="S43" s="212" t="n"/>
      <c r="T43" s="32" t="n"/>
      <c r="U43" s="33" t="n"/>
      <c r="V43" s="33" t="n"/>
      <c r="W43" s="33" t="n"/>
      <c r="X43" s="33" t="n"/>
      <c r="Y43" s="33" t="n"/>
      <c r="Z43" s="33" t="n"/>
      <c r="AA43" s="33" t="n"/>
      <c r="AB43" s="34" t="n"/>
      <c r="AC43" s="33" t="n"/>
      <c r="AD43" s="35" t="n"/>
      <c r="AE43" s="35" t="n"/>
    </row>
    <row r="44" ht="21.75" customHeight="1" s="5">
      <c r="A44" s="28" t="n"/>
      <c r="B44" s="138" t="n"/>
      <c r="C44" s="226" t="n"/>
      <c r="D44" s="24" t="n"/>
      <c r="E44" s="25" t="n"/>
      <c r="F44" s="25" t="n"/>
      <c r="G44" s="25" t="n"/>
      <c r="H44" s="25" t="n"/>
      <c r="I44" s="25" t="n"/>
      <c r="J44" s="25" t="n"/>
      <c r="K44" s="25" t="n"/>
      <c r="L44" s="26" t="n"/>
      <c r="M44" s="25" t="n"/>
      <c r="N44" s="27" t="n"/>
      <c r="O44" s="27" t="n"/>
      <c r="Q44" s="28" t="n"/>
      <c r="R44" s="138" t="n"/>
      <c r="S44" s="226" t="n"/>
      <c r="T44" s="24" t="n"/>
      <c r="U44" s="25" t="n"/>
      <c r="V44" s="25" t="n"/>
      <c r="W44" s="25" t="n"/>
      <c r="X44" s="25" t="n"/>
      <c r="Y44" s="25" t="n"/>
      <c r="Z44" s="25" t="n"/>
      <c r="AA44" s="25" t="n"/>
      <c r="AB44" s="26" t="n"/>
      <c r="AC44" s="25" t="n"/>
      <c r="AD44" s="27" t="n"/>
      <c r="AE44" s="27" t="n"/>
    </row>
    <row r="45" ht="33" customHeight="1" s="5">
      <c r="B45" s="7" t="n"/>
      <c r="D45" s="8" t="n"/>
      <c r="E45" s="9" t="n"/>
      <c r="F45" s="9" t="n"/>
      <c r="G45" s="9" t="n"/>
      <c r="H45" s="9" t="n"/>
      <c r="I45" s="9" t="n"/>
      <c r="J45" s="9" t="n"/>
      <c r="K45" s="9" t="n"/>
      <c r="L45" s="10" t="n"/>
      <c r="M45" s="9" t="n"/>
      <c r="R45" s="7" t="n"/>
      <c r="T45" s="8" t="n"/>
      <c r="U45" s="9" t="n"/>
      <c r="V45" s="9" t="n"/>
      <c r="W45" s="9" t="n"/>
      <c r="X45" s="9" t="n"/>
      <c r="Y45" s="9" t="n"/>
      <c r="Z45" s="9" t="n"/>
      <c r="AA45" s="9" t="n"/>
      <c r="AB45" s="10" t="n"/>
      <c r="AC45" s="9" t="n"/>
    </row>
    <row r="46" ht="22.5" customHeight="1" s="5">
      <c r="A46" s="88" t="inlineStr">
        <is>
          <t xml:space="preserve">    FIRMA DEL INSPECTOR DE CALIDAD Y FECHA   /   NAME AND SIGNATURE OF THE INSPECTOR QUALITY</t>
        </is>
      </c>
      <c r="B46" s="230" t="n"/>
      <c r="C46" s="230" t="n"/>
      <c r="D46" s="230" t="n"/>
      <c r="E46" s="230" t="n"/>
      <c r="F46" s="230" t="n"/>
      <c r="G46" s="230" t="n"/>
      <c r="H46" s="11" t="n"/>
      <c r="I46" s="89" t="inlineStr">
        <is>
          <t>PERMANENTE</t>
        </is>
      </c>
      <c r="Q46" s="88" t="inlineStr">
        <is>
          <t xml:space="preserve">    FIRMA DEL INSPECTOR DE CALIDAD Y FECHA   /   NAME AND SIGNATURE OF THE INSPECTOR QUALITY</t>
        </is>
      </c>
      <c r="R46" s="230" t="n"/>
      <c r="S46" s="230" t="n"/>
      <c r="T46" s="230" t="n"/>
      <c r="U46" s="230" t="n"/>
      <c r="V46" s="230" t="n"/>
      <c r="W46" s="230" t="n"/>
      <c r="X46" s="11" t="n"/>
      <c r="Y46" s="89" t="inlineStr">
        <is>
          <t>PERMANENTE</t>
        </is>
      </c>
    </row>
    <row r="47" ht="24" customHeight="1" s="5"/>
    <row r="48" ht="24" customHeight="1" s="5"/>
    <row r="49" ht="24" customHeight="1" s="5"/>
    <row r="50" ht="15" customHeight="1" s="5"/>
    <row r="51" ht="32.1" customHeight="1" s="5"/>
    <row r="52" ht="32.1" customHeight="1" s="5"/>
    <row r="53" ht="32.1" customHeight="1" s="5"/>
    <row r="54" ht="32.1" customHeight="1" s="5"/>
    <row r="55" ht="32.1" customHeight="1" s="5"/>
    <row r="56" ht="32.1" customHeight="1" s="5"/>
    <row r="57" ht="32.1" customHeight="1" s="5"/>
    <row r="58" ht="32.1" customHeight="1" s="5"/>
    <row r="59" ht="32.1" customHeight="1" s="5"/>
    <row r="60" ht="32.1" customHeight="1" s="5"/>
    <row r="61" ht="32.1" customHeight="1" s="5"/>
    <row r="62" ht="32.1" customHeight="1" s="5"/>
    <row r="63" ht="32.1" customHeight="1" s="5"/>
    <row r="64" ht="32.1" customHeight="1" s="5"/>
    <row r="65" ht="32.1" customHeight="1" s="5"/>
    <row r="66" ht="32.1" customHeight="1" s="5"/>
    <row r="67" ht="32.1" customHeight="1" s="5"/>
    <row r="68" ht="32.1" customHeight="1" s="5"/>
    <row r="69" ht="32.1" customHeight="1" s="5"/>
    <row r="70" ht="32.1" customHeight="1" s="5"/>
    <row r="71" ht="32.1" customHeight="1" s="5"/>
    <row r="72" ht="32.1" customHeight="1" s="5"/>
    <row r="73" ht="32.1" customHeight="1" s="5"/>
    <row r="74" ht="32.1" customHeight="1" s="5"/>
    <row r="75" ht="24" customHeight="1" s="5"/>
    <row r="76" ht="24" customHeight="1" s="5"/>
    <row r="77" ht="24" customHeight="1" s="5"/>
    <row r="78" ht="24" customHeight="1" s="5"/>
    <row r="79" ht="24" customHeight="1" s="5"/>
    <row r="80" ht="24" customHeight="1" s="5"/>
  </sheetData>
  <mergeCells count="296">
    <mergeCell ref="AD20:AD21"/>
    <mergeCell ref="H26:H27"/>
    <mergeCell ref="Y24:Y25"/>
    <mergeCell ref="AD14:AD15"/>
    <mergeCell ref="Q7:R7"/>
    <mergeCell ref="N22:N23"/>
    <mergeCell ref="Z26:Z27"/>
    <mergeCell ref="K26:K27"/>
    <mergeCell ref="X16:X17"/>
    <mergeCell ref="AB22:AB23"/>
    <mergeCell ref="I16:I17"/>
    <mergeCell ref="X5:Y6"/>
    <mergeCell ref="Y26:Y27"/>
    <mergeCell ref="A16:A17"/>
    <mergeCell ref="AC24:AC25"/>
    <mergeCell ref="Q24:Q27"/>
    <mergeCell ref="U16:U17"/>
    <mergeCell ref="I26:I27"/>
    <mergeCell ref="B14:B15"/>
    <mergeCell ref="F18:F19"/>
    <mergeCell ref="W16:W17"/>
    <mergeCell ref="K35:L35"/>
    <mergeCell ref="L14:L15"/>
    <mergeCell ref="I18:I19"/>
    <mergeCell ref="A7:B7"/>
    <mergeCell ref="N14:N15"/>
    <mergeCell ref="R30:S30"/>
    <mergeCell ref="F26:F27"/>
    <mergeCell ref="AA24:AA25"/>
    <mergeCell ref="N11:N13"/>
    <mergeCell ref="D16:D17"/>
    <mergeCell ref="A1:C6"/>
    <mergeCell ref="H5:I6"/>
    <mergeCell ref="AA16:AA17"/>
    <mergeCell ref="I46:O46"/>
    <mergeCell ref="G18:G19"/>
    <mergeCell ref="AA26:AA27"/>
    <mergeCell ref="AC26:AC27"/>
    <mergeCell ref="A22:A23"/>
    <mergeCell ref="D18:D19"/>
    <mergeCell ref="Y16:Y17"/>
    <mergeCell ref="X14:X15"/>
    <mergeCell ref="I20:I21"/>
    <mergeCell ref="C36:D36"/>
    <mergeCell ref="U35:W35"/>
    <mergeCell ref="A20:A21"/>
    <mergeCell ref="J22:J23"/>
    <mergeCell ref="M18:M19"/>
    <mergeCell ref="N24:N25"/>
    <mergeCell ref="Q9:R9"/>
    <mergeCell ref="AA8:AC8"/>
    <mergeCell ref="U20:U21"/>
    <mergeCell ref="AE24:AE25"/>
    <mergeCell ref="H24:H25"/>
    <mergeCell ref="V22:V23"/>
    <mergeCell ref="AC9:AD9"/>
    <mergeCell ref="A46:G46"/>
    <mergeCell ref="AE20:AE21"/>
    <mergeCell ref="G22:G23"/>
    <mergeCell ref="Y18:Y19"/>
    <mergeCell ref="C7:G7"/>
    <mergeCell ref="AA18:AA19"/>
    <mergeCell ref="AB24:AB25"/>
    <mergeCell ref="AD24:AD25"/>
    <mergeCell ref="S35:T35"/>
    <mergeCell ref="AD18:AD19"/>
    <mergeCell ref="Q33:S33"/>
    <mergeCell ref="U22:U23"/>
    <mergeCell ref="T1:AE2"/>
    <mergeCell ref="U36:W36"/>
    <mergeCell ref="E35:G35"/>
    <mergeCell ref="L16:L17"/>
    <mergeCell ref="N16:N17"/>
    <mergeCell ref="A9:B9"/>
    <mergeCell ref="B26:B27"/>
    <mergeCell ref="X7:Z7"/>
    <mergeCell ref="F16:F17"/>
    <mergeCell ref="Q35:R36"/>
    <mergeCell ref="E14:E15"/>
    <mergeCell ref="N26:N27"/>
    <mergeCell ref="AF27:AF30"/>
    <mergeCell ref="AD8:AE8"/>
    <mergeCell ref="Q14:Q15"/>
    <mergeCell ref="N18:N19"/>
    <mergeCell ref="Q37:R37"/>
    <mergeCell ref="O11:O13"/>
    <mergeCell ref="Q11:Q13"/>
    <mergeCell ref="AE22:AE23"/>
    <mergeCell ref="F20:F21"/>
    <mergeCell ref="H7:J7"/>
    <mergeCell ref="A10:G10"/>
    <mergeCell ref="L18:L19"/>
    <mergeCell ref="K8:M8"/>
    <mergeCell ref="Q34:AE34"/>
    <mergeCell ref="P27:P30"/>
    <mergeCell ref="A32:C32"/>
    <mergeCell ref="F22:F23"/>
    <mergeCell ref="V24:V25"/>
    <mergeCell ref="J20:J21"/>
    <mergeCell ref="A37:B37"/>
    <mergeCell ref="H22:H23"/>
    <mergeCell ref="L20:L21"/>
    <mergeCell ref="X35:Z35"/>
    <mergeCell ref="AC14:AC15"/>
    <mergeCell ref="Z18:Z19"/>
    <mergeCell ref="O22:O23"/>
    <mergeCell ref="X20:X21"/>
    <mergeCell ref="Z5:Z6"/>
    <mergeCell ref="Z20:Z21"/>
    <mergeCell ref="U24:U25"/>
    <mergeCell ref="Q31:R31"/>
    <mergeCell ref="M24:M25"/>
    <mergeCell ref="Z14:Z15"/>
    <mergeCell ref="V26:V27"/>
    <mergeCell ref="W18:W19"/>
    <mergeCell ref="B29:C29"/>
    <mergeCell ref="L22:L23"/>
    <mergeCell ref="Q32:S32"/>
    <mergeCell ref="X9:Z9"/>
    <mergeCell ref="X22:X23"/>
    <mergeCell ref="R11:R13"/>
    <mergeCell ref="T11:AC12"/>
    <mergeCell ref="U26:U27"/>
    <mergeCell ref="B11:B13"/>
    <mergeCell ref="H35:J35"/>
    <mergeCell ref="X36:Z36"/>
    <mergeCell ref="Q16:Q17"/>
    <mergeCell ref="A8:B8"/>
    <mergeCell ref="E26:E27"/>
    <mergeCell ref="D5:G6"/>
    <mergeCell ref="G26:G27"/>
    <mergeCell ref="H14:H15"/>
    <mergeCell ref="AD22:AD23"/>
    <mergeCell ref="E24:E25"/>
    <mergeCell ref="J14:J15"/>
    <mergeCell ref="AB20:AB21"/>
    <mergeCell ref="K7:O7"/>
    <mergeCell ref="D26:D27"/>
    <mergeCell ref="AA22:AA23"/>
    <mergeCell ref="X10:AE10"/>
    <mergeCell ref="B16:B17"/>
    <mergeCell ref="M35:O35"/>
    <mergeCell ref="AE26:AE27"/>
    <mergeCell ref="K5:K6"/>
    <mergeCell ref="K20:K21"/>
    <mergeCell ref="F24:F25"/>
    <mergeCell ref="T5:W6"/>
    <mergeCell ref="M20:M21"/>
    <mergeCell ref="Q46:W46"/>
    <mergeCell ref="O18:O19"/>
    <mergeCell ref="AC16:AC17"/>
    <mergeCell ref="B18:B19"/>
    <mergeCell ref="Y14:Y15"/>
    <mergeCell ref="T14:T15"/>
    <mergeCell ref="E20:E21"/>
    <mergeCell ref="C11:C13"/>
    <mergeCell ref="Z16:Z17"/>
    <mergeCell ref="M9:N9"/>
    <mergeCell ref="H10:O10"/>
    <mergeCell ref="O20:O21"/>
    <mergeCell ref="AB16:AB17"/>
    <mergeCell ref="R16:R17"/>
    <mergeCell ref="Q20:Q21"/>
    <mergeCell ref="AC18:AC19"/>
    <mergeCell ref="AC35:AE35"/>
    <mergeCell ref="AA5:AA6"/>
    <mergeCell ref="AE18:AE19"/>
    <mergeCell ref="AA20:AA21"/>
    <mergeCell ref="AC20:AC21"/>
    <mergeCell ref="D11:M12"/>
    <mergeCell ref="X24:X25"/>
    <mergeCell ref="AB26:AB27"/>
    <mergeCell ref="S8:W8"/>
    <mergeCell ref="E36:G36"/>
    <mergeCell ref="AE14:AE15"/>
    <mergeCell ref="Q22:Q23"/>
    <mergeCell ref="J24:J25"/>
    <mergeCell ref="A35:B36"/>
    <mergeCell ref="AE11:AE13"/>
    <mergeCell ref="R20:R21"/>
    <mergeCell ref="G24:G25"/>
    <mergeCell ref="C9:G9"/>
    <mergeCell ref="N8:O8"/>
    <mergeCell ref="A14:A15"/>
    <mergeCell ref="I24:I25"/>
    <mergeCell ref="X18:X19"/>
    <mergeCell ref="J26:J27"/>
    <mergeCell ref="A28:C28"/>
    <mergeCell ref="R26:R27"/>
    <mergeCell ref="L26:L27"/>
    <mergeCell ref="M14:M15"/>
    <mergeCell ref="R22:R23"/>
    <mergeCell ref="AD26:AD27"/>
    <mergeCell ref="J18:J19"/>
    <mergeCell ref="H16:H17"/>
    <mergeCell ref="T22:T23"/>
    <mergeCell ref="H8:J8"/>
    <mergeCell ref="B20:B21"/>
    <mergeCell ref="E16:E17"/>
    <mergeCell ref="A34:O34"/>
    <mergeCell ref="D20:D21"/>
    <mergeCell ref="G16:G17"/>
    <mergeCell ref="D14:D15"/>
    <mergeCell ref="H18:H19"/>
    <mergeCell ref="M26:M27"/>
    <mergeCell ref="F14:F15"/>
    <mergeCell ref="Q10:W10"/>
    <mergeCell ref="B30:C30"/>
    <mergeCell ref="J5:J6"/>
    <mergeCell ref="R14:R15"/>
    <mergeCell ref="D3:O4"/>
    <mergeCell ref="B22:B23"/>
    <mergeCell ref="E18:E19"/>
    <mergeCell ref="AB14:AB15"/>
    <mergeCell ref="H20:H21"/>
    <mergeCell ref="K16:K17"/>
    <mergeCell ref="H9:J9"/>
    <mergeCell ref="AE16:AE17"/>
    <mergeCell ref="A24:A27"/>
    <mergeCell ref="T20:T21"/>
    <mergeCell ref="V20:V21"/>
    <mergeCell ref="K18:K19"/>
    <mergeCell ref="AD11:AD13"/>
    <mergeCell ref="V14:V15"/>
    <mergeCell ref="AB5:AE6"/>
    <mergeCell ref="Y46:AE46"/>
    <mergeCell ref="H36:J36"/>
    <mergeCell ref="T3:AE4"/>
    <mergeCell ref="R29:S29"/>
    <mergeCell ref="O24:O25"/>
    <mergeCell ref="Q18:Q19"/>
    <mergeCell ref="W20:W21"/>
    <mergeCell ref="K36:L36"/>
    <mergeCell ref="O16:O17"/>
    <mergeCell ref="Y20:Y21"/>
    <mergeCell ref="R24:R25"/>
    <mergeCell ref="C35:D35"/>
    <mergeCell ref="L24:L25"/>
    <mergeCell ref="I22:I23"/>
    <mergeCell ref="Q8:R8"/>
    <mergeCell ref="Z22:Z23"/>
    <mergeCell ref="L5:O6"/>
    <mergeCell ref="A33:C33"/>
    <mergeCell ref="O26:O27"/>
    <mergeCell ref="K22:K23"/>
    <mergeCell ref="M22:M23"/>
    <mergeCell ref="W26:W27"/>
    <mergeCell ref="M36:O36"/>
    <mergeCell ref="D1:O2"/>
    <mergeCell ref="W22:W23"/>
    <mergeCell ref="S7:W7"/>
    <mergeCell ref="M16:M17"/>
    <mergeCell ref="Y22:Y23"/>
    <mergeCell ref="T26:T27"/>
    <mergeCell ref="AA36:AB36"/>
    <mergeCell ref="A18:A19"/>
    <mergeCell ref="B24:B25"/>
    <mergeCell ref="G20:G21"/>
    <mergeCell ref="J16:J17"/>
    <mergeCell ref="D24:D25"/>
    <mergeCell ref="G14:G15"/>
    <mergeCell ref="U18:U19"/>
    <mergeCell ref="I14:I15"/>
    <mergeCell ref="AD16:AD17"/>
    <mergeCell ref="K14:K15"/>
    <mergeCell ref="AC22:AC23"/>
    <mergeCell ref="U14:U15"/>
    <mergeCell ref="AA7:AE7"/>
    <mergeCell ref="AC36:AE36"/>
    <mergeCell ref="W14:W15"/>
    <mergeCell ref="R18:R19"/>
    <mergeCell ref="V16:V17"/>
    <mergeCell ref="A11:A13"/>
    <mergeCell ref="AA35:AB35"/>
    <mergeCell ref="S11:S13"/>
    <mergeCell ref="S36:T36"/>
    <mergeCell ref="C8:G8"/>
    <mergeCell ref="O14:O15"/>
    <mergeCell ref="S9:W9"/>
    <mergeCell ref="X26:X27"/>
    <mergeCell ref="Q28:S28"/>
    <mergeCell ref="AA14:AA15"/>
    <mergeCell ref="T16:T17"/>
    <mergeCell ref="Q1:S6"/>
    <mergeCell ref="E22:E23"/>
    <mergeCell ref="Z24:Z25"/>
    <mergeCell ref="N20:N21"/>
    <mergeCell ref="X8:Z8"/>
    <mergeCell ref="K24:K25"/>
    <mergeCell ref="AB18:AB19"/>
    <mergeCell ref="T24:T25"/>
    <mergeCell ref="T18:T19"/>
    <mergeCell ref="A31:B31"/>
    <mergeCell ref="V18:V19"/>
    <mergeCell ref="W24:W25"/>
    <mergeCell ref="D22:D23"/>
  </mergeCells>
  <printOptions horizontalCentered="1"/>
  <pageMargins left="0.2362204724409449" right="0.35" top="0.2362204724409449" bottom="0" header="0" footer="0"/>
  <pageSetup orientation="portrait" paperSize="9" scale="90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O18"/>
  <sheetViews>
    <sheetView workbookViewId="0">
      <selection activeCell="B15" sqref="B15:O15"/>
    </sheetView>
  </sheetViews>
  <sheetFormatPr baseColWidth="10" defaultRowHeight="12.75"/>
  <cols>
    <col width="9.5703125" customWidth="1" style="5" min="2" max="2"/>
    <col width="5.28515625" customWidth="1" style="5" min="3" max="3"/>
    <col width="10.28515625" customWidth="1" style="5" min="7" max="7"/>
    <col hidden="1" width="11.42578125" customWidth="1" style="5" min="8" max="8"/>
    <col width="3.5703125" customWidth="1" style="5" min="9" max="9"/>
    <col width="4.7109375" customWidth="1" style="5" min="10" max="10"/>
    <col hidden="1" width="0.140625" customWidth="1" style="5" min="11" max="11"/>
    <col hidden="1" width="11.42578125" customWidth="1" style="5" min="12" max="13"/>
    <col hidden="1" width="11.140625" customWidth="1" style="5" min="14" max="14"/>
    <col width="7.7109375" customWidth="1" style="5" min="15" max="15"/>
  </cols>
  <sheetData>
    <row r="1">
      <c r="A1" s="195" t="n"/>
    </row>
    <row r="2">
      <c r="A2" s="267" t="n"/>
      <c r="B2" s="35" t="n"/>
      <c r="C2" s="35" t="n"/>
      <c r="D2" s="35" t="n"/>
      <c r="E2" s="35" t="n"/>
      <c r="F2" s="35" t="n"/>
      <c r="G2" s="35" t="n"/>
      <c r="H2" s="35" t="n"/>
      <c r="I2" s="35" t="n"/>
      <c r="J2" s="35" t="n"/>
      <c r="K2" s="35" t="n"/>
      <c r="L2" s="35" t="n"/>
      <c r="M2" s="35" t="n"/>
      <c r="N2" s="35" t="n"/>
      <c r="O2" s="241" t="n"/>
    </row>
    <row r="3">
      <c r="A3" s="250" t="n"/>
      <c r="B3" s="230" t="n"/>
      <c r="C3" s="231" t="n"/>
      <c r="D3" s="268" t="inlineStr">
        <is>
          <t xml:space="preserve">        SIGNIFICADO DE LA SIMBOLOGIA            Symbol Meaning</t>
        </is>
      </c>
      <c r="E3" s="230" t="n"/>
      <c r="F3" s="230" t="n"/>
      <c r="G3" s="230" t="n"/>
      <c r="H3" s="230" t="n"/>
      <c r="I3" s="230" t="n"/>
      <c r="J3" s="230" t="n"/>
      <c r="K3" s="230" t="n"/>
      <c r="L3" s="230" t="n"/>
      <c r="M3" s="230" t="n"/>
      <c r="N3" s="230" t="n"/>
      <c r="O3" s="231" t="n"/>
    </row>
    <row r="4">
      <c r="A4" s="107" t="n"/>
      <c r="C4" s="233" t="n"/>
      <c r="D4" s="107" t="n"/>
      <c r="O4" s="233" t="n"/>
    </row>
    <row r="5">
      <c r="A5" s="235" t="n"/>
      <c r="B5" s="27" t="n"/>
      <c r="C5" s="236" t="n"/>
      <c r="D5" s="235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36" t="n"/>
    </row>
    <row r="6" ht="18" customHeight="1" s="5">
      <c r="A6" s="269" t="n"/>
      <c r="B6" s="230" t="n"/>
      <c r="C6" s="230" t="n"/>
      <c r="D6" s="230" t="n"/>
      <c r="E6" s="230" t="n"/>
      <c r="F6" s="230" t="n"/>
      <c r="G6" s="230" t="n"/>
      <c r="H6" s="230" t="n"/>
      <c r="I6" s="230" t="n"/>
      <c r="J6" s="230" t="n"/>
      <c r="K6" s="230" t="n"/>
      <c r="L6" s="230" t="n"/>
      <c r="M6" s="230" t="n"/>
      <c r="N6" s="230" t="n"/>
      <c r="O6" s="231" t="n"/>
    </row>
    <row r="7" ht="30" customHeight="1" s="5">
      <c r="A7" s="14" t="inlineStr">
        <is>
          <t xml:space="preserve"> C:</t>
        </is>
      </c>
      <c r="B7" s="211" t="inlineStr">
        <is>
          <t>Ancho del aro exterior / Outer ring width</t>
        </is>
      </c>
      <c r="C7" s="35" t="n"/>
      <c r="D7" s="35" t="n"/>
      <c r="E7" s="35" t="n"/>
      <c r="F7" s="35" t="n"/>
      <c r="G7" s="35" t="n"/>
      <c r="H7" s="35" t="n"/>
      <c r="I7" s="35" t="n"/>
      <c r="J7" s="35" t="n"/>
      <c r="K7" s="35" t="n"/>
      <c r="L7" s="35" t="n"/>
      <c r="M7" s="35" t="n"/>
      <c r="N7" s="35" t="n"/>
      <c r="O7" s="241" t="n"/>
    </row>
    <row r="8" ht="30" customHeight="1" s="5">
      <c r="A8" s="14" t="inlineStr">
        <is>
          <t>D:</t>
        </is>
      </c>
      <c r="B8" s="211" t="inlineStr">
        <is>
          <t>Diámetro exterior del rodamiento / Bearing outside diameter</t>
        </is>
      </c>
      <c r="C8" s="35" t="n"/>
      <c r="D8" s="35" t="n"/>
      <c r="E8" s="35" t="n"/>
      <c r="F8" s="35" t="n"/>
      <c r="G8" s="35" t="n"/>
      <c r="H8" s="35" t="n"/>
      <c r="I8" s="35" t="n"/>
      <c r="J8" s="35" t="n"/>
      <c r="K8" s="35" t="n"/>
      <c r="L8" s="35" t="n"/>
      <c r="M8" s="35" t="n"/>
      <c r="N8" s="35" t="n"/>
      <c r="O8" s="241" t="n"/>
    </row>
    <row r="9" ht="30" customHeight="1" s="5">
      <c r="A9" s="14" t="inlineStr">
        <is>
          <t>d:</t>
        </is>
      </c>
      <c r="B9" s="150" t="inlineStr">
        <is>
          <t>Diámetro del agujero del aro interior del rodamiento / Bearing bore diameter</t>
        </is>
      </c>
      <c r="C9" s="35" t="n"/>
      <c r="D9" s="35" t="n"/>
      <c r="E9" s="35" t="n"/>
      <c r="F9" s="35" t="n"/>
      <c r="G9" s="35" t="n"/>
      <c r="H9" s="35" t="n"/>
      <c r="I9" s="35" t="n"/>
      <c r="J9" s="35" t="n"/>
      <c r="K9" s="35" t="n"/>
      <c r="L9" s="35" t="n"/>
      <c r="M9" s="35" t="n"/>
      <c r="N9" s="35" t="n"/>
      <c r="O9" s="241" t="n"/>
    </row>
    <row r="10" ht="30" customHeight="1" s="5">
      <c r="A10" s="14" t="inlineStr">
        <is>
          <t>GR:</t>
        </is>
      </c>
      <c r="B10" s="211" t="inlineStr">
        <is>
          <t>Juego radial</t>
        </is>
      </c>
      <c r="C10" s="35" t="n"/>
      <c r="D10" s="35" t="n"/>
      <c r="E10" s="35" t="n"/>
      <c r="F10" s="35" t="n"/>
      <c r="G10" s="35" t="n"/>
      <c r="H10" s="35" t="n"/>
      <c r="I10" s="35" t="n"/>
      <c r="J10" s="35" t="n"/>
      <c r="K10" s="35" t="n"/>
      <c r="L10" s="35" t="n"/>
      <c r="M10" s="35" t="n"/>
      <c r="N10" s="35" t="n"/>
      <c r="O10" s="241" t="n"/>
    </row>
    <row r="11" ht="30" customHeight="1" s="5">
      <c r="A11" s="14" t="inlineStr">
        <is>
          <t xml:space="preserve"> B:</t>
        </is>
      </c>
      <c r="B11" s="211" t="inlineStr">
        <is>
          <t>Ancho del aro interior / Inner ring width</t>
        </is>
      </c>
      <c r="C11" s="35" t="n"/>
      <c r="D11" s="35" t="n"/>
      <c r="E11" s="35" t="n"/>
      <c r="F11" s="35" t="n"/>
      <c r="G11" s="35" t="n"/>
      <c r="H11" s="35" t="n"/>
      <c r="I11" s="35" t="n"/>
      <c r="J11" s="35" t="n"/>
      <c r="K11" s="35" t="n"/>
      <c r="L11" s="35" t="n"/>
      <c r="M11" s="35" t="n"/>
      <c r="N11" s="35" t="n"/>
      <c r="O11" s="241" t="n"/>
    </row>
    <row r="12" ht="30" customHeight="1" s="5">
      <c r="A12" s="15" t="n"/>
      <c r="B12" s="218" t="n"/>
      <c r="C12" s="35" t="n"/>
      <c r="D12" s="35" t="n"/>
      <c r="E12" s="35" t="n"/>
      <c r="F12" s="35" t="n"/>
      <c r="G12" s="35" t="n"/>
      <c r="H12" s="35" t="n"/>
      <c r="I12" s="35" t="n"/>
      <c r="J12" s="35" t="n"/>
      <c r="K12" s="35" t="n"/>
      <c r="L12" s="35" t="n"/>
      <c r="M12" s="35" t="n"/>
      <c r="N12" s="35" t="n"/>
      <c r="O12" s="241" t="n"/>
    </row>
    <row r="13" ht="30" customHeight="1" s="5">
      <c r="A13" s="15" t="n"/>
      <c r="B13" s="218" t="n"/>
      <c r="C13" s="35" t="n"/>
      <c r="D13" s="35" t="n"/>
      <c r="E13" s="35" t="n"/>
      <c r="F13" s="35" t="n"/>
      <c r="G13" s="35" t="n"/>
      <c r="H13" s="35" t="n"/>
      <c r="I13" s="35" t="n"/>
      <c r="J13" s="35" t="n"/>
      <c r="K13" s="35" t="n"/>
      <c r="L13" s="35" t="n"/>
      <c r="M13" s="35" t="n"/>
      <c r="N13" s="35" t="n"/>
      <c r="O13" s="241" t="n"/>
    </row>
    <row r="14" ht="30" customHeight="1" s="5">
      <c r="A14" s="12" t="n"/>
      <c r="B14" s="200" t="n"/>
      <c r="O14" s="233" t="n"/>
    </row>
    <row r="15" ht="30" customHeight="1" s="5">
      <c r="A15" s="15" t="n"/>
      <c r="B15" s="218" t="n"/>
      <c r="C15" s="35" t="n"/>
      <c r="D15" s="35" t="n"/>
      <c r="E15" s="35" t="n"/>
      <c r="F15" s="35" t="n"/>
      <c r="G15" s="35" t="n"/>
      <c r="H15" s="35" t="n"/>
      <c r="I15" s="35" t="n"/>
      <c r="J15" s="35" t="n"/>
      <c r="K15" s="35" t="n"/>
      <c r="L15" s="35" t="n"/>
      <c r="M15" s="35" t="n"/>
      <c r="N15" s="35" t="n"/>
      <c r="O15" s="241" t="n"/>
    </row>
    <row r="16" ht="30" customHeight="1" s="5">
      <c r="A16" s="12" t="n"/>
      <c r="B16" s="200" t="n"/>
      <c r="O16" s="233" t="n"/>
    </row>
    <row r="17" ht="30" customHeight="1" s="5">
      <c r="A17" s="16" t="n"/>
      <c r="B17" s="213" t="n"/>
      <c r="C17" s="35" t="n"/>
      <c r="D17" s="35" t="n"/>
      <c r="E17" s="35" t="n"/>
      <c r="F17" s="35" t="n"/>
      <c r="G17" s="35" t="n"/>
      <c r="H17" s="35" t="n"/>
      <c r="I17" s="35" t="n"/>
      <c r="J17" s="35" t="n"/>
      <c r="K17" s="35" t="n"/>
      <c r="L17" s="35" t="n"/>
      <c r="M17" s="35" t="n"/>
      <c r="N17" s="35" t="n"/>
      <c r="O17" s="241" t="n"/>
    </row>
    <row r="18" ht="30" customHeight="1" s="5">
      <c r="A18" s="16" t="n"/>
      <c r="B18" s="213" t="n"/>
      <c r="C18" s="35" t="n"/>
      <c r="D18" s="35" t="n"/>
      <c r="E18" s="35" t="n"/>
      <c r="F18" s="35" t="n"/>
      <c r="G18" s="35" t="n"/>
      <c r="H18" s="35" t="n"/>
      <c r="I18" s="35" t="n"/>
      <c r="J18" s="35" t="n"/>
      <c r="K18" s="35" t="n"/>
      <c r="L18" s="35" t="n"/>
      <c r="M18" s="35" t="n"/>
      <c r="N18" s="35" t="n"/>
      <c r="O18" s="241" t="n"/>
    </row>
  </sheetData>
  <mergeCells count="17">
    <mergeCell ref="B17:O17"/>
    <mergeCell ref="B18:O18"/>
    <mergeCell ref="B13:O13"/>
    <mergeCell ref="B8:O8"/>
    <mergeCell ref="B9:O9"/>
    <mergeCell ref="A2:O2"/>
    <mergeCell ref="B12:O12"/>
    <mergeCell ref="D3:O5"/>
    <mergeCell ref="B16:O16"/>
    <mergeCell ref="B15:O15"/>
    <mergeCell ref="B10:O10"/>
    <mergeCell ref="B11:O11"/>
    <mergeCell ref="A1:O1"/>
    <mergeCell ref="B7:O7"/>
    <mergeCell ref="A6:O6"/>
    <mergeCell ref="A3:C5"/>
    <mergeCell ref="B14:O14"/>
  </mergeCells>
  <pageMargins left="0.7874015748031497" right="0.7874015748031497" top="0.984251968503937" bottom="0.984251968503937" header="0" footer="0"/>
  <pageSetup orientation="portrait" paperSize="9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AB257"/>
  <sheetViews>
    <sheetView tabSelected="1" zoomScale="145" zoomScaleNormal="145" workbookViewId="0">
      <pane ySplit="2" topLeftCell="A3" activePane="bottomLeft" state="frozen"/>
      <selection pane="bottomLeft" activeCell="B5" sqref="B5"/>
    </sheetView>
  </sheetViews>
  <sheetFormatPr baseColWidth="10" defaultRowHeight="12.75"/>
  <cols>
    <col width="7.85546875" bestFit="1" customWidth="1" style="199" min="1" max="1"/>
    <col width="31.140625" customWidth="1" style="74" min="2" max="2"/>
    <col width="9.7109375" customWidth="1" style="69" min="3" max="5"/>
    <col width="9.7109375" customWidth="1" style="68" min="6" max="14"/>
    <col width="10.42578125" bestFit="1" customWidth="1" style="68" min="15" max="15"/>
    <col width="9.7109375" customWidth="1" style="68" min="16" max="18"/>
    <col width="9.7109375" customWidth="1" style="47" min="19" max="21"/>
    <col width="15.7109375" customWidth="1" style="199" min="22" max="22"/>
    <col width="14.5703125" customWidth="1" style="199" min="23" max="23"/>
    <col width="6.7109375" customWidth="1" style="199" min="24" max="24"/>
    <col width="8.28515625" customWidth="1" style="5" min="25" max="25"/>
    <col width="5.7109375" customWidth="1" style="5" min="26" max="53"/>
  </cols>
  <sheetData>
    <row r="1">
      <c r="A1" s="56" t="inlineStr">
        <is>
          <t>Elegido</t>
        </is>
      </c>
      <c r="B1" s="70" t="n">
        <v>60</v>
      </c>
      <c r="C1" s="57" t="n">
        <v>3</v>
      </c>
      <c r="D1" s="57" t="n">
        <v>4</v>
      </c>
      <c r="E1" s="57" t="n">
        <v>5</v>
      </c>
      <c r="F1" s="58" t="n">
        <v>6</v>
      </c>
      <c r="G1" s="59" t="n">
        <v>7</v>
      </c>
      <c r="H1" s="59" t="n">
        <v>8</v>
      </c>
      <c r="I1" s="60" t="n">
        <v>9</v>
      </c>
      <c r="J1" s="60" t="n">
        <v>10</v>
      </c>
      <c r="K1" s="60" t="n">
        <v>11</v>
      </c>
      <c r="L1" s="60" t="n">
        <v>12</v>
      </c>
      <c r="M1" s="60" t="n">
        <v>13</v>
      </c>
      <c r="N1" s="60" t="n">
        <v>14</v>
      </c>
      <c r="O1" s="60" t="n">
        <v>15</v>
      </c>
      <c r="P1" s="60" t="n">
        <v>16</v>
      </c>
      <c r="Q1" s="60" t="n">
        <v>17</v>
      </c>
      <c r="R1" s="60" t="n">
        <v>18</v>
      </c>
      <c r="S1" s="44" t="n">
        <v>19</v>
      </c>
      <c r="T1" s="44" t="n">
        <v>20</v>
      </c>
      <c r="U1" s="44" t="n">
        <v>21</v>
      </c>
      <c r="V1" s="48" t="n">
        <v>22</v>
      </c>
      <c r="W1" s="53" t="n">
        <v>23</v>
      </c>
      <c r="X1" s="53" t="n">
        <v>24</v>
      </c>
    </row>
    <row r="2" ht="12.75" customFormat="1" customHeight="1" s="17">
      <c r="A2" s="75" t="inlineStr">
        <is>
          <t>Numero</t>
        </is>
      </c>
      <c r="B2" s="76" t="inlineStr">
        <is>
          <t>Codigo</t>
        </is>
      </c>
      <c r="C2" s="77" t="inlineStr">
        <is>
          <t>C</t>
        </is>
      </c>
      <c r="D2" s="78" t="inlineStr">
        <is>
          <t>C+</t>
        </is>
      </c>
      <c r="E2" s="78" t="inlineStr">
        <is>
          <t>C-</t>
        </is>
      </c>
      <c r="F2" s="77" t="inlineStr">
        <is>
          <t>B</t>
        </is>
      </c>
      <c r="G2" s="78" t="inlineStr">
        <is>
          <t>B+</t>
        </is>
      </c>
      <c r="H2" s="78" t="inlineStr">
        <is>
          <t>B-</t>
        </is>
      </c>
      <c r="I2" s="79" t="inlineStr">
        <is>
          <t>D</t>
        </is>
      </c>
      <c r="J2" s="78" t="inlineStr">
        <is>
          <t>D+</t>
        </is>
      </c>
      <c r="K2" s="80" t="inlineStr">
        <is>
          <t>D-</t>
        </is>
      </c>
      <c r="L2" s="79" t="inlineStr">
        <is>
          <t>d</t>
        </is>
      </c>
      <c r="M2" s="80" t="inlineStr">
        <is>
          <t>d+</t>
        </is>
      </c>
      <c r="N2" s="80" t="inlineStr">
        <is>
          <t>d-</t>
        </is>
      </c>
      <c r="O2" s="79" t="inlineStr">
        <is>
          <t>GR</t>
        </is>
      </c>
      <c r="P2" s="80" t="inlineStr">
        <is>
          <t>GR+</t>
        </is>
      </c>
      <c r="Q2" s="80" t="inlineStr">
        <is>
          <t>GR-</t>
        </is>
      </c>
      <c r="R2" s="80" t="inlineStr">
        <is>
          <t>ARO INT+</t>
        </is>
      </c>
      <c r="S2" s="80" t="inlineStr">
        <is>
          <t>ARO INT -</t>
        </is>
      </c>
      <c r="T2" s="80" t="inlineStr">
        <is>
          <t>ARO EXT +</t>
        </is>
      </c>
      <c r="U2" s="80" t="inlineStr">
        <is>
          <t>ARO EXT -</t>
        </is>
      </c>
      <c r="V2" s="80" t="inlineStr">
        <is>
          <t>Cage type</t>
        </is>
      </c>
      <c r="W2" s="81" t="inlineStr">
        <is>
          <t>Fecha Rev. Plano</t>
        </is>
      </c>
      <c r="X2" s="81" t="inlineStr">
        <is>
          <t>Rev.</t>
        </is>
      </c>
    </row>
    <row r="3" ht="15" customHeight="1" s="5">
      <c r="A3" s="199" t="n">
        <v>1</v>
      </c>
      <c r="B3" s="71" t="n">
        <v>36</v>
      </c>
      <c r="C3" s="61" t="n">
        <v>27</v>
      </c>
      <c r="D3" s="61" t="n">
        <v>0</v>
      </c>
      <c r="E3" s="61" t="n">
        <v>-120</v>
      </c>
      <c r="F3" s="61" t="n">
        <v>27</v>
      </c>
      <c r="G3" s="61" t="n">
        <v>0</v>
      </c>
      <c r="H3" s="61" t="n">
        <v>-120</v>
      </c>
      <c r="I3" s="61" t="n">
        <v>110</v>
      </c>
      <c r="J3" s="61" t="n">
        <v>0</v>
      </c>
      <c r="K3" s="61" t="n">
        <v>-15</v>
      </c>
      <c r="L3" s="61" t="n">
        <v>50</v>
      </c>
      <c r="M3" s="61" t="n">
        <v>0</v>
      </c>
      <c r="N3" s="61" t="n">
        <v>-12</v>
      </c>
      <c r="O3" s="62" t="inlineStr">
        <is>
          <t>C3</t>
        </is>
      </c>
      <c r="P3" s="62" t="n">
        <v>75</v>
      </c>
      <c r="Q3" s="62" t="n">
        <v>55</v>
      </c>
      <c r="R3" s="61" t="n">
        <v>64</v>
      </c>
      <c r="S3" s="45" t="n">
        <v>58</v>
      </c>
      <c r="T3" s="45" t="n">
        <v>64</v>
      </c>
      <c r="U3" s="45" t="n">
        <v>58</v>
      </c>
      <c r="V3" s="50" t="inlineStr">
        <is>
          <t>Bronce/Brass</t>
        </is>
      </c>
      <c r="W3" s="54" t="inlineStr">
        <is>
          <t>………….</t>
        </is>
      </c>
      <c r="X3" s="55" t="inlineStr">
        <is>
          <t>………</t>
        </is>
      </c>
      <c r="Y3" s="228" t="n"/>
    </row>
    <row r="4" ht="15" customHeight="1" s="5">
      <c r="A4" s="199" t="n">
        <v>2</v>
      </c>
      <c r="B4" s="71" t="inlineStr">
        <is>
          <t>21310-MBW33C</t>
        </is>
      </c>
      <c r="C4" s="61" t="n">
        <v>27</v>
      </c>
      <c r="D4" s="63" t="n">
        <v>0</v>
      </c>
      <c r="E4" s="63" t="n">
        <v>-120</v>
      </c>
      <c r="F4" s="61" t="n">
        <v>27</v>
      </c>
      <c r="G4" s="63" t="n">
        <v>0</v>
      </c>
      <c r="H4" s="63" t="n">
        <v>-120</v>
      </c>
      <c r="I4" s="63" t="n">
        <v>110</v>
      </c>
      <c r="J4" s="63" t="n">
        <v>0</v>
      </c>
      <c r="K4" s="63" t="n">
        <v>-18</v>
      </c>
      <c r="L4" s="61" t="n">
        <v>50</v>
      </c>
      <c r="M4" s="61" t="n">
        <v>0</v>
      </c>
      <c r="N4" s="61" t="n">
        <v>-12</v>
      </c>
      <c r="O4" s="61" t="n"/>
      <c r="P4" s="61" t="n"/>
      <c r="Q4" s="61" t="n"/>
      <c r="R4" s="61" t="n"/>
      <c r="S4" s="45" t="n"/>
      <c r="T4" s="45" t="n"/>
      <c r="U4" s="45" t="n"/>
      <c r="V4" s="50" t="n"/>
      <c r="W4" s="54" t="inlineStr">
        <is>
          <t>………….</t>
        </is>
      </c>
      <c r="X4" s="55" t="inlineStr">
        <is>
          <t>………</t>
        </is>
      </c>
      <c r="Y4" s="229" t="n"/>
    </row>
    <row r="5" ht="15" customHeight="1" s="5">
      <c r="A5" s="199" t="n">
        <v>3</v>
      </c>
      <c r="B5" s="71" t="inlineStr">
        <is>
          <t>22207-CW33C3</t>
        </is>
      </c>
      <c r="C5" s="61" t="n">
        <v>23</v>
      </c>
      <c r="D5" s="61" t="n">
        <v>0</v>
      </c>
      <c r="E5" s="61" t="n">
        <v>-120</v>
      </c>
      <c r="F5" s="61" t="n">
        <v>23</v>
      </c>
      <c r="G5" s="61" t="n">
        <v>0</v>
      </c>
      <c r="H5" s="61" t="n">
        <v>-120</v>
      </c>
      <c r="I5" s="61" t="n">
        <v>72</v>
      </c>
      <c r="J5" s="61" t="n">
        <v>0</v>
      </c>
      <c r="K5" s="61" t="n">
        <v>-13</v>
      </c>
      <c r="L5" s="61" t="n">
        <v>35</v>
      </c>
      <c r="M5" s="61" t="n">
        <v>0</v>
      </c>
      <c r="N5" s="61" t="n">
        <v>-12</v>
      </c>
      <c r="O5" s="61" t="inlineStr">
        <is>
          <t>C3</t>
        </is>
      </c>
      <c r="P5" s="61" t="n">
        <v>45</v>
      </c>
      <c r="Q5" s="61" t="n">
        <v>60</v>
      </c>
      <c r="R5" s="61" t="n">
        <v>64</v>
      </c>
      <c r="S5" s="45" t="n">
        <v>58</v>
      </c>
      <c r="T5" s="45" t="n">
        <v>64</v>
      </c>
      <c r="U5" s="45" t="n">
        <v>58</v>
      </c>
      <c r="V5" s="50" t="inlineStr">
        <is>
          <t xml:space="preserve">Acero/Steel </t>
        </is>
      </c>
      <c r="W5" s="54" t="n">
        <v>42201</v>
      </c>
      <c r="X5" s="55" t="n">
        <v>0</v>
      </c>
    </row>
    <row r="6" ht="15" customHeight="1" s="5">
      <c r="A6" s="199" t="n">
        <v>4</v>
      </c>
      <c r="B6" s="71" t="inlineStr">
        <is>
          <t>22209CW33C3</t>
        </is>
      </c>
      <c r="C6" s="64" t="n">
        <v>23</v>
      </c>
      <c r="D6" s="64" t="n">
        <v>0</v>
      </c>
      <c r="E6" s="64" t="n">
        <v>-120</v>
      </c>
      <c r="F6" s="61" t="n">
        <v>23</v>
      </c>
      <c r="G6" s="61" t="n">
        <v>0</v>
      </c>
      <c r="H6" s="61" t="n">
        <v>-120</v>
      </c>
      <c r="I6" s="61" t="n">
        <v>85</v>
      </c>
      <c r="J6" s="61" t="n">
        <v>0</v>
      </c>
      <c r="K6" s="61" t="n">
        <v>-15</v>
      </c>
      <c r="L6" s="61" t="n">
        <v>45</v>
      </c>
      <c r="M6" s="61" t="n">
        <v>0</v>
      </c>
      <c r="N6" s="61" t="n">
        <v>-12</v>
      </c>
      <c r="O6" s="61" t="inlineStr">
        <is>
          <t>C3</t>
        </is>
      </c>
      <c r="P6" s="61" t="n">
        <v>80</v>
      </c>
      <c r="Q6" s="61" t="n">
        <v>60</v>
      </c>
      <c r="R6" s="61" t="n">
        <v>64</v>
      </c>
      <c r="S6" s="45" t="n">
        <v>58</v>
      </c>
      <c r="T6" s="45" t="n">
        <v>64</v>
      </c>
      <c r="U6" s="45" t="n">
        <v>58</v>
      </c>
      <c r="V6" s="50" t="inlineStr">
        <is>
          <t xml:space="preserve">Acero/Steel </t>
        </is>
      </c>
      <c r="W6" s="54" t="inlineStr">
        <is>
          <t>………….</t>
        </is>
      </c>
      <c r="X6" s="55" t="inlineStr">
        <is>
          <t>………</t>
        </is>
      </c>
    </row>
    <row r="7" ht="15" customHeight="1" s="5">
      <c r="A7" s="199" t="n">
        <v>5</v>
      </c>
      <c r="B7" s="71" t="inlineStr">
        <is>
          <t>22211CKW33C3</t>
        </is>
      </c>
      <c r="C7" s="61" t="n">
        <v>25</v>
      </c>
      <c r="D7" s="61" t="n">
        <v>0</v>
      </c>
      <c r="E7" s="61" t="n">
        <v>-150</v>
      </c>
      <c r="F7" s="61" t="n">
        <v>25</v>
      </c>
      <c r="G7" s="61" t="n">
        <v>0</v>
      </c>
      <c r="H7" s="61" t="n">
        <v>-150</v>
      </c>
      <c r="I7" s="61" t="n">
        <v>100</v>
      </c>
      <c r="J7" s="61" t="n">
        <v>0</v>
      </c>
      <c r="K7" s="61" t="n">
        <v>-15</v>
      </c>
      <c r="L7" s="61" t="n">
        <v>55</v>
      </c>
      <c r="M7" s="61" t="n">
        <v>46</v>
      </c>
      <c r="N7" s="61" t="n">
        <v>0</v>
      </c>
      <c r="O7" s="61" t="inlineStr">
        <is>
          <t>C3</t>
        </is>
      </c>
      <c r="P7" s="61" t="n">
        <v>95</v>
      </c>
      <c r="Q7" s="61" t="n">
        <v>75</v>
      </c>
      <c r="R7" s="61" t="n">
        <v>64</v>
      </c>
      <c r="S7" s="45" t="n">
        <v>58</v>
      </c>
      <c r="T7" s="45" t="n">
        <v>64</v>
      </c>
      <c r="U7" s="45" t="n">
        <v>58</v>
      </c>
      <c r="V7" s="50" t="inlineStr">
        <is>
          <t xml:space="preserve">Acero/Steel </t>
        </is>
      </c>
      <c r="W7" s="54" t="inlineStr">
        <is>
          <t>………….</t>
        </is>
      </c>
      <c r="X7" s="55" t="inlineStr">
        <is>
          <t>………</t>
        </is>
      </c>
    </row>
    <row r="8" ht="15" customHeight="1" s="5">
      <c r="A8" s="199" t="n">
        <v>6</v>
      </c>
      <c r="B8" s="71" t="inlineStr">
        <is>
          <t>22211CW33C3</t>
        </is>
      </c>
      <c r="C8" s="61" t="n">
        <v>25</v>
      </c>
      <c r="D8" s="61" t="n">
        <v>0</v>
      </c>
      <c r="E8" s="61" t="n">
        <v>-150</v>
      </c>
      <c r="F8" s="61" t="n">
        <v>25</v>
      </c>
      <c r="G8" s="61" t="n">
        <v>0</v>
      </c>
      <c r="H8" s="61" t="n">
        <v>-150</v>
      </c>
      <c r="I8" s="61" t="n">
        <v>100</v>
      </c>
      <c r="J8" s="61" t="n">
        <v>0</v>
      </c>
      <c r="K8" s="61" t="n">
        <v>-15</v>
      </c>
      <c r="L8" s="61" t="n">
        <v>55</v>
      </c>
      <c r="M8" s="61" t="n">
        <v>0</v>
      </c>
      <c r="N8" s="61" t="n">
        <v>-15</v>
      </c>
      <c r="O8" s="61" t="inlineStr">
        <is>
          <t>C3</t>
        </is>
      </c>
      <c r="P8" s="61" t="n">
        <v>90</v>
      </c>
      <c r="Q8" s="61" t="n">
        <v>65</v>
      </c>
      <c r="R8" s="61" t="n">
        <v>64</v>
      </c>
      <c r="S8" s="45" t="n">
        <v>58</v>
      </c>
      <c r="T8" s="45" t="n">
        <v>64</v>
      </c>
      <c r="U8" s="45" t="n">
        <v>58</v>
      </c>
      <c r="V8" s="50" t="inlineStr">
        <is>
          <t xml:space="preserve">Acero/Steel </t>
        </is>
      </c>
      <c r="W8" s="54" t="inlineStr">
        <is>
          <t>………….</t>
        </is>
      </c>
      <c r="X8" s="55" t="inlineStr">
        <is>
          <t>………</t>
        </is>
      </c>
    </row>
    <row r="9" ht="15" customHeight="1" s="5">
      <c r="A9" s="199" t="n">
        <v>7</v>
      </c>
      <c r="B9" s="72" t="inlineStr">
        <is>
          <t xml:space="preserve">22213CKW33 </t>
        </is>
      </c>
      <c r="C9" s="61" t="inlineStr">
        <is>
          <t>NO</t>
        </is>
      </c>
      <c r="D9" s="61" t="inlineStr">
        <is>
          <t>NO</t>
        </is>
      </c>
      <c r="E9" s="61" t="inlineStr">
        <is>
          <t>NO</t>
        </is>
      </c>
      <c r="F9" s="61" t="inlineStr">
        <is>
          <t>NO</t>
        </is>
      </c>
      <c r="G9" s="61" t="inlineStr">
        <is>
          <t>NO</t>
        </is>
      </c>
      <c r="H9" s="61" t="inlineStr">
        <is>
          <t>NO</t>
        </is>
      </c>
      <c r="I9" s="61" t="inlineStr">
        <is>
          <t>NO</t>
        </is>
      </c>
      <c r="J9" s="61" t="inlineStr">
        <is>
          <t>NO</t>
        </is>
      </c>
      <c r="K9" s="61" t="inlineStr">
        <is>
          <t>NO</t>
        </is>
      </c>
      <c r="L9" s="61" t="inlineStr">
        <is>
          <t>NO</t>
        </is>
      </c>
      <c r="M9" s="61" t="inlineStr">
        <is>
          <t>NO</t>
        </is>
      </c>
      <c r="N9" s="61" t="inlineStr">
        <is>
          <t>NO</t>
        </is>
      </c>
      <c r="O9" s="61" t="inlineStr">
        <is>
          <t>NO</t>
        </is>
      </c>
      <c r="P9" s="61" t="inlineStr">
        <is>
          <t>NO</t>
        </is>
      </c>
      <c r="Q9" s="61" t="inlineStr">
        <is>
          <t>NO</t>
        </is>
      </c>
      <c r="R9" s="61" t="inlineStr">
        <is>
          <t>NO</t>
        </is>
      </c>
      <c r="S9" s="45" t="inlineStr">
        <is>
          <t>NO</t>
        </is>
      </c>
      <c r="T9" s="45" t="inlineStr">
        <is>
          <t>NO</t>
        </is>
      </c>
      <c r="U9" s="45" t="inlineStr">
        <is>
          <t>NO</t>
        </is>
      </c>
      <c r="V9" s="50" t="n"/>
      <c r="W9" s="54" t="inlineStr">
        <is>
          <t>………….</t>
        </is>
      </c>
      <c r="X9" s="55" t="inlineStr">
        <is>
          <t>………</t>
        </is>
      </c>
    </row>
    <row r="10" ht="15" customHeight="1" s="5">
      <c r="A10" s="199" t="n">
        <v>8</v>
      </c>
      <c r="B10" s="73" t="inlineStr">
        <is>
          <t>22213-CW33C3</t>
        </is>
      </c>
      <c r="C10" s="61" t="n">
        <v>31</v>
      </c>
      <c r="D10" s="61" t="n">
        <v>0</v>
      </c>
      <c r="E10" s="61" t="n">
        <v>-150</v>
      </c>
      <c r="F10" s="61" t="n">
        <v>31</v>
      </c>
      <c r="G10" s="61" t="n">
        <v>0</v>
      </c>
      <c r="H10" s="61" t="n">
        <v>-150</v>
      </c>
      <c r="I10" s="61" t="n">
        <v>120</v>
      </c>
      <c r="J10" s="61" t="n">
        <v>0</v>
      </c>
      <c r="K10" s="61" t="n">
        <v>-15</v>
      </c>
      <c r="L10" s="61" t="n">
        <v>65</v>
      </c>
      <c r="M10" s="61" t="n">
        <v>0</v>
      </c>
      <c r="N10" s="61" t="n">
        <v>-15</v>
      </c>
      <c r="O10" s="61" t="inlineStr">
        <is>
          <t>C3</t>
        </is>
      </c>
      <c r="P10" s="61" t="n">
        <v>90</v>
      </c>
      <c r="Q10" s="61" t="n">
        <v>65</v>
      </c>
      <c r="R10" s="61" t="n">
        <v>64</v>
      </c>
      <c r="S10" s="45" t="n">
        <v>58</v>
      </c>
      <c r="T10" s="45" t="n">
        <v>64</v>
      </c>
      <c r="U10" s="45" t="n">
        <v>58</v>
      </c>
      <c r="V10" s="50" t="inlineStr">
        <is>
          <t xml:space="preserve">Acero/Steel </t>
        </is>
      </c>
      <c r="W10" s="54" t="inlineStr">
        <is>
          <t>………….</t>
        </is>
      </c>
      <c r="X10" s="55" t="inlineStr">
        <is>
          <t>………</t>
        </is>
      </c>
    </row>
    <row r="11" ht="15" customHeight="1" s="5">
      <c r="A11" s="199" t="n">
        <v>9</v>
      </c>
      <c r="B11" s="71" t="inlineStr">
        <is>
          <t>BPB-042-22214-CW33C3 - HLBR</t>
        </is>
      </c>
      <c r="C11" s="61" t="n">
        <v>31</v>
      </c>
      <c r="D11" s="61" t="n">
        <v>0</v>
      </c>
      <c r="E11" s="61" t="n">
        <v>-150</v>
      </c>
      <c r="F11" s="61" t="n">
        <v>31</v>
      </c>
      <c r="G11" s="61" t="n">
        <v>0</v>
      </c>
      <c r="H11" s="61" t="n">
        <v>-150</v>
      </c>
      <c r="I11" s="61" t="n">
        <v>125</v>
      </c>
      <c r="J11" s="61" t="n">
        <v>0</v>
      </c>
      <c r="K11" s="61" t="n">
        <v>-18</v>
      </c>
      <c r="L11" s="61" t="n">
        <v>70</v>
      </c>
      <c r="M11" s="61" t="n">
        <v>0</v>
      </c>
      <c r="N11" s="61" t="n">
        <v>-15</v>
      </c>
      <c r="O11" s="61" t="inlineStr">
        <is>
          <t>RADIAL</t>
        </is>
      </c>
      <c r="P11" s="61" t="n">
        <v>110</v>
      </c>
      <c r="Q11" s="61" t="n">
        <v>80</v>
      </c>
      <c r="R11" s="61" t="n">
        <v>64</v>
      </c>
      <c r="S11" s="45" t="n">
        <v>58</v>
      </c>
      <c r="T11" s="45" t="n">
        <v>64</v>
      </c>
      <c r="U11" s="45" t="n">
        <v>58</v>
      </c>
      <c r="V11" s="50" t="inlineStr">
        <is>
          <t xml:space="preserve">Acero/Steel </t>
        </is>
      </c>
      <c r="W11" s="54" t="n">
        <v>43175</v>
      </c>
      <c r="X11" s="55" t="inlineStr">
        <is>
          <t>A</t>
        </is>
      </c>
    </row>
    <row r="12" ht="15" customHeight="1" s="5">
      <c r="A12" s="199" t="n">
        <v>10</v>
      </c>
      <c r="B12" s="71" t="inlineStr">
        <is>
          <t>22214-MBW33C</t>
        </is>
      </c>
      <c r="C12" s="61" t="n">
        <v>31</v>
      </c>
      <c r="D12" s="61" t="n">
        <v>0</v>
      </c>
      <c r="E12" s="61" t="n">
        <v>-150</v>
      </c>
      <c r="F12" s="61" t="n">
        <v>31</v>
      </c>
      <c r="G12" s="61" t="n">
        <v>0</v>
      </c>
      <c r="H12" s="61" t="n">
        <v>-150</v>
      </c>
      <c r="I12" s="61" t="n">
        <v>125</v>
      </c>
      <c r="J12" s="61" t="n">
        <v>0</v>
      </c>
      <c r="K12" s="61" t="n">
        <v>-18</v>
      </c>
      <c r="L12" s="61" t="n">
        <v>70</v>
      </c>
      <c r="M12" s="61" t="n">
        <v>0</v>
      </c>
      <c r="N12" s="61" t="n">
        <v>-15</v>
      </c>
      <c r="O12" s="61" t="inlineStr">
        <is>
          <t>C0</t>
        </is>
      </c>
      <c r="P12" s="61" t="n">
        <v>20</v>
      </c>
      <c r="Q12" s="61" t="n">
        <v>32</v>
      </c>
      <c r="R12" s="61" t="n"/>
      <c r="S12" s="45" t="n"/>
      <c r="T12" s="45" t="n"/>
      <c r="U12" s="45" t="n"/>
      <c r="V12" s="50" t="n"/>
      <c r="W12" s="49" t="n">
        <v>41992</v>
      </c>
      <c r="X12" s="50" t="inlineStr">
        <is>
          <t>A</t>
        </is>
      </c>
    </row>
    <row r="13" ht="15" customHeight="1" s="5">
      <c r="A13" s="199" t="n">
        <v>11</v>
      </c>
      <c r="B13" s="71" t="inlineStr">
        <is>
          <t>BPB-042-22215-CW33C3 - HLBR</t>
        </is>
      </c>
      <c r="C13" s="64" t="n">
        <v>31</v>
      </c>
      <c r="D13" s="64" t="n">
        <v>0</v>
      </c>
      <c r="E13" s="64" t="n">
        <v>-150</v>
      </c>
      <c r="F13" s="61" t="n">
        <v>31</v>
      </c>
      <c r="G13" s="61" t="n">
        <v>0</v>
      </c>
      <c r="H13" s="61" t="n">
        <v>-150</v>
      </c>
      <c r="I13" s="61" t="n">
        <v>130</v>
      </c>
      <c r="J13" s="61" t="n">
        <v>0</v>
      </c>
      <c r="K13" s="61" t="n">
        <v>-18</v>
      </c>
      <c r="L13" s="61" t="n">
        <v>75</v>
      </c>
      <c r="M13" s="61" t="n">
        <v>0</v>
      </c>
      <c r="N13" s="61" t="n">
        <v>-15</v>
      </c>
      <c r="O13" s="62" t="inlineStr">
        <is>
          <t xml:space="preserve">RADIAL </t>
        </is>
      </c>
      <c r="P13" s="61" t="n">
        <v>110</v>
      </c>
      <c r="Q13" s="61" t="n">
        <v>80</v>
      </c>
      <c r="R13" s="61" t="n">
        <v>64</v>
      </c>
      <c r="S13" s="45" t="n">
        <v>58</v>
      </c>
      <c r="T13" s="45" t="n">
        <v>64</v>
      </c>
      <c r="U13" s="45" t="n">
        <v>58</v>
      </c>
      <c r="V13" s="50" t="inlineStr">
        <is>
          <t xml:space="preserve">Acero/Steel </t>
        </is>
      </c>
      <c r="W13" s="54" t="n">
        <v>42391</v>
      </c>
      <c r="X13" s="55" t="inlineStr">
        <is>
          <t>A</t>
        </is>
      </c>
    </row>
    <row r="14" ht="12.75" customHeight="1" s="5">
      <c r="A14" s="199" t="n">
        <v>12</v>
      </c>
      <c r="B14" s="71" t="inlineStr">
        <is>
          <t>22216-C3W33</t>
        </is>
      </c>
      <c r="C14" s="64" t="n">
        <v>33</v>
      </c>
      <c r="D14" s="64" t="n">
        <v>0</v>
      </c>
      <c r="E14" s="64" t="n">
        <v>-150</v>
      </c>
      <c r="F14" s="61" t="n">
        <v>33</v>
      </c>
      <c r="G14" s="61" t="n">
        <v>0</v>
      </c>
      <c r="H14" s="61" t="n">
        <v>-150</v>
      </c>
      <c r="I14" s="61" t="n">
        <v>140</v>
      </c>
      <c r="J14" s="61" t="n">
        <v>0</v>
      </c>
      <c r="K14" s="61" t="n">
        <v>-18</v>
      </c>
      <c r="L14" s="61" t="n">
        <v>80</v>
      </c>
      <c r="M14" s="61" t="n">
        <v>0</v>
      </c>
      <c r="N14" s="61" t="n">
        <v>-15</v>
      </c>
      <c r="O14" s="62" t="inlineStr">
        <is>
          <t xml:space="preserve">RADIAL </t>
        </is>
      </c>
      <c r="P14" s="61" t="n">
        <v>110</v>
      </c>
      <c r="Q14" s="61" t="n">
        <v>80</v>
      </c>
      <c r="R14" s="61" t="n">
        <v>64</v>
      </c>
      <c r="S14" s="45" t="n">
        <v>58</v>
      </c>
      <c r="T14" s="45" t="n">
        <v>64</v>
      </c>
      <c r="U14" s="45" t="n">
        <v>58</v>
      </c>
      <c r="V14" s="50" t="inlineStr">
        <is>
          <t xml:space="preserve">Acero/Steel </t>
        </is>
      </c>
      <c r="W14" s="54" t="inlineStr">
        <is>
          <t>………….</t>
        </is>
      </c>
      <c r="X14" s="55" t="inlineStr">
        <is>
          <t>………</t>
        </is>
      </c>
    </row>
    <row r="15" ht="15" customHeight="1" s="5">
      <c r="A15" s="199" t="n">
        <v>13</v>
      </c>
      <c r="B15" s="71" t="inlineStr">
        <is>
          <t>22218C3W33</t>
        </is>
      </c>
      <c r="C15" s="61" t="n">
        <v>40</v>
      </c>
      <c r="D15" s="61" t="n">
        <v>0</v>
      </c>
      <c r="E15" s="61" t="n">
        <v>-200</v>
      </c>
      <c r="F15" s="61" t="n">
        <v>40</v>
      </c>
      <c r="G15" s="61" t="n">
        <v>0</v>
      </c>
      <c r="H15" s="61" t="n">
        <v>-200</v>
      </c>
      <c r="I15" s="61" t="n">
        <v>160</v>
      </c>
      <c r="J15" s="61" t="n">
        <v>0</v>
      </c>
      <c r="K15" s="61" t="n">
        <v>-25</v>
      </c>
      <c r="L15" s="61" t="n">
        <v>90</v>
      </c>
      <c r="M15" s="61" t="n">
        <v>0</v>
      </c>
      <c r="N15" s="61" t="n">
        <v>-20</v>
      </c>
      <c r="O15" s="61" t="inlineStr">
        <is>
          <t>RADIAL</t>
        </is>
      </c>
      <c r="P15" s="61" t="n">
        <v>135</v>
      </c>
      <c r="Q15" s="61" t="n">
        <v>100</v>
      </c>
      <c r="R15" s="61" t="n">
        <v>64</v>
      </c>
      <c r="S15" s="45" t="n">
        <v>58</v>
      </c>
      <c r="T15" s="45" t="n">
        <v>64</v>
      </c>
      <c r="U15" s="45" t="n">
        <v>58</v>
      </c>
      <c r="V15" s="50" t="inlineStr">
        <is>
          <t xml:space="preserve">Acero/Steel </t>
        </is>
      </c>
      <c r="W15" s="54" t="n">
        <v>42467</v>
      </c>
      <c r="X15" s="55" t="n">
        <v>0</v>
      </c>
    </row>
    <row r="16" ht="15" customHeight="1" s="5">
      <c r="A16" s="199" t="n">
        <v>14</v>
      </c>
      <c r="B16" s="71" t="inlineStr">
        <is>
          <t>22218KC3W33</t>
        </is>
      </c>
      <c r="C16" s="61" t="n">
        <v>40</v>
      </c>
      <c r="D16" s="61" t="n">
        <v>0</v>
      </c>
      <c r="E16" s="61" t="n">
        <v>-200</v>
      </c>
      <c r="F16" s="61" t="n">
        <v>40</v>
      </c>
      <c r="G16" s="61" t="n">
        <v>0</v>
      </c>
      <c r="H16" s="61" t="n">
        <v>-200</v>
      </c>
      <c r="I16" s="61" t="n">
        <v>160</v>
      </c>
      <c r="J16" s="61" t="n">
        <v>0</v>
      </c>
      <c r="K16" s="61" t="n">
        <v>-25</v>
      </c>
      <c r="L16" s="61" t="n">
        <v>90</v>
      </c>
      <c r="M16" s="61" t="n">
        <v>54</v>
      </c>
      <c r="N16" s="61" t="n">
        <v>0</v>
      </c>
      <c r="O16" s="61" t="inlineStr">
        <is>
          <t>C3</t>
        </is>
      </c>
      <c r="P16" s="61" t="n">
        <v>140</v>
      </c>
      <c r="Q16" s="61" t="n">
        <v>110</v>
      </c>
      <c r="R16" s="61" t="n">
        <v>64</v>
      </c>
      <c r="S16" s="45" t="n">
        <v>58</v>
      </c>
      <c r="T16" s="45" t="n">
        <v>64</v>
      </c>
      <c r="U16" s="45" t="n">
        <v>58</v>
      </c>
      <c r="V16" s="50" t="inlineStr">
        <is>
          <t xml:space="preserve">Acero/Steel </t>
        </is>
      </c>
      <c r="W16" s="54" t="n">
        <v>41397</v>
      </c>
      <c r="X16" s="55" t="n">
        <v>0</v>
      </c>
    </row>
    <row r="17" ht="15" customHeight="1" s="5">
      <c r="A17" s="199" t="n">
        <v>15</v>
      </c>
      <c r="B17" s="71" t="inlineStr">
        <is>
          <t>22309-CW33C3</t>
        </is>
      </c>
      <c r="C17" s="61" t="n">
        <v>36</v>
      </c>
      <c r="D17" s="61" t="n">
        <v>0</v>
      </c>
      <c r="E17" s="61" t="n">
        <v>-127</v>
      </c>
      <c r="F17" s="61" t="n">
        <v>36</v>
      </c>
      <c r="G17" s="61" t="n">
        <v>0</v>
      </c>
      <c r="H17" s="61" t="n">
        <v>-127</v>
      </c>
      <c r="I17" s="61" t="n">
        <v>100</v>
      </c>
      <c r="J17" s="61" t="n">
        <v>0</v>
      </c>
      <c r="K17" s="61" t="n">
        <v>-15</v>
      </c>
      <c r="L17" s="61" t="n">
        <v>45</v>
      </c>
      <c r="M17" s="61" t="n">
        <v>0</v>
      </c>
      <c r="N17" s="61" t="n">
        <v>-13</v>
      </c>
      <c r="O17" s="61" t="inlineStr">
        <is>
          <t>C3</t>
        </is>
      </c>
      <c r="P17" s="61" t="n"/>
      <c r="Q17" s="61" t="n"/>
      <c r="R17" s="61" t="n"/>
      <c r="S17" s="45" t="n"/>
      <c r="T17" s="45" t="n"/>
      <c r="U17" s="45" t="n"/>
      <c r="V17" s="50" t="n"/>
      <c r="W17" s="54" t="inlineStr">
        <is>
          <t>………….</t>
        </is>
      </c>
      <c r="X17" s="55" t="inlineStr">
        <is>
          <t>………</t>
        </is>
      </c>
    </row>
    <row r="18" ht="15" customHeight="1" s="5">
      <c r="A18" s="199" t="n">
        <v>16</v>
      </c>
      <c r="B18" s="71" t="inlineStr">
        <is>
          <t>22311-CW33C3</t>
        </is>
      </c>
      <c r="C18" s="61" t="n">
        <v>43</v>
      </c>
      <c r="D18" s="61" t="n">
        <v>0</v>
      </c>
      <c r="E18" s="61" t="n">
        <v>-120</v>
      </c>
      <c r="F18" s="61" t="n">
        <v>43</v>
      </c>
      <c r="G18" s="61" t="n">
        <v>0</v>
      </c>
      <c r="H18" s="61" t="n">
        <v>-120</v>
      </c>
      <c r="I18" s="61" t="n">
        <v>120</v>
      </c>
      <c r="J18" s="61" t="n">
        <v>0</v>
      </c>
      <c r="K18" s="61" t="n">
        <v>-15</v>
      </c>
      <c r="L18" s="61" t="n">
        <v>55</v>
      </c>
      <c r="M18" s="61" t="n">
        <v>0</v>
      </c>
      <c r="N18" s="61" t="n">
        <v>-15</v>
      </c>
      <c r="O18" s="61" t="inlineStr">
        <is>
          <t>C3</t>
        </is>
      </c>
      <c r="P18" s="61" t="n"/>
      <c r="Q18" s="61" t="n"/>
      <c r="R18" s="61" t="n"/>
      <c r="S18" s="45" t="n"/>
      <c r="T18" s="45" t="n"/>
      <c r="U18" s="45" t="n"/>
      <c r="V18" s="50" t="n"/>
      <c r="W18" s="54" t="inlineStr">
        <is>
          <t>………….</t>
        </is>
      </c>
      <c r="X18" s="55" t="inlineStr">
        <is>
          <t>………</t>
        </is>
      </c>
    </row>
    <row r="19" ht="15" customHeight="1" s="5">
      <c r="A19" s="199" t="n">
        <v>17</v>
      </c>
      <c r="B19" s="71" t="inlineStr">
        <is>
          <t>NJG2250</t>
        </is>
      </c>
      <c r="C19" s="64" t="n">
        <v>17</v>
      </c>
      <c r="D19" s="64" t="n">
        <v>0</v>
      </c>
      <c r="E19" s="64" t="n">
        <v>-120</v>
      </c>
      <c r="F19" s="61" t="n">
        <v>27.37</v>
      </c>
      <c r="G19" s="61" t="n">
        <v>0</v>
      </c>
      <c r="H19" s="61" t="n">
        <v>-120</v>
      </c>
      <c r="I19" s="61" t="n">
        <v>50</v>
      </c>
      <c r="J19" s="61" t="n">
        <v>0</v>
      </c>
      <c r="K19" s="61" t="n">
        <v>-13</v>
      </c>
      <c r="L19" s="61" t="n">
        <v>22.205</v>
      </c>
      <c r="M19" s="61" t="n">
        <v>0</v>
      </c>
      <c r="N19" s="61" t="n">
        <v>-13</v>
      </c>
      <c r="O19" s="61" t="inlineStr">
        <is>
          <t>Axial</t>
        </is>
      </c>
      <c r="P19" s="61" t="n">
        <v>2000</v>
      </c>
      <c r="Q19" s="61" t="n">
        <v>0</v>
      </c>
      <c r="R19" s="61" t="n">
        <v>64</v>
      </c>
      <c r="S19" s="45" t="n">
        <v>58</v>
      </c>
      <c r="T19" s="45" t="n">
        <v>64</v>
      </c>
      <c r="U19" s="45" t="n">
        <v>58</v>
      </c>
      <c r="V19" s="50" t="inlineStr">
        <is>
          <t>NO</t>
        </is>
      </c>
      <c r="W19" s="54" t="inlineStr">
        <is>
          <t>………….</t>
        </is>
      </c>
      <c r="X19" s="55" t="inlineStr">
        <is>
          <t>………</t>
        </is>
      </c>
    </row>
    <row r="20" ht="15" customHeight="1" s="5">
      <c r="A20" s="199" t="n">
        <v>18</v>
      </c>
      <c r="B20" s="71" t="inlineStr">
        <is>
          <t>NJG2860</t>
        </is>
      </c>
      <c r="C20" s="64" t="n">
        <v>19</v>
      </c>
      <c r="D20" s="64" t="n">
        <v>0</v>
      </c>
      <c r="E20" s="64" t="n">
        <v>-120</v>
      </c>
      <c r="F20" s="61" t="n">
        <v>28</v>
      </c>
      <c r="G20" s="61" t="n">
        <v>0</v>
      </c>
      <c r="H20" s="61" t="n">
        <v>-120</v>
      </c>
      <c r="I20" s="61" t="n">
        <v>60</v>
      </c>
      <c r="J20" s="61" t="n">
        <v>0</v>
      </c>
      <c r="K20" s="61" t="n">
        <v>-13</v>
      </c>
      <c r="L20" s="61" t="n">
        <v>28.555</v>
      </c>
      <c r="M20" s="61" t="n">
        <v>0</v>
      </c>
      <c r="N20" s="61" t="n">
        <v>-13</v>
      </c>
      <c r="O20" s="61" t="inlineStr">
        <is>
          <t>Axial</t>
        </is>
      </c>
      <c r="P20" s="61" t="n">
        <v>2000</v>
      </c>
      <c r="Q20" s="61" t="n">
        <v>0</v>
      </c>
      <c r="R20" s="61" t="n">
        <v>64</v>
      </c>
      <c r="S20" s="45" t="n">
        <v>58</v>
      </c>
      <c r="T20" s="45" t="n">
        <v>64</v>
      </c>
      <c r="U20" s="45" t="n">
        <v>58</v>
      </c>
      <c r="V20" s="50" t="inlineStr">
        <is>
          <t>NO</t>
        </is>
      </c>
      <c r="W20" s="54" t="inlineStr">
        <is>
          <t>………….</t>
        </is>
      </c>
      <c r="X20" s="55" t="inlineStr">
        <is>
          <t>………</t>
        </is>
      </c>
    </row>
    <row r="21" ht="15" customHeight="1" s="5">
      <c r="A21" s="199" t="n">
        <v>19</v>
      </c>
      <c r="B21" s="71" t="inlineStr">
        <is>
          <t>BPB-035-NUP-206 - CWN</t>
        </is>
      </c>
      <c r="C21" s="64" t="n">
        <v>16</v>
      </c>
      <c r="D21" s="64" t="n">
        <v>0</v>
      </c>
      <c r="E21" s="64" t="n">
        <v>-120</v>
      </c>
      <c r="F21" s="61" t="n">
        <v>16</v>
      </c>
      <c r="G21" s="61" t="n">
        <v>0</v>
      </c>
      <c r="H21" s="61" t="n">
        <v>-120</v>
      </c>
      <c r="I21" s="61" t="n">
        <v>62</v>
      </c>
      <c r="J21" s="61" t="n">
        <v>0</v>
      </c>
      <c r="K21" s="61" t="n">
        <v>-13</v>
      </c>
      <c r="L21" s="61" t="n">
        <v>30</v>
      </c>
      <c r="M21" s="61" t="n">
        <v>0</v>
      </c>
      <c r="N21" s="61" t="n">
        <v>-10</v>
      </c>
      <c r="O21" s="61" t="inlineStr">
        <is>
          <t>RADIAL C0</t>
        </is>
      </c>
      <c r="P21" s="61" t="n">
        <v>45</v>
      </c>
      <c r="Q21" s="61" t="n">
        <v>20</v>
      </c>
      <c r="R21" s="61" t="n">
        <v>64</v>
      </c>
      <c r="S21" s="45" t="n">
        <v>58</v>
      </c>
      <c r="T21" s="45" t="n">
        <v>64</v>
      </c>
      <c r="U21" s="45" t="n">
        <v>58</v>
      </c>
      <c r="V21" s="50" t="inlineStr">
        <is>
          <t>C1010</t>
        </is>
      </c>
      <c r="W21" s="54" t="n">
        <v>43174</v>
      </c>
      <c r="X21" s="55" t="inlineStr">
        <is>
          <t>A</t>
        </is>
      </c>
    </row>
    <row r="22" ht="15" customHeight="1" s="5">
      <c r="A22" s="199" t="n">
        <v>20</v>
      </c>
      <c r="B22" s="71" t="inlineStr">
        <is>
          <t>22218-CW33C3</t>
        </is>
      </c>
      <c r="C22" s="61" t="n">
        <v>40</v>
      </c>
      <c r="D22" s="61" t="n">
        <v>0</v>
      </c>
      <c r="E22" s="61" t="n">
        <v>-200</v>
      </c>
      <c r="F22" s="61" t="n">
        <v>40</v>
      </c>
      <c r="G22" s="61" t="n">
        <v>0</v>
      </c>
      <c r="H22" s="61" t="n">
        <v>-200</v>
      </c>
      <c r="I22" s="61" t="n">
        <v>160</v>
      </c>
      <c r="J22" s="61" t="n">
        <v>0</v>
      </c>
      <c r="K22" s="61" t="n">
        <v>-25</v>
      </c>
      <c r="L22" s="61" t="n">
        <v>90</v>
      </c>
      <c r="M22" s="61" t="n">
        <v>0</v>
      </c>
      <c r="N22" s="61" t="n">
        <v>-20</v>
      </c>
      <c r="O22" s="61" t="inlineStr">
        <is>
          <t>Radial</t>
        </is>
      </c>
      <c r="P22" s="61" t="n">
        <v>135</v>
      </c>
      <c r="Q22" s="61" t="n">
        <v>110</v>
      </c>
      <c r="R22" s="61" t="n">
        <v>64</v>
      </c>
      <c r="S22" s="45" t="n">
        <v>58</v>
      </c>
      <c r="T22" s="45" t="n">
        <v>64</v>
      </c>
      <c r="U22" s="45" t="n">
        <v>58</v>
      </c>
      <c r="V22" s="50" t="inlineStr">
        <is>
          <t xml:space="preserve">Acero/Steel </t>
        </is>
      </c>
      <c r="W22" s="54" t="n">
        <v>42772</v>
      </c>
      <c r="X22" s="55" t="inlineStr">
        <is>
          <t>A</t>
        </is>
      </c>
    </row>
    <row r="23" ht="15" customHeight="1" s="5">
      <c r="A23" s="199" t="n">
        <v>21</v>
      </c>
      <c r="B23" s="71" t="inlineStr">
        <is>
          <t>BPB-042-22205-CW33C3 - HLBR</t>
        </is>
      </c>
      <c r="C23" s="64" t="n">
        <v>18</v>
      </c>
      <c r="D23" s="64" t="n">
        <v>0</v>
      </c>
      <c r="E23" s="64" t="n">
        <v>-120</v>
      </c>
      <c r="F23" s="61" t="n">
        <v>18</v>
      </c>
      <c r="G23" s="61" t="n">
        <v>0</v>
      </c>
      <c r="H23" s="61" t="n">
        <v>-120</v>
      </c>
      <c r="I23" s="68" t="n">
        <v>52</v>
      </c>
      <c r="J23" s="68" t="n">
        <v>0</v>
      </c>
      <c r="K23" s="68" t="n">
        <v>-13</v>
      </c>
      <c r="L23" s="61" t="n">
        <v>25</v>
      </c>
      <c r="M23" s="61" t="n">
        <v>0</v>
      </c>
      <c r="N23" s="61" t="n">
        <v>-10</v>
      </c>
      <c r="O23" s="61" t="inlineStr">
        <is>
          <t>C3</t>
        </is>
      </c>
      <c r="P23" s="61" t="n">
        <v>55</v>
      </c>
      <c r="Q23" s="61" t="n">
        <v>40</v>
      </c>
      <c r="R23" s="61" t="n">
        <v>64</v>
      </c>
      <c r="S23" s="45" t="n">
        <v>58</v>
      </c>
      <c r="T23" s="45" t="n">
        <v>64</v>
      </c>
      <c r="U23" s="45" t="n">
        <v>58</v>
      </c>
      <c r="V23" s="50" t="inlineStr">
        <is>
          <t xml:space="preserve">Acero/Steel </t>
        </is>
      </c>
      <c r="W23" s="54" t="n">
        <v>43180</v>
      </c>
      <c r="X23" s="55" t="n">
        <v>0</v>
      </c>
    </row>
    <row r="24" ht="15" customHeight="1" s="5">
      <c r="A24" s="199" t="n">
        <v>22</v>
      </c>
      <c r="B24" s="71" t="inlineStr">
        <is>
          <t>BPB-042-22205CKW33C3 - HLBR</t>
        </is>
      </c>
      <c r="C24" s="64" t="n">
        <v>18</v>
      </c>
      <c r="D24" s="64" t="n">
        <v>0</v>
      </c>
      <c r="E24" s="64" t="n">
        <v>-120</v>
      </c>
      <c r="F24" s="61" t="n">
        <v>18</v>
      </c>
      <c r="G24" s="61" t="n">
        <v>0</v>
      </c>
      <c r="H24" s="61" t="n">
        <v>-120</v>
      </c>
      <c r="I24" s="61" t="n">
        <v>52</v>
      </c>
      <c r="J24" s="61" t="n">
        <v>0</v>
      </c>
      <c r="K24" s="61" t="n">
        <v>-13</v>
      </c>
      <c r="L24" s="61" t="n">
        <v>25</v>
      </c>
      <c r="M24" s="61" t="n">
        <v>0</v>
      </c>
      <c r="N24" s="61" t="n">
        <v>-10</v>
      </c>
      <c r="O24" s="61" t="inlineStr">
        <is>
          <t>C3</t>
        </is>
      </c>
      <c r="P24" s="61" t="n">
        <v>55</v>
      </c>
      <c r="Q24" s="61" t="n">
        <v>40</v>
      </c>
      <c r="R24" s="61" t="n">
        <v>64</v>
      </c>
      <c r="S24" s="45" t="n">
        <v>58</v>
      </c>
      <c r="T24" s="45" t="n">
        <v>64</v>
      </c>
      <c r="U24" s="45" t="n">
        <v>58</v>
      </c>
      <c r="V24" s="50" t="inlineStr">
        <is>
          <t xml:space="preserve">Acero/Steel </t>
        </is>
      </c>
      <c r="W24" s="54" t="n">
        <v>43211</v>
      </c>
      <c r="X24" s="55" t="n">
        <v>0</v>
      </c>
    </row>
    <row r="25" ht="15" customHeight="1" s="5">
      <c r="A25" s="199" t="n">
        <v>23</v>
      </c>
      <c r="B25" s="71" t="inlineStr">
        <is>
          <t>BPB-042-22206-CW33C3 - HLBR</t>
        </is>
      </c>
      <c r="C25" s="64" t="n">
        <v>20</v>
      </c>
      <c r="D25" s="64" t="n">
        <v>0</v>
      </c>
      <c r="E25" s="64" t="n">
        <v>-120</v>
      </c>
      <c r="F25" s="61" t="n">
        <v>20</v>
      </c>
      <c r="G25" s="61" t="n">
        <v>0</v>
      </c>
      <c r="H25" s="61" t="n">
        <v>-120</v>
      </c>
      <c r="I25" s="61" t="n">
        <v>62</v>
      </c>
      <c r="J25" s="61" t="n">
        <v>0</v>
      </c>
      <c r="K25" s="61" t="n">
        <v>-13</v>
      </c>
      <c r="L25" s="61" t="n">
        <v>30</v>
      </c>
      <c r="M25" s="61" t="n">
        <v>0</v>
      </c>
      <c r="N25" s="61" t="n">
        <v>-10</v>
      </c>
      <c r="O25" s="61" t="inlineStr">
        <is>
          <t>C3</t>
        </is>
      </c>
      <c r="P25" s="61" t="n">
        <v>55</v>
      </c>
      <c r="Q25" s="61" t="n">
        <v>40</v>
      </c>
      <c r="R25" s="61" t="n">
        <v>64</v>
      </c>
      <c r="S25" s="45" t="n">
        <v>58</v>
      </c>
      <c r="T25" s="45" t="n">
        <v>64</v>
      </c>
      <c r="U25" s="45" t="n">
        <v>58</v>
      </c>
      <c r="V25" s="50" t="inlineStr">
        <is>
          <t xml:space="preserve">Acero/Steel </t>
        </is>
      </c>
      <c r="W25" s="54" t="n">
        <v>43180</v>
      </c>
      <c r="X25" s="55" t="n">
        <v>0</v>
      </c>
    </row>
    <row r="26" ht="15" customHeight="1" s="5">
      <c r="A26" s="199" t="n">
        <v>24</v>
      </c>
      <c r="B26" s="71" t="inlineStr">
        <is>
          <t>BPB-042-22206-CKW33C3 - HLBR</t>
        </is>
      </c>
      <c r="C26" s="64" t="n">
        <v>20</v>
      </c>
      <c r="D26" s="64" t="n">
        <v>0</v>
      </c>
      <c r="E26" s="64" t="n">
        <v>-120</v>
      </c>
      <c r="F26" s="61" t="n">
        <v>20</v>
      </c>
      <c r="G26" s="61" t="n">
        <v>0</v>
      </c>
      <c r="H26" s="61" t="n">
        <v>-120</v>
      </c>
      <c r="I26" s="61" t="n">
        <v>62</v>
      </c>
      <c r="J26" s="61" t="n">
        <v>0</v>
      </c>
      <c r="K26" s="61" t="n">
        <v>-13</v>
      </c>
      <c r="L26" s="61" t="n">
        <v>30</v>
      </c>
      <c r="M26" s="61" t="n">
        <v>33</v>
      </c>
      <c r="N26" s="61" t="n">
        <v>0</v>
      </c>
      <c r="O26" s="61" t="inlineStr">
        <is>
          <t>C3</t>
        </is>
      </c>
      <c r="P26" s="61" t="n">
        <v>55</v>
      </c>
      <c r="Q26" s="61" t="n">
        <v>40</v>
      </c>
      <c r="R26" s="61" t="n">
        <v>64</v>
      </c>
      <c r="S26" s="45" t="n">
        <v>58</v>
      </c>
      <c r="T26" s="45" t="n">
        <v>64</v>
      </c>
      <c r="U26" s="45" t="n">
        <v>58</v>
      </c>
      <c r="V26" s="50" t="inlineStr">
        <is>
          <t xml:space="preserve">Acero/Steel </t>
        </is>
      </c>
      <c r="W26" s="54" t="n">
        <v>45581</v>
      </c>
      <c r="X26" s="55" t="inlineStr">
        <is>
          <t>A</t>
        </is>
      </c>
    </row>
    <row r="27" ht="15" customHeight="1" s="5">
      <c r="A27" s="199" t="n">
        <v>25</v>
      </c>
      <c r="B27" s="71" t="inlineStr">
        <is>
          <t>BPB-042-22207-CW33C3 - HLBR</t>
        </is>
      </c>
      <c r="C27" s="64" t="n">
        <v>23</v>
      </c>
      <c r="D27" s="64" t="n">
        <v>0</v>
      </c>
      <c r="E27" s="64" t="n">
        <v>-120</v>
      </c>
      <c r="F27" s="61" t="n">
        <v>23</v>
      </c>
      <c r="G27" s="61" t="n">
        <v>0</v>
      </c>
      <c r="H27" s="61" t="n">
        <v>-120</v>
      </c>
      <c r="I27" s="61" t="n">
        <v>72</v>
      </c>
      <c r="J27" s="61" t="n">
        <v>0</v>
      </c>
      <c r="K27" s="61" t="n">
        <v>-13</v>
      </c>
      <c r="L27" s="61" t="n">
        <v>35</v>
      </c>
      <c r="M27" s="61" t="n">
        <v>0</v>
      </c>
      <c r="N27" s="61" t="n">
        <v>-12</v>
      </c>
      <c r="O27" s="61" t="inlineStr">
        <is>
          <t>C3</t>
        </is>
      </c>
      <c r="P27" s="61" t="n">
        <v>60</v>
      </c>
      <c r="Q27" s="61" t="n">
        <v>45</v>
      </c>
      <c r="R27" s="61" t="n">
        <v>64</v>
      </c>
      <c r="S27" s="45" t="n">
        <v>58</v>
      </c>
      <c r="T27" s="45" t="n">
        <v>64</v>
      </c>
      <c r="U27" s="45" t="n">
        <v>58</v>
      </c>
      <c r="V27" s="50" t="inlineStr">
        <is>
          <t xml:space="preserve">Acero/Steel </t>
        </is>
      </c>
      <c r="W27" s="54" t="n">
        <v>43206</v>
      </c>
      <c r="X27" s="55" t="inlineStr">
        <is>
          <t>A</t>
        </is>
      </c>
    </row>
    <row r="28" ht="15" customHeight="1" s="5">
      <c r="A28" s="199" t="n">
        <v>26</v>
      </c>
      <c r="B28" s="71" t="inlineStr">
        <is>
          <t>BPB-042-22207-CKW33C3 - HLBR</t>
        </is>
      </c>
      <c r="C28" s="64" t="n">
        <v>23</v>
      </c>
      <c r="D28" s="64" t="n">
        <v>0</v>
      </c>
      <c r="E28" s="64" t="n">
        <v>-120</v>
      </c>
      <c r="F28" s="61" t="n">
        <v>23</v>
      </c>
      <c r="G28" s="61" t="n">
        <v>0</v>
      </c>
      <c r="H28" s="61" t="n">
        <v>-120</v>
      </c>
      <c r="I28" s="61" t="n">
        <v>72</v>
      </c>
      <c r="J28" s="61" t="n">
        <v>0</v>
      </c>
      <c r="K28" s="61" t="n">
        <v>-13</v>
      </c>
      <c r="L28" s="61" t="n">
        <v>35</v>
      </c>
      <c r="M28" s="61" t="n">
        <v>39</v>
      </c>
      <c r="N28" s="61" t="n">
        <v>0</v>
      </c>
      <c r="O28" s="61" t="inlineStr">
        <is>
          <t>C3</t>
        </is>
      </c>
      <c r="P28" s="61" t="n">
        <v>65</v>
      </c>
      <c r="Q28" s="61" t="n">
        <v>50</v>
      </c>
      <c r="R28" s="61" t="n">
        <v>64</v>
      </c>
      <c r="S28" s="45" t="n">
        <v>58</v>
      </c>
      <c r="T28" s="45" t="n">
        <v>64</v>
      </c>
      <c r="U28" s="45" t="n">
        <v>58</v>
      </c>
      <c r="V28" s="50" t="inlineStr">
        <is>
          <t xml:space="preserve">Acero/Steel </t>
        </is>
      </c>
      <c r="W28" s="54" t="n">
        <v>45581</v>
      </c>
      <c r="X28" s="55" t="inlineStr">
        <is>
          <t>A</t>
        </is>
      </c>
    </row>
    <row r="29" ht="15" customHeight="1" s="5">
      <c r="A29" s="199" t="n">
        <v>27</v>
      </c>
      <c r="B29" s="71" t="inlineStr">
        <is>
          <t>B&amp;P-042-22208-CKW33C3 - HLBR</t>
        </is>
      </c>
      <c r="C29" s="64" t="n">
        <v>23</v>
      </c>
      <c r="D29" s="64" t="n">
        <v>0</v>
      </c>
      <c r="E29" s="64" t="n">
        <v>-120</v>
      </c>
      <c r="F29" s="61" t="n">
        <v>23</v>
      </c>
      <c r="G29" s="61" t="n">
        <v>0</v>
      </c>
      <c r="H29" s="61" t="n">
        <v>-120</v>
      </c>
      <c r="I29" s="61" t="n">
        <v>80</v>
      </c>
      <c r="J29" s="61" t="n">
        <v>0</v>
      </c>
      <c r="K29" s="61" t="n">
        <v>-13</v>
      </c>
      <c r="L29" s="61" t="n">
        <v>40</v>
      </c>
      <c r="M29" s="61" t="n">
        <v>39</v>
      </c>
      <c r="N29" s="61" t="n">
        <v>0</v>
      </c>
      <c r="O29" s="61" t="inlineStr">
        <is>
          <t>C3</t>
        </is>
      </c>
      <c r="P29" s="61" t="n">
        <v>65</v>
      </c>
      <c r="Q29" s="61" t="n">
        <v>50</v>
      </c>
      <c r="R29" s="61" t="n">
        <v>64</v>
      </c>
      <c r="S29" s="45" t="n">
        <v>58</v>
      </c>
      <c r="T29" s="45" t="n">
        <v>64</v>
      </c>
      <c r="U29" s="45" t="n">
        <v>58</v>
      </c>
      <c r="V29" s="50" t="inlineStr">
        <is>
          <t xml:space="preserve">Acero/Steel </t>
        </is>
      </c>
      <c r="W29" s="54" t="n">
        <v>45141</v>
      </c>
      <c r="X29" s="55" t="inlineStr">
        <is>
          <t>B</t>
        </is>
      </c>
    </row>
    <row r="30" ht="15" customHeight="1" s="5">
      <c r="A30" s="199" t="n">
        <v>28</v>
      </c>
      <c r="B30" s="71" t="inlineStr">
        <is>
          <t>B&amp;P-042-22209-CKW33C3 - HLBR</t>
        </is>
      </c>
      <c r="C30" s="64" t="n">
        <v>23</v>
      </c>
      <c r="D30" s="64" t="n">
        <v>0</v>
      </c>
      <c r="E30" s="64" t="n">
        <v>-120</v>
      </c>
      <c r="F30" s="61" t="n">
        <v>23</v>
      </c>
      <c r="G30" s="61" t="n">
        <v>0</v>
      </c>
      <c r="H30" s="61" t="n">
        <v>-120</v>
      </c>
      <c r="I30" s="61" t="n">
        <v>85</v>
      </c>
      <c r="J30" s="61" t="n">
        <v>0</v>
      </c>
      <c r="K30" s="61" t="n">
        <v>-15</v>
      </c>
      <c r="L30" s="61" t="n">
        <v>45</v>
      </c>
      <c r="M30" s="61" t="n">
        <v>39</v>
      </c>
      <c r="N30" s="61" t="n">
        <v>0</v>
      </c>
      <c r="O30" s="61" t="inlineStr">
        <is>
          <t>C3</t>
        </is>
      </c>
      <c r="P30" s="61" t="n">
        <v>80</v>
      </c>
      <c r="Q30" s="61" t="n">
        <v>60</v>
      </c>
      <c r="R30" s="61" t="n">
        <v>64</v>
      </c>
      <c r="S30" s="45" t="n">
        <v>58</v>
      </c>
      <c r="T30" s="45" t="n">
        <v>64</v>
      </c>
      <c r="U30" s="45" t="n">
        <v>58</v>
      </c>
      <c r="V30" s="50" t="inlineStr">
        <is>
          <t xml:space="preserve">Acero/Steel </t>
        </is>
      </c>
      <c r="W30" s="54" t="n">
        <v>45141</v>
      </c>
      <c r="X30" s="55" t="inlineStr">
        <is>
          <t>B</t>
        </is>
      </c>
    </row>
    <row r="31" ht="15" customHeight="1" s="5">
      <c r="A31" s="199" t="n">
        <v>29</v>
      </c>
      <c r="B31" s="71" t="inlineStr">
        <is>
          <t>B&amp;P-042-22210-CKW33C3 -HLBR</t>
        </is>
      </c>
      <c r="C31" s="64" t="n">
        <v>23</v>
      </c>
      <c r="D31" s="64" t="n">
        <v>0</v>
      </c>
      <c r="E31" s="64" t="n">
        <v>-120</v>
      </c>
      <c r="F31" s="61" t="n">
        <v>23</v>
      </c>
      <c r="G31" s="61" t="n">
        <v>0</v>
      </c>
      <c r="H31" s="61" t="n">
        <v>-120</v>
      </c>
      <c r="I31" s="61" t="n">
        <v>90</v>
      </c>
      <c r="J31" s="61" t="n">
        <v>0</v>
      </c>
      <c r="K31" s="61" t="n">
        <v>-15</v>
      </c>
      <c r="L31" s="61" t="n">
        <v>50</v>
      </c>
      <c r="M31" s="61" t="n">
        <v>39</v>
      </c>
      <c r="N31" s="61" t="n">
        <v>0</v>
      </c>
      <c r="O31" s="61" t="inlineStr">
        <is>
          <t>Radial</t>
        </is>
      </c>
      <c r="P31" s="61" t="n">
        <v>80</v>
      </c>
      <c r="Q31" s="61" t="n">
        <v>60</v>
      </c>
      <c r="R31" s="61" t="n">
        <v>64</v>
      </c>
      <c r="S31" s="45" t="n">
        <v>58</v>
      </c>
      <c r="T31" s="45" t="n">
        <v>64</v>
      </c>
      <c r="U31" s="45" t="n">
        <v>58</v>
      </c>
      <c r="V31" s="50" t="inlineStr">
        <is>
          <t xml:space="preserve">Acero/Steel </t>
        </is>
      </c>
      <c r="W31" s="54" t="n">
        <v>45141</v>
      </c>
      <c r="X31" s="55" t="inlineStr">
        <is>
          <t>B</t>
        </is>
      </c>
    </row>
    <row r="32" ht="15" customHeight="1" s="5">
      <c r="A32" s="223" t="n">
        <v>30</v>
      </c>
      <c r="B32" s="271" t="inlineStr">
        <is>
          <t>B&amp;P-042-22211-CW33C3 - HLBR</t>
        </is>
      </c>
      <c r="C32" s="272" t="inlineStr">
        <is>
          <t>25</t>
        </is>
      </c>
      <c r="D32" s="272" t="inlineStr">
        <is>
          <t>0</t>
        </is>
      </c>
      <c r="E32" s="272" t="inlineStr">
        <is>
          <t>-150</t>
        </is>
      </c>
      <c r="F32" s="250" t="inlineStr">
        <is>
          <t>25</t>
        </is>
      </c>
      <c r="G32" s="250" t="inlineStr">
        <is>
          <t>0</t>
        </is>
      </c>
      <c r="H32" s="250" t="inlineStr">
        <is>
          <t>-150</t>
        </is>
      </c>
      <c r="I32" s="250" t="inlineStr">
        <is>
          <t>100</t>
        </is>
      </c>
      <c r="J32" s="250" t="inlineStr">
        <is>
          <t>0</t>
        </is>
      </c>
      <c r="K32" s="250" t="inlineStr">
        <is>
          <t>-15</t>
        </is>
      </c>
      <c r="L32" s="250" t="inlineStr">
        <is>
          <t>55</t>
        </is>
      </c>
      <c r="M32" s="250" t="inlineStr">
        <is>
          <t>0</t>
        </is>
      </c>
      <c r="N32" s="250" t="inlineStr">
        <is>
          <t>-15</t>
        </is>
      </c>
      <c r="O32" s="250" t="inlineStr">
        <is>
          <t>C3</t>
        </is>
      </c>
      <c r="P32" s="250" t="inlineStr">
        <is>
          <t>90</t>
        </is>
      </c>
      <c r="Q32" s="250" t="inlineStr">
        <is>
          <t>60</t>
        </is>
      </c>
      <c r="R32" s="250" t="inlineStr">
        <is>
          <t>-</t>
        </is>
      </c>
      <c r="S32" s="250" t="inlineStr">
        <is>
          <t>-</t>
        </is>
      </c>
      <c r="T32" s="250" t="inlineStr">
        <is>
          <t>-</t>
        </is>
      </c>
      <c r="U32" s="250" t="inlineStr">
        <is>
          <t>-</t>
        </is>
      </c>
      <c r="V32" s="250" t="inlineStr">
        <is>
          <t>Acero/Steel</t>
        </is>
      </c>
      <c r="W32" s="273" t="inlineStr">
        <is>
          <t>16/10/2024</t>
        </is>
      </c>
      <c r="X32" s="274" t="inlineStr">
        <is>
          <t>C</t>
        </is>
      </c>
    </row>
    <row r="33" ht="15" customHeight="1" s="5">
      <c r="A33" s="199" t="n">
        <v>31</v>
      </c>
      <c r="B33" s="72" t="inlineStr">
        <is>
          <t>B&amp;P-042-22211-CKW33C3 - HLBR</t>
        </is>
      </c>
      <c r="C33" s="66" t="n">
        <v>25</v>
      </c>
      <c r="D33" s="66" t="n">
        <v>0</v>
      </c>
      <c r="E33" s="66" t="n">
        <v>-150</v>
      </c>
      <c r="F33" s="61" t="n">
        <v>25</v>
      </c>
      <c r="G33" s="61" t="n">
        <v>0</v>
      </c>
      <c r="H33" s="61" t="n">
        <v>-150</v>
      </c>
      <c r="I33" s="61" t="n">
        <v>100</v>
      </c>
      <c r="J33" s="61" t="n">
        <v>0</v>
      </c>
      <c r="K33" s="61" t="n">
        <v>-15</v>
      </c>
      <c r="L33" s="61" t="n">
        <v>55</v>
      </c>
      <c r="M33" s="61" t="n">
        <v>46</v>
      </c>
      <c r="N33" s="61" t="n">
        <v>0</v>
      </c>
      <c r="O33" s="61" t="inlineStr">
        <is>
          <t>C3</t>
        </is>
      </c>
      <c r="P33" s="61" t="n">
        <v>95</v>
      </c>
      <c r="Q33" s="61" t="n">
        <v>75</v>
      </c>
      <c r="R33" s="61" t="n">
        <v>64</v>
      </c>
      <c r="S33" s="45" t="n">
        <v>58</v>
      </c>
      <c r="T33" s="45" t="n">
        <v>64</v>
      </c>
      <c r="U33" s="45" t="n">
        <v>58</v>
      </c>
      <c r="V33" s="50" t="inlineStr">
        <is>
          <t xml:space="preserve">Acero/Steel </t>
        </is>
      </c>
      <c r="W33" s="54" t="n">
        <v>45141</v>
      </c>
      <c r="X33" s="55" t="inlineStr">
        <is>
          <t>C</t>
        </is>
      </c>
    </row>
    <row r="34" ht="15" customHeight="1" s="5">
      <c r="A34" s="199" t="n">
        <v>32</v>
      </c>
      <c r="B34" s="72" t="inlineStr">
        <is>
          <t>B&amp;P-042-22212-CKW33C3 - HLBR</t>
        </is>
      </c>
      <c r="C34" s="66" t="n">
        <v>28</v>
      </c>
      <c r="D34" s="66" t="n">
        <v>0</v>
      </c>
      <c r="E34" s="66" t="n">
        <v>-150</v>
      </c>
      <c r="F34" s="61" t="n">
        <v>28</v>
      </c>
      <c r="G34" s="61" t="n">
        <v>0</v>
      </c>
      <c r="H34" s="61" t="n">
        <v>-150</v>
      </c>
      <c r="I34" s="61" t="n">
        <v>110</v>
      </c>
      <c r="J34" s="61" t="n">
        <v>0</v>
      </c>
      <c r="K34" s="61" t="n">
        <v>-15</v>
      </c>
      <c r="L34" s="61" t="n">
        <v>60</v>
      </c>
      <c r="M34" s="61" t="n">
        <v>0</v>
      </c>
      <c r="N34" s="61" t="n">
        <v>-15</v>
      </c>
      <c r="O34" s="61" t="inlineStr">
        <is>
          <t>C3</t>
        </is>
      </c>
      <c r="P34" s="61" t="n">
        <v>95</v>
      </c>
      <c r="Q34" s="61" t="n">
        <v>75</v>
      </c>
      <c r="R34" s="61" t="n">
        <v>64</v>
      </c>
      <c r="S34" s="45" t="n">
        <v>58</v>
      </c>
      <c r="T34" s="45" t="n">
        <v>64</v>
      </c>
      <c r="U34" s="45" t="n">
        <v>58</v>
      </c>
      <c r="V34" s="50" t="inlineStr">
        <is>
          <t xml:space="preserve">Acero/Steel </t>
        </is>
      </c>
      <c r="W34" s="54" t="n">
        <v>43180</v>
      </c>
      <c r="X34" s="55" t="n">
        <v>0</v>
      </c>
    </row>
    <row r="35" ht="15" customHeight="1" s="5">
      <c r="A35" s="223" t="n">
        <v>33</v>
      </c>
      <c r="B35" s="271" t="inlineStr">
        <is>
          <t>B&amp;P-042-22213-CW33C3 - HLBR</t>
        </is>
      </c>
      <c r="C35" s="272" t="inlineStr">
        <is>
          <t>31</t>
        </is>
      </c>
      <c r="D35" s="272" t="inlineStr">
        <is>
          <t>0</t>
        </is>
      </c>
      <c r="E35" s="272" t="inlineStr">
        <is>
          <t>-150</t>
        </is>
      </c>
      <c r="F35" s="250" t="inlineStr">
        <is>
          <t>31</t>
        </is>
      </c>
      <c r="G35" s="250" t="inlineStr">
        <is>
          <t>0</t>
        </is>
      </c>
      <c r="H35" s="250" t="inlineStr">
        <is>
          <t>-150</t>
        </is>
      </c>
      <c r="I35" s="250" t="inlineStr">
        <is>
          <t>120</t>
        </is>
      </c>
      <c r="J35" s="250" t="inlineStr">
        <is>
          <t>0</t>
        </is>
      </c>
      <c r="K35" s="250" t="inlineStr">
        <is>
          <t>-15</t>
        </is>
      </c>
      <c r="L35" s="250" t="inlineStr">
        <is>
          <t>65</t>
        </is>
      </c>
      <c r="M35" s="250" t="inlineStr">
        <is>
          <t>0</t>
        </is>
      </c>
      <c r="N35" s="250" t="inlineStr">
        <is>
          <t>-15</t>
        </is>
      </c>
      <c r="O35" s="250" t="inlineStr">
        <is>
          <t>C3</t>
        </is>
      </c>
      <c r="P35" s="250" t="inlineStr">
        <is>
          <t>90</t>
        </is>
      </c>
      <c r="Q35" s="250" t="inlineStr">
        <is>
          <t>65</t>
        </is>
      </c>
      <c r="R35" s="250" t="inlineStr">
        <is>
          <t>64</t>
        </is>
      </c>
      <c r="S35" s="250" t="inlineStr">
        <is>
          <t>58</t>
        </is>
      </c>
      <c r="T35" s="250" t="inlineStr">
        <is>
          <t>64</t>
        </is>
      </c>
      <c r="U35" s="250" t="inlineStr">
        <is>
          <t>58</t>
        </is>
      </c>
      <c r="V35" s="250" t="inlineStr">
        <is>
          <t>Acero/Steel</t>
        </is>
      </c>
      <c r="W35" s="273" t="inlineStr">
        <is>
          <t>16/06/2023</t>
        </is>
      </c>
      <c r="X35" s="274" t="inlineStr">
        <is>
          <t>B</t>
        </is>
      </c>
    </row>
    <row r="36" ht="15" customHeight="1" s="5">
      <c r="A36" s="199" t="n">
        <v>34</v>
      </c>
      <c r="B36" s="72" t="inlineStr">
        <is>
          <t>B&amp;P-042-22216-CKW33C3 - HLBR</t>
        </is>
      </c>
      <c r="C36" s="66" t="n">
        <v>33</v>
      </c>
      <c r="D36" s="66" t="n">
        <v>0</v>
      </c>
      <c r="E36" s="66" t="n">
        <v>-150</v>
      </c>
      <c r="F36" s="61" t="n">
        <v>33</v>
      </c>
      <c r="G36" s="61" t="n">
        <v>0</v>
      </c>
      <c r="H36" s="61" t="n">
        <v>-150</v>
      </c>
      <c r="I36" s="61" t="n">
        <v>140</v>
      </c>
      <c r="J36" s="61" t="n">
        <v>0</v>
      </c>
      <c r="K36" s="61" t="n">
        <v>-18</v>
      </c>
      <c r="L36" s="61" t="n">
        <v>80</v>
      </c>
      <c r="M36" s="61" t="n">
        <v>46</v>
      </c>
      <c r="N36" s="61" t="n">
        <v>0</v>
      </c>
      <c r="O36" s="61" t="inlineStr">
        <is>
          <t>C3</t>
        </is>
      </c>
      <c r="P36" s="61" t="n">
        <v>120</v>
      </c>
      <c r="Q36" s="61" t="n">
        <v>95</v>
      </c>
      <c r="R36" s="61" t="n">
        <v>64</v>
      </c>
      <c r="S36" s="45" t="n">
        <v>58</v>
      </c>
      <c r="T36" s="45" t="n">
        <v>64</v>
      </c>
      <c r="U36" s="45" t="n">
        <v>58</v>
      </c>
      <c r="V36" s="50" t="inlineStr">
        <is>
          <t xml:space="preserve">Acero/Steel </t>
        </is>
      </c>
      <c r="W36" s="54" t="n">
        <v>45141</v>
      </c>
      <c r="X36" s="55" t="inlineStr">
        <is>
          <t>B</t>
        </is>
      </c>
    </row>
    <row r="37" ht="15" customHeight="1" s="5">
      <c r="A37" s="199" t="n">
        <v>35</v>
      </c>
      <c r="B37" s="72" t="inlineStr">
        <is>
          <t>B&amp;P-042-22217-CW33C3 - HLBR</t>
        </is>
      </c>
      <c r="C37" s="66" t="n">
        <v>36</v>
      </c>
      <c r="D37" s="66" t="n">
        <v>0</v>
      </c>
      <c r="E37" s="66" t="n">
        <v>-200</v>
      </c>
      <c r="F37" s="61" t="n">
        <v>36</v>
      </c>
      <c r="G37" s="61" t="n">
        <v>0</v>
      </c>
      <c r="H37" s="61" t="n">
        <v>-200</v>
      </c>
      <c r="I37" s="61" t="n">
        <v>150</v>
      </c>
      <c r="J37" s="61" t="n">
        <v>0</v>
      </c>
      <c r="K37" s="61" t="n">
        <v>-18</v>
      </c>
      <c r="L37" s="61" t="n">
        <v>85</v>
      </c>
      <c r="M37" s="61" t="n">
        <v>0</v>
      </c>
      <c r="N37" s="61" t="n">
        <v>-20</v>
      </c>
      <c r="O37" s="61" t="inlineStr">
        <is>
          <t>C3</t>
        </is>
      </c>
      <c r="P37" s="61" t="n">
        <v>135</v>
      </c>
      <c r="Q37" s="61" t="n">
        <v>100</v>
      </c>
      <c r="R37" s="61" t="n">
        <v>64</v>
      </c>
      <c r="S37" s="45" t="n">
        <v>58</v>
      </c>
      <c r="T37" s="45" t="n">
        <v>64</v>
      </c>
      <c r="U37" s="45" t="n">
        <v>58</v>
      </c>
      <c r="V37" s="50" t="inlineStr">
        <is>
          <t xml:space="preserve">Acero/Steel </t>
        </is>
      </c>
      <c r="W37" s="54" t="n">
        <v>43180</v>
      </c>
      <c r="X37" s="55" t="n">
        <v>0</v>
      </c>
    </row>
    <row r="38" ht="15" customHeight="1" s="5">
      <c r="A38" s="199" t="n">
        <v>36</v>
      </c>
      <c r="B38" s="72" t="inlineStr">
        <is>
          <t>B&amp;P-042-22217-CKW33C3 - HLBR</t>
        </is>
      </c>
      <c r="C38" s="66" t="n">
        <v>36</v>
      </c>
      <c r="D38" s="66" t="n">
        <v>0</v>
      </c>
      <c r="E38" s="66" t="n">
        <v>-200</v>
      </c>
      <c r="F38" s="61" t="n">
        <v>36</v>
      </c>
      <c r="G38" s="61" t="n">
        <v>0</v>
      </c>
      <c r="H38" s="61" t="n">
        <v>-200</v>
      </c>
      <c r="I38" s="61" t="n">
        <v>150</v>
      </c>
      <c r="J38" s="61" t="n">
        <v>0</v>
      </c>
      <c r="K38" s="61" t="n">
        <v>-18</v>
      </c>
      <c r="L38" s="61" t="n">
        <v>85</v>
      </c>
      <c r="M38" s="61" t="n">
        <v>54</v>
      </c>
      <c r="N38" s="61" t="n">
        <v>0</v>
      </c>
      <c r="O38" s="61" t="inlineStr">
        <is>
          <t>C3</t>
        </is>
      </c>
      <c r="P38" s="61" t="n">
        <v>140</v>
      </c>
      <c r="Q38" s="61" t="n">
        <v>110</v>
      </c>
      <c r="R38" s="61" t="n">
        <v>64</v>
      </c>
      <c r="S38" s="45" t="n">
        <v>58</v>
      </c>
      <c r="T38" s="45" t="n">
        <v>64</v>
      </c>
      <c r="U38" s="45" t="n">
        <v>58</v>
      </c>
      <c r="V38" s="50" t="inlineStr">
        <is>
          <t xml:space="preserve">Acero/Steel </t>
        </is>
      </c>
      <c r="W38" s="54" t="n">
        <v>45141</v>
      </c>
      <c r="X38" s="55" t="inlineStr">
        <is>
          <t>B</t>
        </is>
      </c>
    </row>
    <row r="39" ht="15" customHeight="1" s="5">
      <c r="A39" s="199" t="n">
        <v>37</v>
      </c>
      <c r="B39" s="72" t="inlineStr">
        <is>
          <t>BPB-042-22222-KC3W33</t>
        </is>
      </c>
      <c r="C39" s="66" t="n">
        <v>53</v>
      </c>
      <c r="D39" s="66" t="n">
        <v>0</v>
      </c>
      <c r="E39" s="66" t="n">
        <v>-200</v>
      </c>
      <c r="F39" s="61" t="n">
        <v>53</v>
      </c>
      <c r="G39" s="61" t="n">
        <v>0</v>
      </c>
      <c r="H39" s="61" t="n">
        <v>-200</v>
      </c>
      <c r="I39" s="61" t="n">
        <v>200</v>
      </c>
      <c r="J39" s="61" t="n">
        <v>0</v>
      </c>
      <c r="K39" s="61" t="n">
        <v>-13</v>
      </c>
      <c r="L39" s="61" t="n">
        <v>110</v>
      </c>
      <c r="M39" s="61" t="n">
        <v>0</v>
      </c>
      <c r="N39" s="61" t="n">
        <v>-7</v>
      </c>
      <c r="O39" s="61" t="inlineStr">
        <is>
          <t>C3</t>
        </is>
      </c>
      <c r="P39" s="61" t="n">
        <v>121</v>
      </c>
      <c r="Q39" s="61" t="n">
        <v>162</v>
      </c>
      <c r="R39" s="61" t="n">
        <v>64</v>
      </c>
      <c r="S39" s="45" t="n">
        <v>58</v>
      </c>
      <c r="T39" s="45" t="n">
        <v>64</v>
      </c>
      <c r="U39" s="45" t="n">
        <v>58</v>
      </c>
      <c r="V39" s="50" t="inlineStr">
        <is>
          <t xml:space="preserve">Acero/Steel </t>
        </is>
      </c>
      <c r="W39" s="49" t="n">
        <v>39594</v>
      </c>
      <c r="X39" s="50" t="n">
        <v>0</v>
      </c>
    </row>
    <row r="40" ht="15" customHeight="1" s="5">
      <c r="A40" s="199" t="n">
        <v>38</v>
      </c>
      <c r="B40" s="72" t="inlineStr">
        <is>
          <t>BPB-031-12025ROLLERS-BBS</t>
        </is>
      </c>
      <c r="C40" s="66" t="n">
        <v>37</v>
      </c>
      <c r="D40" s="66" t="n">
        <v>0</v>
      </c>
      <c r="E40" s="66" t="n">
        <v>-120</v>
      </c>
      <c r="F40" s="66" t="n">
        <v>37</v>
      </c>
      <c r="G40" s="66" t="n">
        <v>0</v>
      </c>
      <c r="H40" s="66" t="n">
        <v>-120</v>
      </c>
      <c r="I40" s="61" t="n">
        <v>52</v>
      </c>
      <c r="J40" s="61" t="n">
        <v>0</v>
      </c>
      <c r="K40" s="61" t="n">
        <v>-16</v>
      </c>
      <c r="L40" s="61" t="n">
        <v>25</v>
      </c>
      <c r="M40" s="61" t="n">
        <v>0</v>
      </c>
      <c r="N40" s="61" t="n">
        <v>-12</v>
      </c>
      <c r="O40" s="61" t="inlineStr">
        <is>
          <t>Axial</t>
        </is>
      </c>
      <c r="P40" s="61" t="n">
        <v>0.21</v>
      </c>
      <c r="Q40" s="61" t="n">
        <v>0.15</v>
      </c>
      <c r="R40" s="61" t="n">
        <v>65</v>
      </c>
      <c r="S40" s="45" t="n">
        <v>60</v>
      </c>
      <c r="T40" s="45" t="n">
        <v>65</v>
      </c>
      <c r="U40" s="45" t="n">
        <v>60</v>
      </c>
      <c r="V40" s="50" t="inlineStr">
        <is>
          <t>GRPA66-25-JB/T6638</t>
        </is>
      </c>
      <c r="W40" s="49" t="n">
        <v>43894</v>
      </c>
      <c r="X40" s="50" t="inlineStr">
        <is>
          <t>B</t>
        </is>
      </c>
    </row>
    <row r="41" ht="15" customHeight="1" s="5">
      <c r="A41" s="199" t="n">
        <v>39</v>
      </c>
      <c r="B41" s="72" t="inlineStr">
        <is>
          <t>BPB-042-22222-KMBW33-BOT</t>
        </is>
      </c>
      <c r="C41" s="66" t="n">
        <v>53</v>
      </c>
      <c r="D41" s="66" t="n">
        <v>0</v>
      </c>
      <c r="E41" s="66" t="n">
        <v>-200</v>
      </c>
      <c r="F41" s="61" t="n">
        <v>53</v>
      </c>
      <c r="G41" s="61" t="n">
        <v>0</v>
      </c>
      <c r="H41" s="61" t="n">
        <v>-200</v>
      </c>
      <c r="I41" s="61" t="n">
        <v>200</v>
      </c>
      <c r="J41" s="61" t="n">
        <v>0</v>
      </c>
      <c r="K41" s="61" t="n">
        <v>-30</v>
      </c>
      <c r="L41" s="61" t="n">
        <v>110</v>
      </c>
      <c r="M41" s="61" t="n">
        <v>35</v>
      </c>
      <c r="N41" s="61" t="n">
        <v>0</v>
      </c>
      <c r="O41" s="61" t="inlineStr">
        <is>
          <t>C3</t>
        </is>
      </c>
      <c r="P41" s="61" t="n">
        <v>135</v>
      </c>
      <c r="Q41" s="61" t="n">
        <v>170</v>
      </c>
      <c r="R41" s="61" t="inlineStr">
        <is>
          <t>NO</t>
        </is>
      </c>
      <c r="S41" s="45" t="inlineStr">
        <is>
          <t>NO</t>
        </is>
      </c>
      <c r="T41" s="45" t="inlineStr">
        <is>
          <t>NO</t>
        </is>
      </c>
      <c r="U41" s="45" t="inlineStr">
        <is>
          <t>NO</t>
        </is>
      </c>
      <c r="V41" s="50" t="inlineStr">
        <is>
          <t>08AI-GB/T13237</t>
        </is>
      </c>
      <c r="W41" s="49" t="n">
        <v>43943</v>
      </c>
      <c r="X41" s="50" t="n">
        <v>0</v>
      </c>
    </row>
    <row r="42" ht="15" customHeight="1" s="5">
      <c r="A42" s="199" t="n">
        <v>40</v>
      </c>
      <c r="B42" s="71" t="inlineStr">
        <is>
          <t>B&amp;P-042-22210-CW33C3 -HLBR</t>
        </is>
      </c>
      <c r="C42" s="64" t="n">
        <v>23</v>
      </c>
      <c r="D42" s="64" t="n">
        <v>0</v>
      </c>
      <c r="E42" s="64" t="n">
        <v>-120</v>
      </c>
      <c r="F42" s="61" t="n">
        <v>23</v>
      </c>
      <c r="G42" s="61" t="n">
        <v>0</v>
      </c>
      <c r="H42" s="61" t="n">
        <v>-120</v>
      </c>
      <c r="I42" s="61" t="n">
        <v>90</v>
      </c>
      <c r="J42" s="61" t="n">
        <v>0</v>
      </c>
      <c r="K42" s="61" t="n">
        <v>-15</v>
      </c>
      <c r="L42" s="61" t="n">
        <v>50</v>
      </c>
      <c r="M42" s="61" t="n">
        <v>0</v>
      </c>
      <c r="N42" s="61" t="n">
        <v>-12</v>
      </c>
      <c r="O42" s="61" t="inlineStr">
        <is>
          <t>Radial C3</t>
        </is>
      </c>
      <c r="P42" s="61" t="n">
        <v>75</v>
      </c>
      <c r="Q42" s="61" t="n">
        <v>55</v>
      </c>
      <c r="R42" s="61" t="inlineStr">
        <is>
          <t>NO</t>
        </is>
      </c>
      <c r="S42" s="45" t="inlineStr">
        <is>
          <t>NO</t>
        </is>
      </c>
      <c r="T42" s="45" t="inlineStr">
        <is>
          <t>NO</t>
        </is>
      </c>
      <c r="U42" s="45" t="inlineStr">
        <is>
          <t>NO</t>
        </is>
      </c>
      <c r="V42" s="50" t="inlineStr">
        <is>
          <t>10-GB710</t>
        </is>
      </c>
      <c r="W42" s="54" t="n">
        <v>43943</v>
      </c>
      <c r="X42" s="55" t="n">
        <v>0</v>
      </c>
    </row>
    <row r="43" ht="15" customHeight="1" s="5">
      <c r="A43" s="199" t="n">
        <v>41</v>
      </c>
      <c r="B43" s="71" t="inlineStr">
        <is>
          <t>BPB-042-22209-CW33C3 - HLBR</t>
        </is>
      </c>
      <c r="C43" s="64" t="n">
        <v>23</v>
      </c>
      <c r="D43" s="64" t="n">
        <v>0</v>
      </c>
      <c r="E43" s="64" t="n">
        <v>-120</v>
      </c>
      <c r="F43" s="61" t="n">
        <v>23</v>
      </c>
      <c r="G43" s="61" t="n">
        <v>0</v>
      </c>
      <c r="H43" s="61" t="n">
        <v>-120</v>
      </c>
      <c r="I43" s="61" t="n">
        <v>85</v>
      </c>
      <c r="J43" s="61" t="n">
        <v>0</v>
      </c>
      <c r="K43" s="61" t="n">
        <v>-15</v>
      </c>
      <c r="L43" s="61" t="n">
        <v>45</v>
      </c>
      <c r="M43" s="61" t="n">
        <v>0</v>
      </c>
      <c r="N43" s="61" t="n">
        <v>-12</v>
      </c>
      <c r="O43" s="61" t="inlineStr">
        <is>
          <t>C3</t>
        </is>
      </c>
      <c r="P43" s="61" t="n">
        <v>80</v>
      </c>
      <c r="Q43" s="61" t="n">
        <v>60</v>
      </c>
      <c r="R43" s="61" t="n">
        <v>64</v>
      </c>
      <c r="S43" s="45" t="n">
        <v>58</v>
      </c>
      <c r="T43" s="45" t="n">
        <v>64</v>
      </c>
      <c r="U43" s="45" t="n">
        <v>58</v>
      </c>
      <c r="V43" s="50" t="inlineStr">
        <is>
          <t xml:space="preserve">Acero/Steel </t>
        </is>
      </c>
      <c r="W43" s="54" t="n">
        <v>44043</v>
      </c>
      <c r="X43" s="55" t="inlineStr">
        <is>
          <t>A</t>
        </is>
      </c>
    </row>
    <row r="44" ht="15" customHeight="1" s="5">
      <c r="A44" s="199" t="n">
        <v>42</v>
      </c>
      <c r="B44" s="71" t="inlineStr">
        <is>
          <t>B&amp;P-042-22215-CW33C3 - HLBR</t>
        </is>
      </c>
      <c r="C44" s="64" t="n">
        <v>31</v>
      </c>
      <c r="D44" s="64" t="n">
        <v>0</v>
      </c>
      <c r="E44" s="64" t="n">
        <v>-150</v>
      </c>
      <c r="F44" s="61" t="n">
        <v>31</v>
      </c>
      <c r="G44" s="61" t="n">
        <v>0</v>
      </c>
      <c r="H44" s="61" t="n">
        <v>-150</v>
      </c>
      <c r="I44" s="61" t="n">
        <v>130</v>
      </c>
      <c r="J44" s="61" t="n">
        <v>0</v>
      </c>
      <c r="K44" s="61" t="n">
        <v>-18</v>
      </c>
      <c r="L44" s="61" t="n">
        <v>75</v>
      </c>
      <c r="M44" s="61" t="n">
        <v>0</v>
      </c>
      <c r="N44" s="61" t="n">
        <v>-15</v>
      </c>
      <c r="O44" s="62" t="inlineStr">
        <is>
          <t>C3</t>
        </is>
      </c>
      <c r="P44" s="61" t="n">
        <v>110</v>
      </c>
      <c r="Q44" s="61" t="n">
        <v>80</v>
      </c>
      <c r="R44" s="61" t="n">
        <v>64</v>
      </c>
      <c r="S44" s="45" t="n">
        <v>58</v>
      </c>
      <c r="T44" s="45" t="n">
        <v>64</v>
      </c>
      <c r="U44" s="45" t="n">
        <v>58</v>
      </c>
      <c r="V44" s="50" t="inlineStr">
        <is>
          <t xml:space="preserve">Acero/Steel </t>
        </is>
      </c>
      <c r="W44" s="54" t="n">
        <v>45093</v>
      </c>
      <c r="X44" s="55" t="inlineStr">
        <is>
          <t>E</t>
        </is>
      </c>
    </row>
    <row r="45" ht="15" customHeight="1" s="5">
      <c r="A45" s="199" t="n">
        <v>43</v>
      </c>
      <c r="B45" s="71" t="inlineStr">
        <is>
          <t>B&amp;P-042-22222-CKW33C-HLBR</t>
        </is>
      </c>
      <c r="C45" s="66" t="n">
        <v>53</v>
      </c>
      <c r="D45" s="66" t="n">
        <v>0</v>
      </c>
      <c r="E45" s="66" t="n">
        <v>-200</v>
      </c>
      <c r="F45" s="61" t="n">
        <v>53</v>
      </c>
      <c r="G45" s="61" t="n">
        <v>0</v>
      </c>
      <c r="H45" s="61" t="n">
        <v>-200</v>
      </c>
      <c r="I45" s="61" t="n">
        <v>200</v>
      </c>
      <c r="J45" s="61" t="n">
        <v>0</v>
      </c>
      <c r="K45" s="61" t="n">
        <v>-30</v>
      </c>
      <c r="L45" s="61" t="n">
        <v>110</v>
      </c>
      <c r="M45" s="61" t="n">
        <v>54</v>
      </c>
      <c r="N45" s="61" t="n">
        <v>0</v>
      </c>
      <c r="O45" s="61" t="inlineStr">
        <is>
          <t>Radial C3</t>
        </is>
      </c>
      <c r="P45" s="61" t="n">
        <v>115</v>
      </c>
      <c r="Q45" s="61" t="n">
        <v>155</v>
      </c>
      <c r="R45" s="61" t="inlineStr">
        <is>
          <t>NO</t>
        </is>
      </c>
      <c r="S45" s="45" t="inlineStr">
        <is>
          <t>NO</t>
        </is>
      </c>
      <c r="T45" s="45" t="inlineStr">
        <is>
          <t>NO</t>
        </is>
      </c>
      <c r="U45" s="45" t="inlineStr">
        <is>
          <t>NO</t>
        </is>
      </c>
      <c r="V45" s="50" t="inlineStr">
        <is>
          <t>08AI-GB/T13237</t>
        </is>
      </c>
      <c r="W45" s="49" t="n">
        <v>45359</v>
      </c>
      <c r="X45" s="50" t="inlineStr">
        <is>
          <t>C</t>
        </is>
      </c>
    </row>
    <row r="46" ht="15" customHeight="1" s="5">
      <c r="A46" s="199" t="n">
        <v>44</v>
      </c>
      <c r="B46" s="71" t="inlineStr">
        <is>
          <t>B&amp;P-042-22220-CKW33C-HLBR</t>
        </is>
      </c>
      <c r="C46" s="66" t="n">
        <v>46</v>
      </c>
      <c r="D46" s="66" t="n">
        <v>0</v>
      </c>
      <c r="E46" s="66" t="n">
        <v>-200</v>
      </c>
      <c r="F46" s="61" t="n">
        <v>46</v>
      </c>
      <c r="G46" s="61" t="n">
        <v>0</v>
      </c>
      <c r="H46" s="61" t="n">
        <v>-200</v>
      </c>
      <c r="I46" s="61" t="n">
        <v>180</v>
      </c>
      <c r="J46" s="61" t="n">
        <v>0</v>
      </c>
      <c r="K46" s="61" t="n">
        <v>-25</v>
      </c>
      <c r="L46" s="61" t="n">
        <v>100</v>
      </c>
      <c r="M46" s="61" t="n">
        <v>54</v>
      </c>
      <c r="N46" s="61" t="n">
        <v>0</v>
      </c>
      <c r="O46" s="61" t="inlineStr">
        <is>
          <t>C3</t>
        </is>
      </c>
      <c r="P46" s="61" t="n">
        <v>140</v>
      </c>
      <c r="Q46" s="61" t="n">
        <v>110</v>
      </c>
      <c r="R46" s="61" t="n">
        <v>64</v>
      </c>
      <c r="S46" s="45" t="n">
        <v>58</v>
      </c>
      <c r="T46" s="45" t="n">
        <v>64</v>
      </c>
      <c r="U46" s="45" t="n">
        <v>58</v>
      </c>
      <c r="V46" s="50" t="inlineStr">
        <is>
          <t>08AI-GB/T13237</t>
        </is>
      </c>
      <c r="W46" s="49" t="n">
        <v>45581</v>
      </c>
      <c r="X46" s="50" t="inlineStr">
        <is>
          <t>B</t>
        </is>
      </c>
    </row>
    <row r="47" ht="15" customHeight="1" s="5">
      <c r="A47" s="199" t="n">
        <v>45</v>
      </c>
      <c r="B47" s="71" t="inlineStr">
        <is>
          <t>B&amp;P-042-22207-CW33C3 - HLBR</t>
        </is>
      </c>
      <c r="C47" s="64" t="n">
        <v>23</v>
      </c>
      <c r="D47" s="64" t="n">
        <v>0</v>
      </c>
      <c r="E47" s="64" t="n">
        <v>-120</v>
      </c>
      <c r="F47" s="61" t="n">
        <v>23</v>
      </c>
      <c r="G47" s="61" t="n">
        <v>0</v>
      </c>
      <c r="H47" s="61" t="n">
        <v>-120</v>
      </c>
      <c r="I47" s="61" t="n">
        <v>72</v>
      </c>
      <c r="J47" s="61" t="n">
        <v>0</v>
      </c>
      <c r="K47" s="61" t="n">
        <v>-13</v>
      </c>
      <c r="L47" s="61" t="n">
        <v>35</v>
      </c>
      <c r="M47" s="61" t="n">
        <v>0</v>
      </c>
      <c r="N47" s="61" t="n">
        <v>-12</v>
      </c>
      <c r="O47" s="61" t="inlineStr">
        <is>
          <t>C3</t>
        </is>
      </c>
      <c r="P47" s="61" t="n">
        <v>60</v>
      </c>
      <c r="Q47" s="61" t="n">
        <v>45</v>
      </c>
      <c r="R47" s="61" t="n">
        <v>64</v>
      </c>
      <c r="S47" s="45" t="n">
        <v>58</v>
      </c>
      <c r="T47" s="45" t="n">
        <v>64</v>
      </c>
      <c r="U47" s="45" t="n">
        <v>58</v>
      </c>
      <c r="V47" s="50" t="inlineStr">
        <is>
          <t xml:space="preserve">Acero/Steel </t>
        </is>
      </c>
      <c r="W47" s="54" t="n">
        <v>44581</v>
      </c>
      <c r="X47" s="55" t="inlineStr">
        <is>
          <t>D</t>
        </is>
      </c>
    </row>
    <row r="48" ht="15" customHeight="1" s="5">
      <c r="A48" s="199" t="n">
        <v>46</v>
      </c>
      <c r="B48" s="71" t="inlineStr">
        <is>
          <t>B&amp;P-042-22209-CW33C3 - HLBR</t>
        </is>
      </c>
      <c r="C48" s="64" t="n">
        <v>23</v>
      </c>
      <c r="D48" s="64" t="n">
        <v>0</v>
      </c>
      <c r="E48" s="64" t="n">
        <v>-120</v>
      </c>
      <c r="F48" s="61" t="n">
        <v>23</v>
      </c>
      <c r="G48" s="61" t="n">
        <v>0</v>
      </c>
      <c r="H48" s="61" t="n">
        <v>-120</v>
      </c>
      <c r="I48" s="61" t="n">
        <v>85</v>
      </c>
      <c r="J48" s="61" t="n">
        <v>0</v>
      </c>
      <c r="K48" s="61" t="n">
        <v>-15</v>
      </c>
      <c r="L48" s="61" t="n">
        <v>45</v>
      </c>
      <c r="M48" s="61" t="n">
        <v>0</v>
      </c>
      <c r="N48" s="61" t="n">
        <v>-12</v>
      </c>
      <c r="O48" s="61" t="inlineStr">
        <is>
          <t>C3</t>
        </is>
      </c>
      <c r="P48" s="61" t="n">
        <v>80</v>
      </c>
      <c r="Q48" s="61" t="n">
        <v>60</v>
      </c>
      <c r="R48" s="61" t="n">
        <v>64</v>
      </c>
      <c r="S48" s="45" t="n">
        <v>58</v>
      </c>
      <c r="T48" s="45" t="n">
        <v>64</v>
      </c>
      <c r="U48" s="45" t="n">
        <v>58</v>
      </c>
      <c r="V48" s="50" t="inlineStr">
        <is>
          <t xml:space="preserve">Acero/Steel </t>
        </is>
      </c>
      <c r="W48" s="54" t="n">
        <v>44581</v>
      </c>
      <c r="X48" s="55" t="inlineStr">
        <is>
          <t>C</t>
        </is>
      </c>
    </row>
    <row r="49" ht="15" customHeight="1" s="5">
      <c r="A49" s="199" t="n">
        <v>47</v>
      </c>
      <c r="B49" s="72" t="inlineStr">
        <is>
          <t>B&amp;P-031-12025ROLLERS-BBS</t>
        </is>
      </c>
      <c r="C49" s="66" t="n">
        <v>37</v>
      </c>
      <c r="D49" s="66" t="n">
        <v>0</v>
      </c>
      <c r="E49" s="66" t="n">
        <v>-120</v>
      </c>
      <c r="F49" s="66" t="n">
        <v>37</v>
      </c>
      <c r="G49" s="66" t="n">
        <v>0</v>
      </c>
      <c r="H49" s="66" t="n">
        <v>-120</v>
      </c>
      <c r="I49" s="61" t="n">
        <v>52</v>
      </c>
      <c r="J49" s="61" t="n">
        <v>0</v>
      </c>
      <c r="K49" s="61" t="n">
        <v>-16</v>
      </c>
      <c r="L49" s="61" t="n">
        <v>25</v>
      </c>
      <c r="M49" s="61" t="n">
        <v>0</v>
      </c>
      <c r="N49" s="61" t="n">
        <v>-12</v>
      </c>
      <c r="O49" s="61" t="inlineStr">
        <is>
          <t>Axial</t>
        </is>
      </c>
      <c r="P49" s="61" t="n">
        <v>0.21</v>
      </c>
      <c r="Q49" s="61" t="n">
        <v>0.15</v>
      </c>
      <c r="R49" s="61" t="n">
        <v>65</v>
      </c>
      <c r="S49" s="45" t="n">
        <v>60</v>
      </c>
      <c r="T49" s="45" t="n">
        <v>65</v>
      </c>
      <c r="U49" s="45" t="n">
        <v>60</v>
      </c>
      <c r="V49" s="50" t="inlineStr">
        <is>
          <t>GRPA66-25-JB/T6638</t>
        </is>
      </c>
      <c r="W49" s="49" t="n">
        <v>45552</v>
      </c>
      <c r="X49" s="50" t="inlineStr">
        <is>
          <t>F</t>
        </is>
      </c>
    </row>
    <row r="50" ht="15" customHeight="1" s="5">
      <c r="A50" s="199" t="n">
        <v>48</v>
      </c>
      <c r="B50" s="72" t="inlineStr">
        <is>
          <t>B&amp;P-042-22212CKW33C3 - HLBR</t>
        </is>
      </c>
      <c r="C50" s="66" t="n">
        <v>28</v>
      </c>
      <c r="D50" s="66" t="n">
        <v>0</v>
      </c>
      <c r="E50" s="66" t="n">
        <v>-150</v>
      </c>
      <c r="F50" s="61" t="n">
        <v>28</v>
      </c>
      <c r="G50" s="61" t="n">
        <v>0</v>
      </c>
      <c r="H50" s="61" t="n">
        <v>-150</v>
      </c>
      <c r="I50" s="61" t="n">
        <v>110</v>
      </c>
      <c r="J50" s="61" t="n">
        <v>0</v>
      </c>
      <c r="K50" s="61" t="n">
        <v>-15</v>
      </c>
      <c r="L50" s="61" t="n">
        <v>60</v>
      </c>
      <c r="M50" s="61" t="n">
        <v>46</v>
      </c>
      <c r="N50" s="61" t="n">
        <v>0</v>
      </c>
      <c r="O50" s="61" t="inlineStr">
        <is>
          <t>C3</t>
        </is>
      </c>
      <c r="P50" s="61" t="n">
        <v>95</v>
      </c>
      <c r="Q50" s="61" t="n">
        <v>75</v>
      </c>
      <c r="R50" s="61" t="n">
        <v>64</v>
      </c>
      <c r="S50" s="45" t="n">
        <v>58</v>
      </c>
      <c r="T50" s="45" t="n">
        <v>64</v>
      </c>
      <c r="U50" s="45" t="n">
        <v>58</v>
      </c>
      <c r="V50" s="50" t="inlineStr">
        <is>
          <t xml:space="preserve">Acero/Steel </t>
        </is>
      </c>
      <c r="W50" s="54" t="n">
        <v>44824</v>
      </c>
      <c r="X50" s="55" t="inlineStr">
        <is>
          <t>B</t>
        </is>
      </c>
    </row>
    <row r="51" ht="15" customHeight="1" s="5">
      <c r="A51" s="199" t="n">
        <v>49</v>
      </c>
      <c r="B51" s="71" t="inlineStr">
        <is>
          <t>B&amp;P-042-22309-CKW33C3-HLBR</t>
        </is>
      </c>
      <c r="C51" s="61" t="n">
        <v>36</v>
      </c>
      <c r="D51" s="61" t="n">
        <v>0</v>
      </c>
      <c r="E51" s="61" t="n">
        <v>-150</v>
      </c>
      <c r="F51" s="61" t="n">
        <v>36</v>
      </c>
      <c r="G51" s="61" t="n">
        <v>0</v>
      </c>
      <c r="H51" s="61" t="n">
        <v>-150</v>
      </c>
      <c r="I51" s="61" t="n">
        <v>100</v>
      </c>
      <c r="J51" s="61" t="n">
        <v>0</v>
      </c>
      <c r="K51" s="61" t="n">
        <v>-15</v>
      </c>
      <c r="L51" s="61" t="n">
        <v>45</v>
      </c>
      <c r="M51" s="61" t="n">
        <v>39</v>
      </c>
      <c r="N51" s="61" t="n">
        <v>0</v>
      </c>
      <c r="O51" s="61" t="inlineStr">
        <is>
          <t>C3</t>
        </is>
      </c>
      <c r="P51" s="61" t="n">
        <v>90</v>
      </c>
      <c r="Q51" s="61" t="n">
        <v>60</v>
      </c>
      <c r="R51" s="61" t="n">
        <v>64</v>
      </c>
      <c r="S51" s="45" t="n">
        <v>58</v>
      </c>
      <c r="T51" s="45" t="n">
        <v>64</v>
      </c>
      <c r="U51" s="45" t="n">
        <v>58</v>
      </c>
      <c r="V51" s="50" t="inlineStr">
        <is>
          <t xml:space="preserve">Acero/Steel </t>
        </is>
      </c>
      <c r="W51" s="54" t="n">
        <v>45359</v>
      </c>
      <c r="X51" s="55" t="inlineStr">
        <is>
          <t>B</t>
        </is>
      </c>
    </row>
    <row r="52" ht="15" customHeight="1" s="5">
      <c r="A52" s="199" t="n">
        <v>50</v>
      </c>
      <c r="B52" s="71" t="inlineStr">
        <is>
          <t>B&amp;P-042-22208CW33C3 - HLBR</t>
        </is>
      </c>
      <c r="C52" s="64" t="n">
        <v>23</v>
      </c>
      <c r="D52" s="64" t="n">
        <v>0</v>
      </c>
      <c r="E52" s="64" t="n">
        <v>-120</v>
      </c>
      <c r="F52" s="61" t="n">
        <v>23</v>
      </c>
      <c r="G52" s="61" t="n">
        <v>0</v>
      </c>
      <c r="H52" s="61" t="n">
        <v>-120</v>
      </c>
      <c r="I52" s="61" t="n">
        <v>80</v>
      </c>
      <c r="J52" s="61" t="n">
        <v>0</v>
      </c>
      <c r="K52" s="61" t="n">
        <v>-13</v>
      </c>
      <c r="L52" s="61" t="n">
        <v>40</v>
      </c>
      <c r="M52" s="61" t="n">
        <v>0</v>
      </c>
      <c r="N52" s="61" t="n">
        <v>-12</v>
      </c>
      <c r="O52" s="61" t="inlineStr">
        <is>
          <t>C3</t>
        </is>
      </c>
      <c r="P52" s="61" t="n">
        <v>60</v>
      </c>
      <c r="Q52" s="61" t="n">
        <v>45</v>
      </c>
      <c r="R52" s="61" t="n">
        <v>64</v>
      </c>
      <c r="S52" s="45" t="n">
        <v>58</v>
      </c>
      <c r="T52" s="45" t="n">
        <v>64</v>
      </c>
      <c r="U52" s="45" t="n">
        <v>58</v>
      </c>
      <c r="V52" s="50" t="inlineStr">
        <is>
          <t xml:space="preserve">Acero/Steel </t>
        </is>
      </c>
      <c r="W52" s="54" t="n">
        <v>45093</v>
      </c>
      <c r="X52" s="55" t="inlineStr">
        <is>
          <t>B</t>
        </is>
      </c>
    </row>
    <row r="53" ht="15" customHeight="1" s="5">
      <c r="A53" s="199" t="n">
        <v>51</v>
      </c>
      <c r="B53" s="71" t="inlineStr">
        <is>
          <t>B&amp;P-042-21308CKW33C3 - HLBR</t>
        </is>
      </c>
      <c r="C53" s="66" t="n">
        <v>23</v>
      </c>
      <c r="D53" s="66" t="n">
        <v>0</v>
      </c>
      <c r="E53" s="66" t="n">
        <v>-150</v>
      </c>
      <c r="F53" s="61" t="n">
        <v>23</v>
      </c>
      <c r="G53" s="61" t="n">
        <v>0</v>
      </c>
      <c r="H53" s="61" t="n">
        <v>-150</v>
      </c>
      <c r="I53" s="61" t="n">
        <v>90</v>
      </c>
      <c r="J53" s="61" t="n">
        <v>0</v>
      </c>
      <c r="K53" s="61" t="n">
        <v>-18</v>
      </c>
      <c r="L53" s="61" t="n">
        <v>40</v>
      </c>
      <c r="M53" s="61" t="n">
        <v>39</v>
      </c>
      <c r="N53" s="61" t="n">
        <v>0</v>
      </c>
      <c r="O53" s="61" t="inlineStr">
        <is>
          <t>C3</t>
        </is>
      </c>
      <c r="P53" s="61" t="n">
        <v>65</v>
      </c>
      <c r="Q53" s="61" t="n">
        <v>50</v>
      </c>
      <c r="R53" s="61" t="n">
        <v>64</v>
      </c>
      <c r="S53" s="45" t="n">
        <v>58</v>
      </c>
      <c r="T53" s="45" t="n">
        <v>64</v>
      </c>
      <c r="U53" s="45" t="n">
        <v>58</v>
      </c>
      <c r="V53" s="50" t="inlineStr">
        <is>
          <t xml:space="preserve">Acero/Steel </t>
        </is>
      </c>
      <c r="W53" s="49" t="n">
        <v>45141</v>
      </c>
      <c r="X53" s="50" t="inlineStr">
        <is>
          <t>B</t>
        </is>
      </c>
    </row>
    <row r="54" ht="15" customHeight="1" s="5">
      <c r="A54" s="199" t="n">
        <v>52</v>
      </c>
      <c r="B54" s="72" t="inlineStr">
        <is>
          <t>B&amp;P-042-22213CKW33C3 - HLBR</t>
        </is>
      </c>
      <c r="C54" s="66" t="n">
        <v>31</v>
      </c>
      <c r="D54" s="66" t="n">
        <v>0</v>
      </c>
      <c r="E54" s="66" t="n">
        <v>-150</v>
      </c>
      <c r="F54" s="61" t="n">
        <v>31</v>
      </c>
      <c r="G54" s="61" t="n">
        <v>0</v>
      </c>
      <c r="H54" s="61" t="n">
        <v>-150</v>
      </c>
      <c r="I54" s="61" t="n">
        <v>120</v>
      </c>
      <c r="J54" s="61" t="n">
        <v>0</v>
      </c>
      <c r="K54" s="61" t="n">
        <v>-15</v>
      </c>
      <c r="L54" s="61" t="n">
        <v>65</v>
      </c>
      <c r="M54" s="61" t="n">
        <v>46</v>
      </c>
      <c r="N54" s="61" t="n">
        <v>0</v>
      </c>
      <c r="O54" s="61" t="inlineStr">
        <is>
          <t>C3</t>
        </is>
      </c>
      <c r="P54" s="61" t="n">
        <v>95</v>
      </c>
      <c r="Q54" s="61" t="n">
        <v>75</v>
      </c>
      <c r="R54" s="61" t="n">
        <v>64</v>
      </c>
      <c r="S54" s="45" t="n">
        <v>58</v>
      </c>
      <c r="T54" s="45" t="n">
        <v>64</v>
      </c>
      <c r="U54" s="45" t="n">
        <v>58</v>
      </c>
      <c r="V54" s="50" t="inlineStr">
        <is>
          <t xml:space="preserve">Acero/Steel </t>
        </is>
      </c>
      <c r="W54" s="54" t="n">
        <v>45141</v>
      </c>
      <c r="X54" s="55" t="inlineStr">
        <is>
          <t>A</t>
        </is>
      </c>
    </row>
    <row r="55" ht="15" customHeight="1" s="5">
      <c r="A55" s="199" t="n">
        <v>53</v>
      </c>
      <c r="B55" s="72" t="inlineStr">
        <is>
          <t>B&amp;P-042-22310-CKW33C3 - HLBR</t>
        </is>
      </c>
      <c r="C55" s="66" t="n">
        <v>40</v>
      </c>
      <c r="D55" s="66" t="n">
        <v>0</v>
      </c>
      <c r="E55" s="66" t="n">
        <v>-150</v>
      </c>
      <c r="F55" s="61" t="n">
        <v>40</v>
      </c>
      <c r="G55" s="61" t="n">
        <v>0</v>
      </c>
      <c r="H55" s="61" t="n">
        <v>-150</v>
      </c>
      <c r="I55" s="61" t="n">
        <v>110</v>
      </c>
      <c r="J55" s="61" t="n">
        <v>0</v>
      </c>
      <c r="K55" s="61" t="n">
        <v>-18</v>
      </c>
      <c r="L55" s="61" t="n">
        <v>50</v>
      </c>
      <c r="M55" s="61" t="n">
        <v>39</v>
      </c>
      <c r="N55" s="61" t="n">
        <v>0</v>
      </c>
      <c r="O55" s="61" t="inlineStr">
        <is>
          <t>C3</t>
        </is>
      </c>
      <c r="P55" s="61" t="n">
        <v>90</v>
      </c>
      <c r="Q55" s="61" t="n">
        <v>60</v>
      </c>
      <c r="R55" s="61" t="n">
        <v>64</v>
      </c>
      <c r="S55" s="45" t="n">
        <v>58</v>
      </c>
      <c r="T55" s="45" t="n">
        <v>64</v>
      </c>
      <c r="U55" s="45" t="n">
        <v>58</v>
      </c>
      <c r="V55" s="50" t="inlineStr">
        <is>
          <t xml:space="preserve">Acero/Steel </t>
        </is>
      </c>
      <c r="W55" s="54" t="n">
        <v>45359</v>
      </c>
      <c r="X55" s="50" t="inlineStr">
        <is>
          <t>C</t>
        </is>
      </c>
    </row>
    <row r="56" ht="15" customHeight="1" s="5">
      <c r="A56" s="199" t="n">
        <v>54</v>
      </c>
      <c r="B56" s="72" t="inlineStr">
        <is>
          <t>B&amp;P-042-22222-CW33C3-HLBR</t>
        </is>
      </c>
      <c r="C56" s="66" t="n">
        <v>53</v>
      </c>
      <c r="D56" s="66" t="n">
        <v>0</v>
      </c>
      <c r="E56" s="66" t="n">
        <v>-200</v>
      </c>
      <c r="F56" s="61" t="n">
        <v>53</v>
      </c>
      <c r="G56" s="61" t="n">
        <v>0</v>
      </c>
      <c r="H56" s="61" t="n">
        <v>-200</v>
      </c>
      <c r="I56" s="61" t="n">
        <v>200</v>
      </c>
      <c r="J56" s="61" t="n">
        <v>0</v>
      </c>
      <c r="K56" s="61" t="n">
        <v>-30</v>
      </c>
      <c r="L56" s="61" t="n">
        <v>110</v>
      </c>
      <c r="M56" s="61" t="n">
        <v>0</v>
      </c>
      <c r="N56" s="61" t="n">
        <v>-20</v>
      </c>
      <c r="O56" s="61" t="inlineStr">
        <is>
          <t>C3</t>
        </is>
      </c>
      <c r="P56" s="61" t="n">
        <v>160</v>
      </c>
      <c r="Q56" s="61" t="n">
        <v>120</v>
      </c>
      <c r="R56" s="61" t="n">
        <v>64</v>
      </c>
      <c r="S56" s="45" t="n">
        <v>58</v>
      </c>
      <c r="T56" s="45" t="n">
        <v>64</v>
      </c>
      <c r="U56" s="45" t="n">
        <v>58</v>
      </c>
      <c r="V56" s="50" t="inlineStr">
        <is>
          <t xml:space="preserve">Acero/Steel </t>
        </is>
      </c>
      <c r="W56" s="49" t="n">
        <v>45602</v>
      </c>
      <c r="X56" s="50" t="inlineStr">
        <is>
          <t>B</t>
        </is>
      </c>
    </row>
    <row r="57" ht="12.75" customHeight="1" s="5">
      <c r="A57" s="199" t="n">
        <v>55</v>
      </c>
      <c r="B57" s="72" t="inlineStr">
        <is>
          <t>B&amp;P-042-22317-CW33C3-HLBR</t>
        </is>
      </c>
      <c r="C57" s="67" t="n">
        <v>60</v>
      </c>
      <c r="D57" s="67" t="n">
        <v>0</v>
      </c>
      <c r="E57" s="67" t="n">
        <v>-150</v>
      </c>
      <c r="F57" s="68" t="n">
        <v>60</v>
      </c>
      <c r="G57" s="68" t="n">
        <v>0</v>
      </c>
      <c r="H57" s="68" t="n">
        <v>-150</v>
      </c>
      <c r="I57" s="68" t="n">
        <v>180</v>
      </c>
      <c r="J57" s="68" t="n">
        <v>0</v>
      </c>
      <c r="K57" s="68" t="n">
        <v>-18</v>
      </c>
      <c r="L57" s="68" t="n">
        <v>85</v>
      </c>
      <c r="M57" s="68" t="n">
        <v>0</v>
      </c>
      <c r="N57" s="68" t="n">
        <v>-20</v>
      </c>
      <c r="O57" s="68" t="inlineStr">
        <is>
          <t>C3</t>
        </is>
      </c>
      <c r="P57" s="68" t="n">
        <v>80</v>
      </c>
      <c r="Q57" s="68" t="n">
        <v>125</v>
      </c>
      <c r="R57" s="68" t="n">
        <v>64</v>
      </c>
      <c r="S57" s="47" t="n">
        <v>58</v>
      </c>
      <c r="T57" s="47" t="n">
        <v>64</v>
      </c>
      <c r="U57" s="47" t="n">
        <v>58</v>
      </c>
      <c r="V57" s="50" t="inlineStr">
        <is>
          <t xml:space="preserve">Acero/Steel </t>
        </is>
      </c>
      <c r="W57" s="49" t="n">
        <v>45359</v>
      </c>
      <c r="X57" s="50" t="inlineStr">
        <is>
          <t>A</t>
        </is>
      </c>
    </row>
    <row r="58" ht="12.75" customHeight="1" s="5">
      <c r="A58" s="199" t="n">
        <v>56</v>
      </c>
      <c r="B58" s="74" t="inlineStr">
        <is>
          <t>B&amp;P-042-21308-CW33C3-HLBR</t>
        </is>
      </c>
      <c r="C58" s="69" t="n">
        <v>23</v>
      </c>
      <c r="D58" s="69" t="n">
        <v>0</v>
      </c>
      <c r="E58" s="69" t="n">
        <v>-120</v>
      </c>
      <c r="F58" s="68" t="n">
        <v>23</v>
      </c>
      <c r="G58" s="68" t="n">
        <v>0</v>
      </c>
      <c r="H58" s="68" t="n">
        <v>-150</v>
      </c>
      <c r="I58" s="68" t="n">
        <v>90</v>
      </c>
      <c r="J58" s="68" t="n">
        <v>0</v>
      </c>
      <c r="K58" s="68" t="n">
        <v>-15</v>
      </c>
      <c r="L58" s="68" t="n">
        <v>40</v>
      </c>
      <c r="M58" s="68" t="n">
        <v>0</v>
      </c>
      <c r="N58" s="68" t="n">
        <v>-12</v>
      </c>
      <c r="O58" s="68" t="inlineStr">
        <is>
          <t>C3</t>
        </is>
      </c>
      <c r="P58" s="68" t="n">
        <v>60</v>
      </c>
      <c r="Q58" s="68" t="n">
        <v>45</v>
      </c>
      <c r="R58" s="68" t="n">
        <v>64</v>
      </c>
      <c r="S58" s="47" t="n">
        <v>58</v>
      </c>
      <c r="T58" s="47" t="n">
        <v>64</v>
      </c>
      <c r="U58" s="47" t="n">
        <v>58</v>
      </c>
      <c r="V58" s="199" t="inlineStr">
        <is>
          <t xml:space="preserve">Acero/Steel </t>
        </is>
      </c>
      <c r="W58" s="82" t="n">
        <v>45517</v>
      </c>
      <c r="X58" s="199" t="inlineStr">
        <is>
          <t>A</t>
        </is>
      </c>
    </row>
    <row r="59" ht="12.75" customHeight="1" s="5">
      <c r="A59" s="199" t="n">
        <v>57</v>
      </c>
      <c r="B59" s="71" t="inlineStr">
        <is>
          <t>B&amp;P-042-22205-CW33C3 - HLBR</t>
        </is>
      </c>
      <c r="C59" s="64" t="n">
        <v>18</v>
      </c>
      <c r="D59" s="64" t="n">
        <v>0</v>
      </c>
      <c r="E59" s="64" t="n">
        <v>-120</v>
      </c>
      <c r="F59" s="61" t="n">
        <v>18</v>
      </c>
      <c r="G59" s="61" t="n">
        <v>0</v>
      </c>
      <c r="H59" s="61" t="n">
        <v>-120</v>
      </c>
      <c r="I59" s="68" t="n">
        <v>52</v>
      </c>
      <c r="J59" s="68" t="n">
        <v>0</v>
      </c>
      <c r="K59" s="68" t="n">
        <v>-13</v>
      </c>
      <c r="L59" s="61" t="n">
        <v>25</v>
      </c>
      <c r="M59" s="61" t="n">
        <v>0</v>
      </c>
      <c r="N59" s="61" t="n">
        <v>-10</v>
      </c>
      <c r="O59" s="61" t="inlineStr">
        <is>
          <t>C3</t>
        </is>
      </c>
      <c r="P59" s="61" t="n">
        <v>55</v>
      </c>
      <c r="Q59" s="61" t="n">
        <v>40</v>
      </c>
      <c r="R59" s="61" t="n">
        <v>64</v>
      </c>
      <c r="S59" s="45" t="n">
        <v>58</v>
      </c>
      <c r="T59" s="45" t="n">
        <v>64</v>
      </c>
      <c r="U59" s="45" t="n">
        <v>58</v>
      </c>
      <c r="V59" s="50" t="inlineStr">
        <is>
          <t xml:space="preserve">Acero/Steel </t>
        </is>
      </c>
      <c r="W59" s="54" t="n">
        <v>45503</v>
      </c>
      <c r="X59" s="55" t="inlineStr">
        <is>
          <t>C</t>
        </is>
      </c>
    </row>
    <row r="60" ht="12.75" customHeight="1" s="5">
      <c r="A60" s="199" t="n">
        <v>58</v>
      </c>
      <c r="B60" s="72" t="inlineStr">
        <is>
          <t>B&amp;P-042-22310-CW33C3 - HLBR</t>
        </is>
      </c>
      <c r="C60" s="66" t="n">
        <v>40</v>
      </c>
      <c r="D60" s="66" t="n">
        <v>0</v>
      </c>
      <c r="E60" s="66" t="n">
        <v>-120</v>
      </c>
      <c r="F60" s="61" t="n">
        <v>40</v>
      </c>
      <c r="G60" s="61" t="n">
        <v>0</v>
      </c>
      <c r="H60" s="61" t="n">
        <v>-120</v>
      </c>
      <c r="I60" s="61" t="n">
        <v>110</v>
      </c>
      <c r="J60" s="61" t="n">
        <v>0</v>
      </c>
      <c r="K60" s="61" t="n">
        <v>-15</v>
      </c>
      <c r="L60" s="61" t="n">
        <v>50</v>
      </c>
      <c r="M60" s="61" t="n">
        <v>0</v>
      </c>
      <c r="N60" s="61" t="n">
        <v>-12</v>
      </c>
      <c r="O60" s="61" t="inlineStr">
        <is>
          <t>C3</t>
        </is>
      </c>
      <c r="P60" s="61" t="n">
        <v>75</v>
      </c>
      <c r="Q60" s="61" t="n">
        <v>55</v>
      </c>
      <c r="R60" s="61" t="n">
        <v>64</v>
      </c>
      <c r="S60" s="45" t="n">
        <v>58</v>
      </c>
      <c r="T60" s="45" t="n">
        <v>64</v>
      </c>
      <c r="U60" s="45" t="n">
        <v>58</v>
      </c>
      <c r="V60" s="50" t="inlineStr">
        <is>
          <t xml:space="preserve">Acero/Steel </t>
        </is>
      </c>
      <c r="W60" s="54" t="n">
        <v>45517</v>
      </c>
      <c r="X60" s="50" t="inlineStr">
        <is>
          <t>A</t>
        </is>
      </c>
    </row>
    <row r="61" ht="12.75" customHeight="1" s="5">
      <c r="A61" s="199" t="n">
        <v>59</v>
      </c>
      <c r="B61" s="74" t="inlineStr">
        <is>
          <t>B&amp;P-042-22314-CW33C3-HLBR</t>
        </is>
      </c>
      <c r="C61" s="69" t="n">
        <v>51</v>
      </c>
      <c r="D61" s="69" t="n">
        <v>0</v>
      </c>
      <c r="E61" s="69" t="n">
        <v>-150</v>
      </c>
      <c r="F61" s="68" t="n">
        <v>51</v>
      </c>
      <c r="G61" s="68" t="n">
        <v>0</v>
      </c>
      <c r="H61" s="68" t="n">
        <v>-150</v>
      </c>
      <c r="I61" s="68" t="n">
        <v>150</v>
      </c>
      <c r="J61" s="68" t="n">
        <v>0</v>
      </c>
      <c r="K61" s="68" t="n">
        <v>-18</v>
      </c>
      <c r="L61" s="68" t="n">
        <v>70</v>
      </c>
      <c r="M61" s="68" t="n">
        <v>0</v>
      </c>
      <c r="N61" s="68" t="n">
        <v>-15</v>
      </c>
      <c r="O61" s="68" t="inlineStr">
        <is>
          <t>C3</t>
        </is>
      </c>
      <c r="P61" s="68" t="n">
        <v>110</v>
      </c>
      <c r="Q61" s="68" t="n">
        <v>80</v>
      </c>
      <c r="R61" s="68" t="n">
        <v>64</v>
      </c>
      <c r="S61" s="47" t="n">
        <v>58</v>
      </c>
      <c r="T61" s="47" t="n">
        <v>64</v>
      </c>
      <c r="U61" s="47" t="n">
        <v>58</v>
      </c>
      <c r="V61" s="199" t="inlineStr">
        <is>
          <t xml:space="preserve">Acero/Steel </t>
        </is>
      </c>
      <c r="W61" s="82" t="n">
        <v>45581</v>
      </c>
      <c r="X61" s="199" t="inlineStr">
        <is>
          <t>A</t>
        </is>
      </c>
    </row>
    <row r="62" ht="12.75" customHeight="1" s="5">
      <c r="A62" s="199" t="n">
        <v>60</v>
      </c>
      <c r="B62" s="71" t="inlineStr">
        <is>
          <t>B&amp;P-042-22206-CKW33C3-HLBR</t>
        </is>
      </c>
      <c r="C62" s="69" t="n">
        <v>20</v>
      </c>
      <c r="D62" s="69" t="n">
        <v>0</v>
      </c>
      <c r="E62" s="69" t="n">
        <v>-120</v>
      </c>
      <c r="F62" s="68" t="n">
        <v>20</v>
      </c>
      <c r="G62" s="68" t="n">
        <v>0</v>
      </c>
      <c r="H62" s="68" t="n">
        <v>-120</v>
      </c>
      <c r="I62" s="68" t="n">
        <v>62</v>
      </c>
      <c r="J62" s="68" t="n">
        <v>0</v>
      </c>
      <c r="K62" s="68" t="n">
        <v>-13</v>
      </c>
      <c r="L62" s="68" t="n">
        <v>30</v>
      </c>
      <c r="M62" s="68" t="n">
        <v>3</v>
      </c>
      <c r="N62" s="68" t="n">
        <v>0</v>
      </c>
      <c r="O62" s="68" t="inlineStr">
        <is>
          <t>C3</t>
        </is>
      </c>
      <c r="P62" s="68" t="n">
        <v>55</v>
      </c>
      <c r="Q62" s="68" t="n">
        <v>40</v>
      </c>
      <c r="R62" s="68" t="n">
        <v>64</v>
      </c>
      <c r="S62" s="47" t="n">
        <v>58</v>
      </c>
      <c r="T62" s="47" t="n">
        <v>64</v>
      </c>
      <c r="U62" s="47" t="n">
        <v>58</v>
      </c>
      <c r="V62" s="199" t="inlineStr">
        <is>
          <t>Acero/Steel</t>
        </is>
      </c>
      <c r="W62" s="82" t="n">
        <v>45581</v>
      </c>
      <c r="X62" s="199" t="inlineStr">
        <is>
          <t>A</t>
        </is>
      </c>
    </row>
    <row r="63" ht="12.75" customHeight="1" s="5">
      <c r="A63" s="199" t="n">
        <v>61</v>
      </c>
      <c r="B63" s="71" t="inlineStr">
        <is>
          <t>B&amp;P-042-22207-CKW33C3-HLBR</t>
        </is>
      </c>
      <c r="C63" s="69" t="n">
        <v>23</v>
      </c>
      <c r="D63" s="69" t="n">
        <v>0</v>
      </c>
      <c r="E63" s="69" t="n">
        <v>-120</v>
      </c>
      <c r="F63" s="68" t="n">
        <v>23</v>
      </c>
      <c r="G63" s="68" t="n">
        <v>0</v>
      </c>
      <c r="H63" s="68" t="n">
        <v>-120</v>
      </c>
      <c r="I63" s="68" t="n">
        <v>72</v>
      </c>
      <c r="J63" s="68" t="n">
        <v>0</v>
      </c>
      <c r="K63" s="68" t="n">
        <v>-13</v>
      </c>
      <c r="L63" s="68" t="n">
        <v>35</v>
      </c>
      <c r="M63" s="68" t="n">
        <v>39</v>
      </c>
      <c r="N63" s="68" t="n">
        <v>0</v>
      </c>
      <c r="O63" s="68" t="inlineStr">
        <is>
          <t>C3</t>
        </is>
      </c>
      <c r="P63" s="68" t="n">
        <v>65</v>
      </c>
      <c r="Q63" s="68" t="n">
        <v>50</v>
      </c>
      <c r="R63" s="68" t="n">
        <v>64</v>
      </c>
      <c r="S63" s="47" t="n">
        <v>58</v>
      </c>
      <c r="T63" s="47" t="n">
        <v>64</v>
      </c>
      <c r="U63" s="47" t="n">
        <v>58</v>
      </c>
      <c r="V63" s="199" t="inlineStr">
        <is>
          <t>Acero/Steel</t>
        </is>
      </c>
      <c r="W63" s="82" t="n">
        <v>45946</v>
      </c>
      <c r="X63" s="199" t="inlineStr">
        <is>
          <t>A</t>
        </is>
      </c>
    </row>
    <row r="64" ht="12.75" customHeight="1" s="5">
      <c r="A64" s="199" t="n">
        <v>62</v>
      </c>
      <c r="B64" s="74" t="inlineStr">
        <is>
          <t>BPB-042-22210-CW33C3-HLBR</t>
        </is>
      </c>
      <c r="C64" s="69" t="n">
        <v>23</v>
      </c>
      <c r="D64" s="69" t="n">
        <v>0</v>
      </c>
      <c r="E64" s="69" t="n">
        <v>-120</v>
      </c>
      <c r="F64" s="68" t="n">
        <v>23</v>
      </c>
      <c r="G64" s="68" t="n">
        <v>0</v>
      </c>
      <c r="H64" s="68" t="n">
        <v>-120</v>
      </c>
      <c r="I64" s="68" t="n">
        <v>90</v>
      </c>
      <c r="J64" s="68" t="n">
        <v>0</v>
      </c>
      <c r="K64" s="68" t="n">
        <v>-15</v>
      </c>
      <c r="L64" s="68" t="n">
        <v>50</v>
      </c>
      <c r="M64" s="68" t="n">
        <v>0</v>
      </c>
      <c r="N64" s="68" t="n">
        <v>-12</v>
      </c>
      <c r="O64" s="68" t="inlineStr">
        <is>
          <t>C3</t>
        </is>
      </c>
      <c r="P64" s="68" t="n">
        <v>75</v>
      </c>
      <c r="Q64" s="68" t="n">
        <v>55</v>
      </c>
      <c r="R64" s="68" t="n">
        <v>64</v>
      </c>
      <c r="S64" s="47" t="n">
        <v>58</v>
      </c>
      <c r="T64" s="47" t="n">
        <v>64</v>
      </c>
      <c r="U64" s="47" t="n">
        <v>58</v>
      </c>
      <c r="V64" s="199" t="inlineStr">
        <is>
          <t>Acero/Steel</t>
        </is>
      </c>
      <c r="W64" s="82" t="n">
        <v>45798</v>
      </c>
      <c r="X64" s="199" t="inlineStr">
        <is>
          <t>B</t>
        </is>
      </c>
    </row>
    <row r="65" ht="12.75" customHeight="1" s="5">
      <c r="A65" s="223" t="n">
        <v>63</v>
      </c>
      <c r="B65" s="270" t="inlineStr">
        <is>
          <t>B&amp;P-042-22213-CW33C3 - HLBR</t>
        </is>
      </c>
      <c r="C65" s="223" t="inlineStr">
        <is>
          <t>31</t>
        </is>
      </c>
      <c r="D65" s="223" t="inlineStr">
        <is>
          <t>0</t>
        </is>
      </c>
      <c r="E65" s="223" t="inlineStr">
        <is>
          <t>-150</t>
        </is>
      </c>
      <c r="F65" s="223" t="inlineStr">
        <is>
          <t>31</t>
        </is>
      </c>
      <c r="G65" s="223" t="inlineStr">
        <is>
          <t>0</t>
        </is>
      </c>
      <c r="H65" s="223" t="inlineStr">
        <is>
          <t>-150</t>
        </is>
      </c>
      <c r="I65" s="223" t="inlineStr">
        <is>
          <t>120</t>
        </is>
      </c>
      <c r="J65" s="223" t="inlineStr">
        <is>
          <t>0</t>
        </is>
      </c>
      <c r="K65" s="223" t="inlineStr">
        <is>
          <t>-15</t>
        </is>
      </c>
      <c r="L65" s="223" t="inlineStr">
        <is>
          <t>65</t>
        </is>
      </c>
      <c r="M65" s="223" t="inlineStr">
        <is>
          <t>0</t>
        </is>
      </c>
      <c r="N65" s="223" t="inlineStr">
        <is>
          <t>-15</t>
        </is>
      </c>
      <c r="O65" s="223" t="inlineStr">
        <is>
          <t>C3</t>
        </is>
      </c>
      <c r="P65" s="223" t="inlineStr">
        <is>
          <t>90</t>
        </is>
      </c>
      <c r="Q65" s="223" t="inlineStr">
        <is>
          <t>65</t>
        </is>
      </c>
      <c r="R65" s="223" t="inlineStr">
        <is>
          <t>64</t>
        </is>
      </c>
      <c r="S65" s="223" t="inlineStr">
        <is>
          <t>58</t>
        </is>
      </c>
      <c r="T65" s="223" t="inlineStr">
        <is>
          <t>64</t>
        </is>
      </c>
      <c r="U65" s="223" t="inlineStr">
        <is>
          <t>58</t>
        </is>
      </c>
      <c r="V65" s="223" t="inlineStr">
        <is>
          <t>Acero/Steel</t>
        </is>
      </c>
      <c r="W65" s="223" t="inlineStr">
        <is>
          <t>16/06/2023</t>
        </is>
      </c>
      <c r="X65" s="223" t="inlineStr">
        <is>
          <t>B</t>
        </is>
      </c>
    </row>
    <row r="66" ht="12.75" customHeight="1" s="5">
      <c r="A66" s="223" t="n">
        <v>64</v>
      </c>
      <c r="B66" s="270" t="inlineStr">
        <is>
          <t>B&amp;P-042-22211-CKW33C3 - HLBR</t>
        </is>
      </c>
      <c r="C66" s="223" t="inlineStr">
        <is>
          <t>25</t>
        </is>
      </c>
      <c r="D66" s="223" t="inlineStr">
        <is>
          <t>0</t>
        </is>
      </c>
      <c r="E66" s="223" t="inlineStr">
        <is>
          <t>-150</t>
        </is>
      </c>
      <c r="F66" s="223" t="inlineStr">
        <is>
          <t>25</t>
        </is>
      </c>
      <c r="G66" s="223" t="inlineStr">
        <is>
          <t>0</t>
        </is>
      </c>
      <c r="H66" s="223" t="inlineStr">
        <is>
          <t>-150</t>
        </is>
      </c>
      <c r="I66" s="223" t="inlineStr">
        <is>
          <t>100</t>
        </is>
      </c>
      <c r="J66" s="223" t="inlineStr">
        <is>
          <t>0</t>
        </is>
      </c>
      <c r="K66" s="223" t="inlineStr">
        <is>
          <t>-15</t>
        </is>
      </c>
      <c r="L66" s="223" t="inlineStr">
        <is>
          <t>55</t>
        </is>
      </c>
      <c r="M66" s="223" t="inlineStr">
        <is>
          <t>46</t>
        </is>
      </c>
      <c r="N66" s="223" t="inlineStr">
        <is>
          <t>0</t>
        </is>
      </c>
      <c r="O66" s="223" t="inlineStr">
        <is>
          <t>C3</t>
        </is>
      </c>
      <c r="P66" s="223" t="inlineStr">
        <is>
          <t>95</t>
        </is>
      </c>
      <c r="Q66" s="223" t="inlineStr">
        <is>
          <t>75</t>
        </is>
      </c>
      <c r="R66" s="223" t="inlineStr">
        <is>
          <t>64</t>
        </is>
      </c>
      <c r="S66" s="223" t="inlineStr">
        <is>
          <t>58</t>
        </is>
      </c>
      <c r="T66" s="223" t="inlineStr">
        <is>
          <t>64</t>
        </is>
      </c>
      <c r="U66" s="223" t="inlineStr">
        <is>
          <t>58</t>
        </is>
      </c>
      <c r="V66" s="223" t="inlineStr">
        <is>
          <t>Acero/Steel</t>
        </is>
      </c>
      <c r="W66" s="223" t="inlineStr">
        <is>
          <t>03/08/2023</t>
        </is>
      </c>
      <c r="X66" s="223" t="inlineStr">
        <is>
          <t>C</t>
        </is>
      </c>
    </row>
    <row r="67" ht="12.75" customHeight="1" s="5">
      <c r="A67" s="223" t="n">
        <v>65</v>
      </c>
      <c r="B67" s="270" t="inlineStr">
        <is>
          <t>B&amp;P-042-22210-CW33C3 -HLBR</t>
        </is>
      </c>
      <c r="C67" s="223" t="inlineStr">
        <is>
          <t>23</t>
        </is>
      </c>
      <c r="D67" s="223" t="inlineStr">
        <is>
          <t>0</t>
        </is>
      </c>
      <c r="E67" s="223" t="inlineStr">
        <is>
          <t>-120</t>
        </is>
      </c>
      <c r="F67" s="223" t="inlineStr">
        <is>
          <t>23</t>
        </is>
      </c>
      <c r="G67" s="223" t="inlineStr">
        <is>
          <t>0</t>
        </is>
      </c>
      <c r="H67" s="223" t="inlineStr">
        <is>
          <t>-120</t>
        </is>
      </c>
      <c r="I67" s="223" t="inlineStr">
        <is>
          <t>90</t>
        </is>
      </c>
      <c r="J67" s="223" t="inlineStr">
        <is>
          <t>0</t>
        </is>
      </c>
      <c r="K67" s="223" t="inlineStr">
        <is>
          <t>-15</t>
        </is>
      </c>
      <c r="L67" s="223" t="inlineStr">
        <is>
          <t>50</t>
        </is>
      </c>
      <c r="M67" s="223" t="inlineStr">
        <is>
          <t>0</t>
        </is>
      </c>
      <c r="N67" s="223" t="inlineStr">
        <is>
          <t>-12</t>
        </is>
      </c>
      <c r="O67" s="223" t="inlineStr">
        <is>
          <t>C3</t>
        </is>
      </c>
      <c r="P67" s="223" t="inlineStr">
        <is>
          <t>75</t>
        </is>
      </c>
      <c r="Q67" s="223" t="inlineStr">
        <is>
          <t>55</t>
        </is>
      </c>
      <c r="R67" s="223" t="inlineStr">
        <is>
          <t>64</t>
        </is>
      </c>
      <c r="S67" s="223" t="inlineStr">
        <is>
          <t>58</t>
        </is>
      </c>
      <c r="T67" s="223" t="inlineStr">
        <is>
          <t>64</t>
        </is>
      </c>
      <c r="U67" s="223" t="inlineStr">
        <is>
          <t>58</t>
        </is>
      </c>
      <c r="V67" s="223" t="inlineStr">
        <is>
          <t>Acero/Steel</t>
        </is>
      </c>
      <c r="W67" s="223" t="inlineStr">
        <is>
          <t>21/05/2025</t>
        </is>
      </c>
      <c r="X67" s="223" t="inlineStr">
        <is>
          <t>B</t>
        </is>
      </c>
    </row>
    <row r="68" ht="12.75" customHeight="1" s="5">
      <c r="A68" s="223" t="n">
        <v>66</v>
      </c>
      <c r="B68" s="270" t="inlineStr">
        <is>
          <t>B&amp;P-042-22211-CW33C3 - HLBR</t>
        </is>
      </c>
      <c r="C68" s="223" t="inlineStr">
        <is>
          <t>25</t>
        </is>
      </c>
      <c r="D68" s="223" t="inlineStr">
        <is>
          <t>0</t>
        </is>
      </c>
      <c r="E68" s="223" t="inlineStr">
        <is>
          <t>-150</t>
        </is>
      </c>
      <c r="F68" s="223" t="inlineStr">
        <is>
          <t>25</t>
        </is>
      </c>
      <c r="G68" s="223" t="inlineStr">
        <is>
          <t>0</t>
        </is>
      </c>
      <c r="H68" s="223" t="inlineStr">
        <is>
          <t>-150</t>
        </is>
      </c>
      <c r="I68" s="223" t="inlineStr">
        <is>
          <t>100</t>
        </is>
      </c>
      <c r="J68" s="223" t="inlineStr">
        <is>
          <t>0</t>
        </is>
      </c>
      <c r="K68" s="223" t="inlineStr">
        <is>
          <t>-15</t>
        </is>
      </c>
      <c r="L68" s="223" t="inlineStr">
        <is>
          <t>55</t>
        </is>
      </c>
      <c r="M68" s="223" t="inlineStr">
        <is>
          <t>0</t>
        </is>
      </c>
      <c r="N68" s="223" t="inlineStr">
        <is>
          <t>-15</t>
        </is>
      </c>
      <c r="O68" s="223" t="inlineStr">
        <is>
          <t>C3</t>
        </is>
      </c>
      <c r="P68" s="223" t="inlineStr">
        <is>
          <t>90</t>
        </is>
      </c>
      <c r="Q68" s="223" t="inlineStr">
        <is>
          <t>60</t>
        </is>
      </c>
      <c r="R68" s="223" t="inlineStr">
        <is>
          <t>-</t>
        </is>
      </c>
      <c r="S68" s="223" t="inlineStr">
        <is>
          <t>-</t>
        </is>
      </c>
      <c r="T68" s="223" t="inlineStr">
        <is>
          <t>-</t>
        </is>
      </c>
      <c r="U68" s="223" t="inlineStr">
        <is>
          <t>-</t>
        </is>
      </c>
      <c r="V68" s="223" t="inlineStr">
        <is>
          <t>Acero/Steel</t>
        </is>
      </c>
      <c r="W68" s="223" t="inlineStr">
        <is>
          <t>16/10/2024</t>
        </is>
      </c>
      <c r="X68" s="223" t="inlineStr">
        <is>
          <t>C</t>
        </is>
      </c>
    </row>
    <row r="69" ht="12.75" customHeight="1" s="5">
      <c r="A69" s="223" t="n">
        <v>67</v>
      </c>
      <c r="B69" s="270" t="inlineStr">
        <is>
          <t>B&amp;P-042-22213-CW33C3 - HLBR</t>
        </is>
      </c>
      <c r="C69" s="223" t="inlineStr">
        <is>
          <t>31</t>
        </is>
      </c>
      <c r="D69" s="223" t="inlineStr">
        <is>
          <t>0</t>
        </is>
      </c>
      <c r="E69" s="223" t="inlineStr">
        <is>
          <t>-150</t>
        </is>
      </c>
      <c r="F69" s="223" t="inlineStr">
        <is>
          <t>31</t>
        </is>
      </c>
      <c r="G69" s="223" t="inlineStr">
        <is>
          <t>0</t>
        </is>
      </c>
      <c r="H69" s="223" t="inlineStr">
        <is>
          <t>-150</t>
        </is>
      </c>
      <c r="I69" s="223" t="inlineStr">
        <is>
          <t>120</t>
        </is>
      </c>
      <c r="J69" s="223" t="inlineStr">
        <is>
          <t>0</t>
        </is>
      </c>
      <c r="K69" s="223" t="inlineStr">
        <is>
          <t>-15</t>
        </is>
      </c>
      <c r="L69" s="223" t="inlineStr">
        <is>
          <t>65</t>
        </is>
      </c>
      <c r="M69" s="223" t="inlineStr">
        <is>
          <t>0</t>
        </is>
      </c>
      <c r="N69" s="223" t="inlineStr">
        <is>
          <t>-15</t>
        </is>
      </c>
      <c r="O69" s="223" t="inlineStr">
        <is>
          <t>C3</t>
        </is>
      </c>
      <c r="P69" s="223" t="inlineStr">
        <is>
          <t>90</t>
        </is>
      </c>
      <c r="Q69" s="223" t="inlineStr">
        <is>
          <t>65</t>
        </is>
      </c>
      <c r="R69" s="223" t="inlineStr">
        <is>
          <t>64</t>
        </is>
      </c>
      <c r="S69" s="223" t="inlineStr">
        <is>
          <t>58</t>
        </is>
      </c>
      <c r="T69" s="223" t="inlineStr">
        <is>
          <t>64</t>
        </is>
      </c>
      <c r="U69" s="223" t="inlineStr">
        <is>
          <t>58</t>
        </is>
      </c>
      <c r="V69" s="223" t="inlineStr">
        <is>
          <t>Acero/Steel</t>
        </is>
      </c>
      <c r="W69" s="223" t="inlineStr">
        <is>
          <t>16/06/2023</t>
        </is>
      </c>
      <c r="X69" s="223" t="inlineStr">
        <is>
          <t>B</t>
        </is>
      </c>
    </row>
    <row r="70" ht="12.75" customHeight="1" s="5">
      <c r="A70" s="223" t="n">
        <v>68</v>
      </c>
      <c r="B70" s="270" t="inlineStr">
        <is>
          <t>B&amp;P-042-22211-CKW33C3 - HLBR</t>
        </is>
      </c>
      <c r="C70" s="223" t="inlineStr">
        <is>
          <t>25</t>
        </is>
      </c>
      <c r="D70" s="223" t="inlineStr">
        <is>
          <t>0</t>
        </is>
      </c>
      <c r="E70" s="223" t="inlineStr">
        <is>
          <t>-150</t>
        </is>
      </c>
      <c r="F70" s="223" t="inlineStr">
        <is>
          <t>25</t>
        </is>
      </c>
      <c r="G70" s="223" t="inlineStr">
        <is>
          <t>0</t>
        </is>
      </c>
      <c r="H70" s="223" t="inlineStr">
        <is>
          <t>-150</t>
        </is>
      </c>
      <c r="I70" s="223" t="inlineStr">
        <is>
          <t>100</t>
        </is>
      </c>
      <c r="J70" s="223" t="inlineStr">
        <is>
          <t>0</t>
        </is>
      </c>
      <c r="K70" s="223" t="inlineStr">
        <is>
          <t>-15</t>
        </is>
      </c>
      <c r="L70" s="223" t="inlineStr">
        <is>
          <t>55</t>
        </is>
      </c>
      <c r="M70" s="223" t="inlineStr">
        <is>
          <t>46</t>
        </is>
      </c>
      <c r="N70" s="223" t="inlineStr">
        <is>
          <t>0</t>
        </is>
      </c>
      <c r="O70" s="223" t="inlineStr">
        <is>
          <t>C3</t>
        </is>
      </c>
      <c r="P70" s="223" t="inlineStr">
        <is>
          <t>95</t>
        </is>
      </c>
      <c r="Q70" s="223" t="inlineStr">
        <is>
          <t>75</t>
        </is>
      </c>
      <c r="R70" s="223" t="inlineStr">
        <is>
          <t>64</t>
        </is>
      </c>
      <c r="S70" s="223" t="inlineStr">
        <is>
          <t>58</t>
        </is>
      </c>
      <c r="T70" s="223" t="inlineStr">
        <is>
          <t>64</t>
        </is>
      </c>
      <c r="U70" s="223" t="inlineStr">
        <is>
          <t>58</t>
        </is>
      </c>
      <c r="V70" s="223" t="inlineStr">
        <is>
          <t>Acero/Steel</t>
        </is>
      </c>
      <c r="W70" s="223" t="inlineStr">
        <is>
          <t>03/08/2023</t>
        </is>
      </c>
      <c r="X70" s="223" t="inlineStr">
        <is>
          <t>C</t>
        </is>
      </c>
    </row>
    <row r="71" ht="12.75" customHeight="1" s="5">
      <c r="A71" s="223" t="n">
        <v>69</v>
      </c>
      <c r="B71" s="270" t="inlineStr">
        <is>
          <t>B&amp;P-042-22210-CW33C3 -HLBR</t>
        </is>
      </c>
      <c r="C71" s="223" t="inlineStr">
        <is>
          <t>23</t>
        </is>
      </c>
      <c r="D71" s="223" t="inlineStr">
        <is>
          <t>0</t>
        </is>
      </c>
      <c r="E71" s="223" t="inlineStr">
        <is>
          <t>-120</t>
        </is>
      </c>
      <c r="F71" s="223" t="inlineStr">
        <is>
          <t>23</t>
        </is>
      </c>
      <c r="G71" s="223" t="inlineStr">
        <is>
          <t>0</t>
        </is>
      </c>
      <c r="H71" s="223" t="inlineStr">
        <is>
          <t>-120</t>
        </is>
      </c>
      <c r="I71" s="223" t="inlineStr">
        <is>
          <t>90</t>
        </is>
      </c>
      <c r="J71" s="223" t="inlineStr">
        <is>
          <t>0</t>
        </is>
      </c>
      <c r="K71" s="223" t="inlineStr">
        <is>
          <t>-15</t>
        </is>
      </c>
      <c r="L71" s="223" t="inlineStr">
        <is>
          <t>50</t>
        </is>
      </c>
      <c r="M71" s="223" t="inlineStr">
        <is>
          <t>0</t>
        </is>
      </c>
      <c r="N71" s="223" t="inlineStr">
        <is>
          <t>-12</t>
        </is>
      </c>
      <c r="O71" s="223" t="inlineStr">
        <is>
          <t>C3</t>
        </is>
      </c>
      <c r="P71" s="223" t="inlineStr">
        <is>
          <t>75</t>
        </is>
      </c>
      <c r="Q71" s="223" t="inlineStr">
        <is>
          <t>55</t>
        </is>
      </c>
      <c r="R71" s="223" t="inlineStr">
        <is>
          <t>64</t>
        </is>
      </c>
      <c r="S71" s="223" t="inlineStr">
        <is>
          <t>58</t>
        </is>
      </c>
      <c r="T71" s="223" t="inlineStr">
        <is>
          <t>64</t>
        </is>
      </c>
      <c r="U71" s="223" t="inlineStr">
        <is>
          <t>58</t>
        </is>
      </c>
      <c r="V71" s="223" t="inlineStr">
        <is>
          <t>Acero/Steel</t>
        </is>
      </c>
      <c r="W71" s="223" t="inlineStr">
        <is>
          <t>21/05/2025</t>
        </is>
      </c>
      <c r="X71" s="223" t="inlineStr">
        <is>
          <t>B</t>
        </is>
      </c>
    </row>
    <row r="72" ht="12.75" customHeight="1" s="5">
      <c r="A72" s="223" t="n">
        <v>70</v>
      </c>
      <c r="B72" s="270" t="inlineStr">
        <is>
          <t>B&amp;P-042-22211-CW33C3 - HLBR</t>
        </is>
      </c>
      <c r="C72" s="223" t="inlineStr">
        <is>
          <t>25</t>
        </is>
      </c>
      <c r="D72" s="223" t="inlineStr">
        <is>
          <t>0</t>
        </is>
      </c>
      <c r="E72" s="223" t="inlineStr">
        <is>
          <t>-150</t>
        </is>
      </c>
      <c r="F72" s="223" t="inlineStr">
        <is>
          <t>25</t>
        </is>
      </c>
      <c r="G72" s="223" t="inlineStr">
        <is>
          <t>0</t>
        </is>
      </c>
      <c r="H72" s="223" t="inlineStr">
        <is>
          <t>-150</t>
        </is>
      </c>
      <c r="I72" s="223" t="inlineStr">
        <is>
          <t>100</t>
        </is>
      </c>
      <c r="J72" s="223" t="inlineStr">
        <is>
          <t>0</t>
        </is>
      </c>
      <c r="K72" s="223" t="inlineStr">
        <is>
          <t>-15</t>
        </is>
      </c>
      <c r="L72" s="223" t="inlineStr">
        <is>
          <t>55</t>
        </is>
      </c>
      <c r="M72" s="223" t="inlineStr">
        <is>
          <t>0</t>
        </is>
      </c>
      <c r="N72" s="223" t="inlineStr">
        <is>
          <t>-15</t>
        </is>
      </c>
      <c r="O72" s="223" t="inlineStr">
        <is>
          <t>C3</t>
        </is>
      </c>
      <c r="P72" s="223" t="inlineStr">
        <is>
          <t>90</t>
        </is>
      </c>
      <c r="Q72" s="223" t="inlineStr">
        <is>
          <t>60</t>
        </is>
      </c>
      <c r="R72" s="223" t="inlineStr">
        <is>
          <t>-</t>
        </is>
      </c>
      <c r="S72" s="223" t="inlineStr">
        <is>
          <t>-</t>
        </is>
      </c>
      <c r="T72" s="223" t="inlineStr">
        <is>
          <t>-</t>
        </is>
      </c>
      <c r="U72" s="223" t="inlineStr">
        <is>
          <t>-</t>
        </is>
      </c>
      <c r="V72" s="223" t="inlineStr">
        <is>
          <t>Acero/Steel</t>
        </is>
      </c>
      <c r="W72" s="223" t="inlineStr">
        <is>
          <t>16/10/2024</t>
        </is>
      </c>
      <c r="X72" s="223" t="inlineStr">
        <is>
          <t>C</t>
        </is>
      </c>
    </row>
    <row r="73" ht="12.75" customHeight="1" s="5">
      <c r="A73" s="223" t="n">
        <v>71</v>
      </c>
      <c r="B73" s="270" t="inlineStr">
        <is>
          <t>B&amp;P-042-22213-CW33C3 - HLBR</t>
        </is>
      </c>
      <c r="C73" s="223" t="inlineStr">
        <is>
          <t>31</t>
        </is>
      </c>
      <c r="D73" s="223" t="inlineStr">
        <is>
          <t>0</t>
        </is>
      </c>
      <c r="E73" s="223" t="inlineStr">
        <is>
          <t>-150</t>
        </is>
      </c>
      <c r="F73" s="223" t="inlineStr">
        <is>
          <t>31</t>
        </is>
      </c>
      <c r="G73" s="223" t="inlineStr">
        <is>
          <t>0</t>
        </is>
      </c>
      <c r="H73" s="223" t="inlineStr">
        <is>
          <t>-150</t>
        </is>
      </c>
      <c r="I73" s="223" t="inlineStr">
        <is>
          <t>120</t>
        </is>
      </c>
      <c r="J73" s="223" t="inlineStr">
        <is>
          <t>0</t>
        </is>
      </c>
      <c r="K73" s="223" t="inlineStr">
        <is>
          <t>-15</t>
        </is>
      </c>
      <c r="L73" s="223" t="inlineStr">
        <is>
          <t>65</t>
        </is>
      </c>
      <c r="M73" s="223" t="inlineStr">
        <is>
          <t>0</t>
        </is>
      </c>
      <c r="N73" s="223" t="inlineStr">
        <is>
          <t>-15</t>
        </is>
      </c>
      <c r="O73" s="223" t="inlineStr">
        <is>
          <t>C3</t>
        </is>
      </c>
      <c r="P73" s="223" t="inlineStr">
        <is>
          <t>90</t>
        </is>
      </c>
      <c r="Q73" s="223" t="inlineStr">
        <is>
          <t>65</t>
        </is>
      </c>
      <c r="R73" s="223" t="inlineStr">
        <is>
          <t>64</t>
        </is>
      </c>
      <c r="S73" s="223" t="inlineStr">
        <is>
          <t>58</t>
        </is>
      </c>
      <c r="T73" s="223" t="inlineStr">
        <is>
          <t>64</t>
        </is>
      </c>
      <c r="U73" s="223" t="inlineStr">
        <is>
          <t>58</t>
        </is>
      </c>
      <c r="V73" s="223" t="inlineStr">
        <is>
          <t>Acero/Steel</t>
        </is>
      </c>
      <c r="W73" s="223" t="inlineStr">
        <is>
          <t>16/06/2023</t>
        </is>
      </c>
      <c r="X73" s="223" t="inlineStr">
        <is>
          <t>B</t>
        </is>
      </c>
    </row>
    <row r="74" ht="12.75" customHeight="1" s="5">
      <c r="A74" s="223" t="n">
        <v>72</v>
      </c>
      <c r="B74" s="270" t="inlineStr">
        <is>
          <t>B&amp;P-042-22211-CKW33C3 - HLBR</t>
        </is>
      </c>
      <c r="C74" s="223" t="inlineStr">
        <is>
          <t>25</t>
        </is>
      </c>
      <c r="D74" s="223" t="inlineStr">
        <is>
          <t>0</t>
        </is>
      </c>
      <c r="E74" s="223" t="inlineStr">
        <is>
          <t>-150</t>
        </is>
      </c>
      <c r="F74" s="223" t="inlineStr">
        <is>
          <t>25</t>
        </is>
      </c>
      <c r="G74" s="223" t="inlineStr">
        <is>
          <t>0</t>
        </is>
      </c>
      <c r="H74" s="223" t="inlineStr">
        <is>
          <t>-150</t>
        </is>
      </c>
      <c r="I74" s="223" t="inlineStr">
        <is>
          <t>100</t>
        </is>
      </c>
      <c r="J74" s="223" t="inlineStr">
        <is>
          <t>0</t>
        </is>
      </c>
      <c r="K74" s="223" t="inlineStr">
        <is>
          <t>-15</t>
        </is>
      </c>
      <c r="L74" s="223" t="inlineStr">
        <is>
          <t>55</t>
        </is>
      </c>
      <c r="M74" s="223" t="inlineStr">
        <is>
          <t>46</t>
        </is>
      </c>
      <c r="N74" s="223" t="inlineStr">
        <is>
          <t>0</t>
        </is>
      </c>
      <c r="O74" s="223" t="inlineStr">
        <is>
          <t>C3</t>
        </is>
      </c>
      <c r="P74" s="223" t="inlineStr">
        <is>
          <t>95</t>
        </is>
      </c>
      <c r="Q74" s="223" t="inlineStr">
        <is>
          <t>75</t>
        </is>
      </c>
      <c r="R74" s="223" t="inlineStr">
        <is>
          <t>64</t>
        </is>
      </c>
      <c r="S74" s="223" t="inlineStr">
        <is>
          <t>58</t>
        </is>
      </c>
      <c r="T74" s="223" t="inlineStr">
        <is>
          <t>64</t>
        </is>
      </c>
      <c r="U74" s="223" t="inlineStr">
        <is>
          <t>58</t>
        </is>
      </c>
      <c r="V74" s="223" t="inlineStr">
        <is>
          <t>Acero/Steel</t>
        </is>
      </c>
      <c r="W74" s="223" t="inlineStr">
        <is>
          <t>03/08/2023</t>
        </is>
      </c>
      <c r="X74" s="223" t="inlineStr">
        <is>
          <t>C</t>
        </is>
      </c>
    </row>
    <row r="75" ht="12.75" customHeight="1" s="5">
      <c r="A75" s="223" t="n">
        <v>73</v>
      </c>
      <c r="B75" s="270" t="inlineStr">
        <is>
          <t>B&amp;P-042-22210-CW33C3 -HLBR</t>
        </is>
      </c>
      <c r="C75" s="223" t="inlineStr">
        <is>
          <t>23</t>
        </is>
      </c>
      <c r="D75" s="223" t="inlineStr">
        <is>
          <t>0</t>
        </is>
      </c>
      <c r="E75" s="223" t="inlineStr">
        <is>
          <t>-120</t>
        </is>
      </c>
      <c r="F75" s="223" t="inlineStr">
        <is>
          <t>23</t>
        </is>
      </c>
      <c r="G75" s="223" t="inlineStr">
        <is>
          <t>0</t>
        </is>
      </c>
      <c r="H75" s="223" t="inlineStr">
        <is>
          <t>-120</t>
        </is>
      </c>
      <c r="I75" s="223" t="inlineStr">
        <is>
          <t>90</t>
        </is>
      </c>
      <c r="J75" s="223" t="inlineStr">
        <is>
          <t>0</t>
        </is>
      </c>
      <c r="K75" s="223" t="inlineStr">
        <is>
          <t>-15</t>
        </is>
      </c>
      <c r="L75" s="223" t="inlineStr">
        <is>
          <t>50</t>
        </is>
      </c>
      <c r="M75" s="223" t="inlineStr">
        <is>
          <t>0</t>
        </is>
      </c>
      <c r="N75" s="223" t="inlineStr">
        <is>
          <t>-12</t>
        </is>
      </c>
      <c r="O75" s="223" t="inlineStr">
        <is>
          <t>C3</t>
        </is>
      </c>
      <c r="P75" s="223" t="inlineStr">
        <is>
          <t>75</t>
        </is>
      </c>
      <c r="Q75" s="223" t="inlineStr">
        <is>
          <t>55</t>
        </is>
      </c>
      <c r="R75" s="223" t="inlineStr">
        <is>
          <t>64</t>
        </is>
      </c>
      <c r="S75" s="223" t="inlineStr">
        <is>
          <t>58</t>
        </is>
      </c>
      <c r="T75" s="223" t="inlineStr">
        <is>
          <t>64</t>
        </is>
      </c>
      <c r="U75" s="223" t="inlineStr">
        <is>
          <t>58</t>
        </is>
      </c>
      <c r="V75" s="223" t="inlineStr">
        <is>
          <t>Acero/Steel</t>
        </is>
      </c>
      <c r="W75" s="223" t="inlineStr">
        <is>
          <t>21/05/2025</t>
        </is>
      </c>
      <c r="X75" s="223" t="inlineStr">
        <is>
          <t>B</t>
        </is>
      </c>
    </row>
    <row r="76">
      <c r="A76" s="223" t="n">
        <v>74</v>
      </c>
      <c r="B76" s="270" t="inlineStr">
        <is>
          <t>B&amp;P-042-22211-CW33C3 - HLBR</t>
        </is>
      </c>
      <c r="C76" s="223" t="inlineStr">
        <is>
          <t>25</t>
        </is>
      </c>
      <c r="D76" s="223" t="inlineStr">
        <is>
          <t>0</t>
        </is>
      </c>
      <c r="E76" s="223" t="inlineStr">
        <is>
          <t>-150</t>
        </is>
      </c>
      <c r="F76" s="223" t="inlineStr">
        <is>
          <t>25</t>
        </is>
      </c>
      <c r="G76" s="223" t="inlineStr">
        <is>
          <t>0</t>
        </is>
      </c>
      <c r="H76" s="223" t="inlineStr">
        <is>
          <t>-150</t>
        </is>
      </c>
      <c r="I76" s="223" t="inlineStr">
        <is>
          <t>100</t>
        </is>
      </c>
      <c r="J76" s="223" t="inlineStr">
        <is>
          <t>0</t>
        </is>
      </c>
      <c r="K76" s="223" t="inlineStr">
        <is>
          <t>-15</t>
        </is>
      </c>
      <c r="L76" s="223" t="inlineStr">
        <is>
          <t>55</t>
        </is>
      </c>
      <c r="M76" s="223" t="inlineStr">
        <is>
          <t>0</t>
        </is>
      </c>
      <c r="N76" s="223" t="inlineStr">
        <is>
          <t>-15</t>
        </is>
      </c>
      <c r="O76" s="223" t="inlineStr">
        <is>
          <t>C3</t>
        </is>
      </c>
      <c r="P76" s="223" t="inlineStr">
        <is>
          <t>90</t>
        </is>
      </c>
      <c r="Q76" s="223" t="inlineStr">
        <is>
          <t>60</t>
        </is>
      </c>
      <c r="R76" s="223" t="inlineStr">
        <is>
          <t>-</t>
        </is>
      </c>
      <c r="S76" s="223" t="inlineStr">
        <is>
          <t>-</t>
        </is>
      </c>
      <c r="T76" s="223" t="inlineStr">
        <is>
          <t>-</t>
        </is>
      </c>
      <c r="U76" s="223" t="inlineStr">
        <is>
          <t>-</t>
        </is>
      </c>
      <c r="V76" s="223" t="inlineStr">
        <is>
          <t>Acero/Steel</t>
        </is>
      </c>
      <c r="W76" s="223" t="inlineStr">
        <is>
          <t>16/10/2024</t>
        </is>
      </c>
      <c r="X76" s="223" t="inlineStr">
        <is>
          <t>C</t>
        </is>
      </c>
    </row>
    <row r="77">
      <c r="A77" s="223" t="n">
        <v>75</v>
      </c>
      <c r="B77" s="270" t="inlineStr">
        <is>
          <t>B&amp;P-042-22211-CKW33C3 - HLBR</t>
        </is>
      </c>
      <c r="C77" s="223" t="inlineStr">
        <is>
          <t>25</t>
        </is>
      </c>
      <c r="D77" s="223" t="inlineStr">
        <is>
          <t>0</t>
        </is>
      </c>
      <c r="E77" s="223" t="inlineStr">
        <is>
          <t>-150</t>
        </is>
      </c>
      <c r="F77" s="223" t="inlineStr">
        <is>
          <t>25</t>
        </is>
      </c>
      <c r="G77" s="223" t="inlineStr">
        <is>
          <t>0</t>
        </is>
      </c>
      <c r="H77" s="223" t="inlineStr">
        <is>
          <t>-150</t>
        </is>
      </c>
      <c r="I77" s="223" t="inlineStr">
        <is>
          <t>100</t>
        </is>
      </c>
      <c r="J77" s="223" t="inlineStr">
        <is>
          <t>0</t>
        </is>
      </c>
      <c r="K77" s="223" t="inlineStr">
        <is>
          <t>-15</t>
        </is>
      </c>
      <c r="L77" s="223" t="inlineStr">
        <is>
          <t>55</t>
        </is>
      </c>
      <c r="M77" s="223" t="inlineStr">
        <is>
          <t>46</t>
        </is>
      </c>
      <c r="N77" s="223" t="inlineStr">
        <is>
          <t>0</t>
        </is>
      </c>
      <c r="O77" s="223" t="inlineStr">
        <is>
          <t>C3</t>
        </is>
      </c>
      <c r="P77" s="223" t="inlineStr">
        <is>
          <t>95</t>
        </is>
      </c>
      <c r="Q77" s="223" t="inlineStr">
        <is>
          <t>75</t>
        </is>
      </c>
      <c r="R77" s="223" t="inlineStr">
        <is>
          <t>64</t>
        </is>
      </c>
      <c r="S77" s="223" t="inlineStr">
        <is>
          <t>58</t>
        </is>
      </c>
      <c r="T77" s="223" t="inlineStr">
        <is>
          <t>64</t>
        </is>
      </c>
      <c r="U77" s="223" t="inlineStr">
        <is>
          <t>58</t>
        </is>
      </c>
      <c r="V77" s="223" t="inlineStr">
        <is>
          <t>Acero/Steel</t>
        </is>
      </c>
      <c r="W77" s="223" t="inlineStr">
        <is>
          <t>03/08/2023</t>
        </is>
      </c>
      <c r="X77" s="223" t="inlineStr">
        <is>
          <t>C</t>
        </is>
      </c>
    </row>
    <row r="78">
      <c r="A78" s="223" t="n">
        <v>76</v>
      </c>
      <c r="B78" s="270" t="inlineStr">
        <is>
          <t>B&amp;P-042-22211-CW33C3 - HLBR</t>
        </is>
      </c>
      <c r="C78" s="223" t="inlineStr">
        <is>
          <t>25</t>
        </is>
      </c>
      <c r="D78" s="223" t="inlineStr">
        <is>
          <t>0</t>
        </is>
      </c>
      <c r="E78" s="223" t="inlineStr">
        <is>
          <t>-150</t>
        </is>
      </c>
      <c r="F78" s="223" t="inlineStr">
        <is>
          <t>25</t>
        </is>
      </c>
      <c r="G78" s="223" t="inlineStr">
        <is>
          <t>0</t>
        </is>
      </c>
      <c r="H78" s="223" t="inlineStr">
        <is>
          <t>-150</t>
        </is>
      </c>
      <c r="I78" s="223" t="inlineStr">
        <is>
          <t>100</t>
        </is>
      </c>
      <c r="J78" s="223" t="inlineStr">
        <is>
          <t>0</t>
        </is>
      </c>
      <c r="K78" s="223" t="inlineStr">
        <is>
          <t>-15</t>
        </is>
      </c>
      <c r="L78" s="223" t="inlineStr">
        <is>
          <t>55</t>
        </is>
      </c>
      <c r="M78" s="223" t="inlineStr">
        <is>
          <t>0</t>
        </is>
      </c>
      <c r="N78" s="223" t="inlineStr">
        <is>
          <t>-15</t>
        </is>
      </c>
      <c r="O78" s="223" t="inlineStr">
        <is>
          <t>C3</t>
        </is>
      </c>
      <c r="P78" s="223" t="inlineStr">
        <is>
          <t>90</t>
        </is>
      </c>
      <c r="Q78" s="223" t="inlineStr">
        <is>
          <t>60</t>
        </is>
      </c>
      <c r="R78" s="223" t="inlineStr">
        <is>
          <t>-</t>
        </is>
      </c>
      <c r="S78" s="223" t="inlineStr">
        <is>
          <t>-</t>
        </is>
      </c>
      <c r="T78" s="223" t="inlineStr">
        <is>
          <t>-</t>
        </is>
      </c>
      <c r="U78" s="223" t="inlineStr">
        <is>
          <t>-</t>
        </is>
      </c>
      <c r="V78" s="223" t="inlineStr">
        <is>
          <t>Acero/Steel</t>
        </is>
      </c>
      <c r="W78" s="223" t="inlineStr">
        <is>
          <t>16/10/2024</t>
        </is>
      </c>
      <c r="X78" s="223" t="inlineStr">
        <is>
          <t>C</t>
        </is>
      </c>
    </row>
    <row r="79">
      <c r="A79" s="223" t="n">
        <v>77</v>
      </c>
      <c r="B79" s="270" t="inlineStr">
        <is>
          <t>B&amp;P-042-22213-CW33C3 - HLBR</t>
        </is>
      </c>
      <c r="C79" s="223" t="inlineStr">
        <is>
          <t>31</t>
        </is>
      </c>
      <c r="D79" s="223" t="inlineStr">
        <is>
          <t>0</t>
        </is>
      </c>
      <c r="E79" s="223" t="inlineStr">
        <is>
          <t>-150</t>
        </is>
      </c>
      <c r="F79" s="223" t="inlineStr">
        <is>
          <t>31</t>
        </is>
      </c>
      <c r="G79" s="223" t="inlineStr">
        <is>
          <t>0</t>
        </is>
      </c>
      <c r="H79" s="223" t="inlineStr">
        <is>
          <t>-150</t>
        </is>
      </c>
      <c r="I79" s="223" t="inlineStr">
        <is>
          <t>120</t>
        </is>
      </c>
      <c r="J79" s="223" t="inlineStr">
        <is>
          <t>0</t>
        </is>
      </c>
      <c r="K79" s="223" t="inlineStr">
        <is>
          <t>-15</t>
        </is>
      </c>
      <c r="L79" s="223" t="inlineStr">
        <is>
          <t>65</t>
        </is>
      </c>
      <c r="M79" s="223" t="inlineStr">
        <is>
          <t>0</t>
        </is>
      </c>
      <c r="N79" s="223" t="inlineStr">
        <is>
          <t>-15</t>
        </is>
      </c>
      <c r="O79" s="223" t="inlineStr">
        <is>
          <t>C3</t>
        </is>
      </c>
      <c r="P79" s="223" t="inlineStr">
        <is>
          <t>90</t>
        </is>
      </c>
      <c r="Q79" s="223" t="inlineStr">
        <is>
          <t>65</t>
        </is>
      </c>
      <c r="R79" s="223" t="inlineStr">
        <is>
          <t>64</t>
        </is>
      </c>
      <c r="S79" s="223" t="inlineStr">
        <is>
          <t>58</t>
        </is>
      </c>
      <c r="T79" s="223" t="inlineStr">
        <is>
          <t>64</t>
        </is>
      </c>
      <c r="U79" s="223" t="inlineStr">
        <is>
          <t>58</t>
        </is>
      </c>
      <c r="V79" s="223" t="inlineStr">
        <is>
          <t>Acero/Steel</t>
        </is>
      </c>
      <c r="W79" s="223" t="inlineStr">
        <is>
          <t>16/06/2023</t>
        </is>
      </c>
      <c r="X79" s="223" t="inlineStr">
        <is>
          <t>B</t>
        </is>
      </c>
    </row>
    <row r="80">
      <c r="A80" s="223" t="n">
        <v>78</v>
      </c>
      <c r="B80" s="270" t="inlineStr">
        <is>
          <t>B&amp;P-042-22211-CKW33C3 - HLBR</t>
        </is>
      </c>
      <c r="C80" s="223" t="inlineStr">
        <is>
          <t>25</t>
        </is>
      </c>
      <c r="D80" s="223" t="inlineStr">
        <is>
          <t>0</t>
        </is>
      </c>
      <c r="E80" s="223" t="inlineStr">
        <is>
          <t>-150</t>
        </is>
      </c>
      <c r="F80" s="223" t="inlineStr">
        <is>
          <t>25</t>
        </is>
      </c>
      <c r="G80" s="223" t="inlineStr">
        <is>
          <t>0</t>
        </is>
      </c>
      <c r="H80" s="223" t="inlineStr">
        <is>
          <t>-150</t>
        </is>
      </c>
      <c r="I80" s="223" t="inlineStr">
        <is>
          <t>100</t>
        </is>
      </c>
      <c r="J80" s="223" t="inlineStr">
        <is>
          <t>0</t>
        </is>
      </c>
      <c r="K80" s="223" t="inlineStr">
        <is>
          <t>-15</t>
        </is>
      </c>
      <c r="L80" s="223" t="inlineStr">
        <is>
          <t>55</t>
        </is>
      </c>
      <c r="M80" s="223" t="inlineStr">
        <is>
          <t>46</t>
        </is>
      </c>
      <c r="N80" s="223" t="inlineStr">
        <is>
          <t>0</t>
        </is>
      </c>
      <c r="O80" s="223" t="inlineStr">
        <is>
          <t>C3</t>
        </is>
      </c>
      <c r="P80" s="223" t="inlineStr">
        <is>
          <t>95</t>
        </is>
      </c>
      <c r="Q80" s="223" t="inlineStr">
        <is>
          <t>75</t>
        </is>
      </c>
      <c r="R80" s="223" t="inlineStr">
        <is>
          <t>64</t>
        </is>
      </c>
      <c r="S80" s="223" t="inlineStr">
        <is>
          <t>58</t>
        </is>
      </c>
      <c r="T80" s="223" t="inlineStr">
        <is>
          <t>64</t>
        </is>
      </c>
      <c r="U80" s="223" t="inlineStr">
        <is>
          <t>58</t>
        </is>
      </c>
      <c r="V80" s="223" t="inlineStr">
        <is>
          <t>Acero/Steel</t>
        </is>
      </c>
      <c r="W80" s="223" t="inlineStr">
        <is>
          <t>03/08/2023</t>
        </is>
      </c>
      <c r="X80" s="223" t="inlineStr">
        <is>
          <t>C</t>
        </is>
      </c>
    </row>
    <row r="81">
      <c r="A81" s="223" t="n">
        <v>79</v>
      </c>
      <c r="B81" s="270" t="inlineStr">
        <is>
          <t>B&amp;P-042-22211-CW33C3 - HLBR</t>
        </is>
      </c>
      <c r="C81" s="223" t="inlineStr">
        <is>
          <t>25</t>
        </is>
      </c>
      <c r="D81" s="223" t="inlineStr">
        <is>
          <t>0</t>
        </is>
      </c>
      <c r="E81" s="223" t="inlineStr">
        <is>
          <t>-150</t>
        </is>
      </c>
      <c r="F81" s="223" t="inlineStr">
        <is>
          <t>25</t>
        </is>
      </c>
      <c r="G81" s="223" t="inlineStr">
        <is>
          <t>0</t>
        </is>
      </c>
      <c r="H81" s="223" t="inlineStr">
        <is>
          <t>-150</t>
        </is>
      </c>
      <c r="I81" s="223" t="inlineStr">
        <is>
          <t>100</t>
        </is>
      </c>
      <c r="J81" s="223" t="inlineStr">
        <is>
          <t>0</t>
        </is>
      </c>
      <c r="K81" s="223" t="inlineStr">
        <is>
          <t>-15</t>
        </is>
      </c>
      <c r="L81" s="223" t="inlineStr">
        <is>
          <t>55</t>
        </is>
      </c>
      <c r="M81" s="223" t="inlineStr">
        <is>
          <t>0</t>
        </is>
      </c>
      <c r="N81" s="223" t="inlineStr">
        <is>
          <t>-15</t>
        </is>
      </c>
      <c r="O81" s="223" t="inlineStr">
        <is>
          <t>C3</t>
        </is>
      </c>
      <c r="P81" s="223" t="inlineStr">
        <is>
          <t>90</t>
        </is>
      </c>
      <c r="Q81" s="223" t="inlineStr">
        <is>
          <t>60</t>
        </is>
      </c>
      <c r="R81" s="223" t="inlineStr">
        <is>
          <t>-</t>
        </is>
      </c>
      <c r="S81" s="223" t="inlineStr">
        <is>
          <t>-</t>
        </is>
      </c>
      <c r="T81" s="223" t="inlineStr">
        <is>
          <t>-</t>
        </is>
      </c>
      <c r="U81" s="223" t="inlineStr">
        <is>
          <t>-</t>
        </is>
      </c>
      <c r="V81" s="223" t="inlineStr">
        <is>
          <t>Acero/Steel</t>
        </is>
      </c>
      <c r="W81" s="223" t="inlineStr">
        <is>
          <t>16/10/2024</t>
        </is>
      </c>
      <c r="X81" s="223" t="inlineStr">
        <is>
          <t>C</t>
        </is>
      </c>
    </row>
    <row r="82">
      <c r="A82" s="223" t="n">
        <v>80</v>
      </c>
      <c r="B82" s="270" t="inlineStr">
        <is>
          <t>B&amp;P-042-22213-CW33C3 - HLBR</t>
        </is>
      </c>
      <c r="C82" s="223" t="inlineStr">
        <is>
          <t>31</t>
        </is>
      </c>
      <c r="D82" s="223" t="inlineStr">
        <is>
          <t>0</t>
        </is>
      </c>
      <c r="E82" s="223" t="inlineStr">
        <is>
          <t>-150</t>
        </is>
      </c>
      <c r="F82" s="223" t="inlineStr">
        <is>
          <t>31</t>
        </is>
      </c>
      <c r="G82" s="223" t="inlineStr">
        <is>
          <t>0</t>
        </is>
      </c>
      <c r="H82" s="223" t="inlineStr">
        <is>
          <t>-150</t>
        </is>
      </c>
      <c r="I82" s="223" t="inlineStr">
        <is>
          <t>120</t>
        </is>
      </c>
      <c r="J82" s="223" t="inlineStr">
        <is>
          <t>0</t>
        </is>
      </c>
      <c r="K82" s="223" t="inlineStr">
        <is>
          <t>-15</t>
        </is>
      </c>
      <c r="L82" s="223" t="inlineStr">
        <is>
          <t>65</t>
        </is>
      </c>
      <c r="M82" s="223" t="inlineStr">
        <is>
          <t>0</t>
        </is>
      </c>
      <c r="N82" s="223" t="inlineStr">
        <is>
          <t>-15</t>
        </is>
      </c>
      <c r="O82" s="223" t="inlineStr">
        <is>
          <t>C3</t>
        </is>
      </c>
      <c r="P82" s="223" t="inlineStr">
        <is>
          <t>90</t>
        </is>
      </c>
      <c r="Q82" s="223" t="inlineStr">
        <is>
          <t>65</t>
        </is>
      </c>
      <c r="R82" s="223" t="inlineStr">
        <is>
          <t>64</t>
        </is>
      </c>
      <c r="S82" s="223" t="inlineStr">
        <is>
          <t>58</t>
        </is>
      </c>
      <c r="T82" s="223" t="inlineStr">
        <is>
          <t>64</t>
        </is>
      </c>
      <c r="U82" s="223" t="inlineStr">
        <is>
          <t>58</t>
        </is>
      </c>
      <c r="V82" s="223" t="inlineStr">
        <is>
          <t>Acero/Steel</t>
        </is>
      </c>
      <c r="W82" s="223" t="inlineStr">
        <is>
          <t>16/06/2023</t>
        </is>
      </c>
      <c r="X82" s="223" t="inlineStr">
        <is>
          <t>B</t>
        </is>
      </c>
    </row>
    <row r="83">
      <c r="A83" s="223" t="n">
        <v>81</v>
      </c>
      <c r="B83" s="270" t="inlineStr">
        <is>
          <t>B&amp;P-042-22210-CW33C3 -HLBR</t>
        </is>
      </c>
      <c r="C83" s="223" t="inlineStr">
        <is>
          <t>23</t>
        </is>
      </c>
      <c r="D83" s="223" t="inlineStr">
        <is>
          <t>0</t>
        </is>
      </c>
      <c r="E83" s="223" t="inlineStr">
        <is>
          <t>-120</t>
        </is>
      </c>
      <c r="F83" s="223" t="inlineStr">
        <is>
          <t>23</t>
        </is>
      </c>
      <c r="G83" s="223" t="inlineStr">
        <is>
          <t>0</t>
        </is>
      </c>
      <c r="H83" s="223" t="inlineStr">
        <is>
          <t>-120</t>
        </is>
      </c>
      <c r="I83" s="223" t="inlineStr">
        <is>
          <t>90</t>
        </is>
      </c>
      <c r="J83" s="223" t="inlineStr">
        <is>
          <t>0</t>
        </is>
      </c>
      <c r="K83" s="223" t="inlineStr">
        <is>
          <t>-15</t>
        </is>
      </c>
      <c r="L83" s="223" t="inlineStr">
        <is>
          <t>50</t>
        </is>
      </c>
      <c r="M83" s="223" t="inlineStr">
        <is>
          <t>0</t>
        </is>
      </c>
      <c r="N83" s="223" t="inlineStr">
        <is>
          <t>-12</t>
        </is>
      </c>
      <c r="O83" s="223" t="inlineStr">
        <is>
          <t>C3</t>
        </is>
      </c>
      <c r="P83" s="223" t="inlineStr">
        <is>
          <t>75</t>
        </is>
      </c>
      <c r="Q83" s="223" t="inlineStr">
        <is>
          <t>55</t>
        </is>
      </c>
      <c r="R83" s="223" t="inlineStr">
        <is>
          <t>64</t>
        </is>
      </c>
      <c r="S83" s="223" t="inlineStr">
        <is>
          <t>58</t>
        </is>
      </c>
      <c r="T83" s="223" t="inlineStr">
        <is>
          <t>64</t>
        </is>
      </c>
      <c r="U83" s="223" t="inlineStr">
        <is>
          <t>58</t>
        </is>
      </c>
      <c r="V83" s="223" t="inlineStr">
        <is>
          <t>Acero/Steel</t>
        </is>
      </c>
      <c r="W83" s="223" t="inlineStr">
        <is>
          <t>21/05/2025</t>
        </is>
      </c>
      <c r="X83" s="223" t="inlineStr">
        <is>
          <t>B</t>
        </is>
      </c>
    </row>
    <row r="84">
      <c r="A84" s="223" t="n">
        <v>82</v>
      </c>
      <c r="B84" s="270" t="inlineStr">
        <is>
          <t>B&amp;P-042-22211-CKW33C3 - HLBR</t>
        </is>
      </c>
      <c r="C84" s="223" t="inlineStr">
        <is>
          <t>25</t>
        </is>
      </c>
      <c r="D84" s="223" t="inlineStr">
        <is>
          <t>0</t>
        </is>
      </c>
      <c r="E84" s="223" t="inlineStr">
        <is>
          <t>-150</t>
        </is>
      </c>
      <c r="F84" s="223" t="inlineStr">
        <is>
          <t>25</t>
        </is>
      </c>
      <c r="G84" s="223" t="inlineStr">
        <is>
          <t>0</t>
        </is>
      </c>
      <c r="H84" s="223" t="inlineStr">
        <is>
          <t>-150</t>
        </is>
      </c>
      <c r="I84" s="223" t="inlineStr">
        <is>
          <t>100</t>
        </is>
      </c>
      <c r="J84" s="223" t="inlineStr">
        <is>
          <t>0</t>
        </is>
      </c>
      <c r="K84" s="223" t="inlineStr">
        <is>
          <t>-15</t>
        </is>
      </c>
      <c r="L84" s="223" t="inlineStr">
        <is>
          <t>55</t>
        </is>
      </c>
      <c r="M84" s="223" t="inlineStr">
        <is>
          <t>46</t>
        </is>
      </c>
      <c r="N84" s="223" t="inlineStr">
        <is>
          <t>0</t>
        </is>
      </c>
      <c r="O84" s="223" t="inlineStr">
        <is>
          <t>C3</t>
        </is>
      </c>
      <c r="P84" s="223" t="inlineStr">
        <is>
          <t>95</t>
        </is>
      </c>
      <c r="Q84" s="223" t="inlineStr">
        <is>
          <t>75</t>
        </is>
      </c>
      <c r="R84" s="223" t="inlineStr">
        <is>
          <t>64</t>
        </is>
      </c>
      <c r="S84" s="223" t="inlineStr">
        <is>
          <t>58</t>
        </is>
      </c>
      <c r="T84" s="223" t="inlineStr">
        <is>
          <t>64</t>
        </is>
      </c>
      <c r="U84" s="223" t="inlineStr">
        <is>
          <t>58</t>
        </is>
      </c>
      <c r="V84" s="223" t="inlineStr">
        <is>
          <t>Acero/Steel</t>
        </is>
      </c>
      <c r="W84" s="223" t="inlineStr">
        <is>
          <t>03/08/2023</t>
        </is>
      </c>
      <c r="X84" s="223" t="inlineStr">
        <is>
          <t>C</t>
        </is>
      </c>
    </row>
    <row r="85">
      <c r="A85" s="223" t="n">
        <v>83</v>
      </c>
      <c r="B85" s="270" t="inlineStr">
        <is>
          <t>B&amp;P-042-22210-CW33C3 -HLBR</t>
        </is>
      </c>
      <c r="C85" s="223" t="inlineStr">
        <is>
          <t>23</t>
        </is>
      </c>
      <c r="D85" s="223" t="inlineStr">
        <is>
          <t>0</t>
        </is>
      </c>
      <c r="E85" s="223" t="inlineStr">
        <is>
          <t>-120</t>
        </is>
      </c>
      <c r="F85" s="223" t="inlineStr">
        <is>
          <t>23</t>
        </is>
      </c>
      <c r="G85" s="223" t="inlineStr">
        <is>
          <t>0</t>
        </is>
      </c>
      <c r="H85" s="223" t="inlineStr">
        <is>
          <t>-120</t>
        </is>
      </c>
      <c r="I85" s="223" t="inlineStr">
        <is>
          <t>90</t>
        </is>
      </c>
      <c r="J85" s="223" t="inlineStr">
        <is>
          <t>0</t>
        </is>
      </c>
      <c r="K85" s="223" t="inlineStr">
        <is>
          <t>-15</t>
        </is>
      </c>
      <c r="L85" s="223" t="inlineStr">
        <is>
          <t>50</t>
        </is>
      </c>
      <c r="M85" s="223" t="inlineStr">
        <is>
          <t>0</t>
        </is>
      </c>
      <c r="N85" s="223" t="inlineStr">
        <is>
          <t>-12</t>
        </is>
      </c>
      <c r="O85" s="223" t="inlineStr">
        <is>
          <t>C3</t>
        </is>
      </c>
      <c r="P85" s="223" t="inlineStr">
        <is>
          <t>75</t>
        </is>
      </c>
      <c r="Q85" s="223" t="inlineStr">
        <is>
          <t>55</t>
        </is>
      </c>
      <c r="R85" s="223" t="inlineStr">
        <is>
          <t>64</t>
        </is>
      </c>
      <c r="S85" s="223" t="inlineStr">
        <is>
          <t>58</t>
        </is>
      </c>
      <c r="T85" s="223" t="inlineStr">
        <is>
          <t>64</t>
        </is>
      </c>
      <c r="U85" s="223" t="inlineStr">
        <is>
          <t>58</t>
        </is>
      </c>
      <c r="V85" s="223" t="inlineStr">
        <is>
          <t>Acero/Steel</t>
        </is>
      </c>
      <c r="W85" s="223" t="inlineStr">
        <is>
          <t>21/05/2025</t>
        </is>
      </c>
      <c r="X85" s="223" t="inlineStr">
        <is>
          <t>B</t>
        </is>
      </c>
    </row>
    <row r="86">
      <c r="A86" s="223" t="n">
        <v>84</v>
      </c>
      <c r="B86" s="270" t="inlineStr">
        <is>
          <t>B&amp;P-042-22211-CKW33C3 - HLBR</t>
        </is>
      </c>
      <c r="C86" s="223" t="inlineStr">
        <is>
          <t>25</t>
        </is>
      </c>
      <c r="D86" s="223" t="inlineStr">
        <is>
          <t>0</t>
        </is>
      </c>
      <c r="E86" s="223" t="inlineStr">
        <is>
          <t>-150</t>
        </is>
      </c>
      <c r="F86" s="223" t="inlineStr">
        <is>
          <t>25</t>
        </is>
      </c>
      <c r="G86" s="223" t="inlineStr">
        <is>
          <t>0</t>
        </is>
      </c>
      <c r="H86" s="223" t="inlineStr">
        <is>
          <t>-150</t>
        </is>
      </c>
      <c r="I86" s="223" t="inlineStr">
        <is>
          <t>100</t>
        </is>
      </c>
      <c r="J86" s="223" t="inlineStr">
        <is>
          <t>0</t>
        </is>
      </c>
      <c r="K86" s="223" t="inlineStr">
        <is>
          <t>-15</t>
        </is>
      </c>
      <c r="L86" s="223" t="inlineStr">
        <is>
          <t>55</t>
        </is>
      </c>
      <c r="M86" s="223" t="inlineStr">
        <is>
          <t>46</t>
        </is>
      </c>
      <c r="N86" s="223" t="inlineStr">
        <is>
          <t>0</t>
        </is>
      </c>
      <c r="O86" s="223" t="inlineStr">
        <is>
          <t>C3</t>
        </is>
      </c>
      <c r="P86" s="223" t="inlineStr">
        <is>
          <t>95</t>
        </is>
      </c>
      <c r="Q86" s="223" t="inlineStr">
        <is>
          <t>75</t>
        </is>
      </c>
      <c r="R86" s="223" t="inlineStr">
        <is>
          <t>64</t>
        </is>
      </c>
      <c r="S86" s="223" t="inlineStr">
        <is>
          <t>58</t>
        </is>
      </c>
      <c r="T86" s="223" t="inlineStr">
        <is>
          <t>64</t>
        </is>
      </c>
      <c r="U86" s="223" t="inlineStr">
        <is>
          <t>58</t>
        </is>
      </c>
      <c r="V86" s="223" t="inlineStr">
        <is>
          <t>Acero/Steel</t>
        </is>
      </c>
      <c r="W86" s="223" t="inlineStr">
        <is>
          <t>03/08/2023</t>
        </is>
      </c>
      <c r="X86" s="223" t="inlineStr">
        <is>
          <t>C</t>
        </is>
      </c>
    </row>
    <row r="87">
      <c r="A87" s="223" t="n">
        <v>85</v>
      </c>
      <c r="B87" s="270" t="inlineStr">
        <is>
          <t>B&amp;P-042-22210-CW33C3 -HLBR</t>
        </is>
      </c>
      <c r="C87" s="223" t="inlineStr">
        <is>
          <t>23</t>
        </is>
      </c>
      <c r="D87" s="223" t="inlineStr">
        <is>
          <t>0</t>
        </is>
      </c>
      <c r="E87" s="223" t="inlineStr">
        <is>
          <t>-120</t>
        </is>
      </c>
      <c r="F87" s="223" t="inlineStr">
        <is>
          <t>23</t>
        </is>
      </c>
      <c r="G87" s="223" t="inlineStr">
        <is>
          <t>0</t>
        </is>
      </c>
      <c r="H87" s="223" t="inlineStr">
        <is>
          <t>-120</t>
        </is>
      </c>
      <c r="I87" s="223" t="inlineStr">
        <is>
          <t>90</t>
        </is>
      </c>
      <c r="J87" s="223" t="inlineStr">
        <is>
          <t>0</t>
        </is>
      </c>
      <c r="K87" s="223" t="inlineStr">
        <is>
          <t>-15</t>
        </is>
      </c>
      <c r="L87" s="223" t="inlineStr">
        <is>
          <t>50</t>
        </is>
      </c>
      <c r="M87" s="223" t="inlineStr">
        <is>
          <t>0</t>
        </is>
      </c>
      <c r="N87" s="223" t="inlineStr">
        <is>
          <t>-12</t>
        </is>
      </c>
      <c r="O87" s="223" t="inlineStr">
        <is>
          <t>C3</t>
        </is>
      </c>
      <c r="P87" s="223" t="inlineStr">
        <is>
          <t>75</t>
        </is>
      </c>
      <c r="Q87" s="223" t="inlineStr">
        <is>
          <t>55</t>
        </is>
      </c>
      <c r="R87" s="223" t="inlineStr">
        <is>
          <t>64</t>
        </is>
      </c>
      <c r="S87" s="223" t="inlineStr">
        <is>
          <t>58</t>
        </is>
      </c>
      <c r="T87" s="223" t="inlineStr">
        <is>
          <t>64</t>
        </is>
      </c>
      <c r="U87" s="223" t="inlineStr">
        <is>
          <t>58</t>
        </is>
      </c>
      <c r="V87" s="223" t="inlineStr">
        <is>
          <t>Acero/Steel</t>
        </is>
      </c>
      <c r="W87" s="223" t="inlineStr">
        <is>
          <t>21/05/2025</t>
        </is>
      </c>
      <c r="X87" s="223" t="inlineStr">
        <is>
          <t>B</t>
        </is>
      </c>
    </row>
    <row r="88">
      <c r="A88" s="223" t="n">
        <v>86</v>
      </c>
      <c r="B88" s="270" t="inlineStr">
        <is>
          <t>B&amp;P-042-22211-CKW33C3 - HLBR</t>
        </is>
      </c>
      <c r="C88" s="223" t="inlineStr">
        <is>
          <t>25</t>
        </is>
      </c>
      <c r="D88" s="223" t="inlineStr">
        <is>
          <t>0</t>
        </is>
      </c>
      <c r="E88" s="223" t="inlineStr">
        <is>
          <t>-150</t>
        </is>
      </c>
      <c r="F88" s="223" t="inlineStr">
        <is>
          <t>25</t>
        </is>
      </c>
      <c r="G88" s="223" t="inlineStr">
        <is>
          <t>0</t>
        </is>
      </c>
      <c r="H88" s="223" t="inlineStr">
        <is>
          <t>-150</t>
        </is>
      </c>
      <c r="I88" s="223" t="inlineStr">
        <is>
          <t>100</t>
        </is>
      </c>
      <c r="J88" s="223" t="inlineStr">
        <is>
          <t>0</t>
        </is>
      </c>
      <c r="K88" s="223" t="inlineStr">
        <is>
          <t>-15</t>
        </is>
      </c>
      <c r="L88" s="223" t="inlineStr">
        <is>
          <t>55</t>
        </is>
      </c>
      <c r="M88" s="223" t="inlineStr">
        <is>
          <t>46</t>
        </is>
      </c>
      <c r="N88" s="223" t="inlineStr">
        <is>
          <t>0</t>
        </is>
      </c>
      <c r="O88" s="223" t="inlineStr">
        <is>
          <t>C3</t>
        </is>
      </c>
      <c r="P88" s="223" t="inlineStr">
        <is>
          <t>95</t>
        </is>
      </c>
      <c r="Q88" s="223" t="inlineStr">
        <is>
          <t>75</t>
        </is>
      </c>
      <c r="R88" s="223" t="inlineStr">
        <is>
          <t>64</t>
        </is>
      </c>
      <c r="S88" s="223" t="inlineStr">
        <is>
          <t>58</t>
        </is>
      </c>
      <c r="T88" s="223" t="inlineStr">
        <is>
          <t>64</t>
        </is>
      </c>
      <c r="U88" s="223" t="inlineStr">
        <is>
          <t>58</t>
        </is>
      </c>
      <c r="V88" s="223" t="inlineStr">
        <is>
          <t>Acero/Steel</t>
        </is>
      </c>
      <c r="W88" s="223" t="inlineStr">
        <is>
          <t>03/08/2023</t>
        </is>
      </c>
      <c r="X88" s="223" t="inlineStr">
        <is>
          <t>C</t>
        </is>
      </c>
    </row>
    <row r="89">
      <c r="F89" s="68" t="n"/>
      <c r="G89" s="68" t="n"/>
      <c r="H89" s="68" t="n"/>
      <c r="I89" s="68" t="n"/>
      <c r="J89" s="68" t="n"/>
      <c r="K89" s="68" t="n"/>
      <c r="L89" s="68" t="n"/>
      <c r="M89" s="68" t="n"/>
      <c r="N89" s="68" t="n"/>
      <c r="O89" s="68" t="n"/>
      <c r="P89" s="68" t="n"/>
      <c r="Q89" s="68" t="n"/>
      <c r="R89" s="68" t="n"/>
      <c r="S89" s="47" t="n"/>
      <c r="T89" s="47" t="n"/>
      <c r="U89" s="47" t="n"/>
      <c r="V89" s="199" t="n"/>
      <c r="W89" s="199" t="n"/>
      <c r="X89" s="199" t="n"/>
    </row>
    <row r="90">
      <c r="F90" s="68" t="n"/>
      <c r="G90" s="68" t="n"/>
      <c r="H90" s="68" t="n"/>
      <c r="I90" s="68" t="n"/>
      <c r="J90" s="68" t="n"/>
      <c r="K90" s="68" t="n"/>
      <c r="L90" s="68" t="n"/>
      <c r="M90" s="68" t="n"/>
      <c r="N90" s="68" t="n"/>
      <c r="O90" s="68" t="n"/>
      <c r="P90" s="68" t="n"/>
      <c r="Q90" s="68" t="n"/>
      <c r="R90" s="68" t="n"/>
      <c r="S90" s="47" t="n"/>
      <c r="T90" s="47" t="n"/>
      <c r="U90" s="47" t="n"/>
      <c r="V90" s="199" t="n"/>
      <c r="W90" s="199" t="n"/>
      <c r="X90" s="199" t="n"/>
    </row>
    <row r="91">
      <c r="F91" s="68" t="n"/>
      <c r="G91" s="68" t="n"/>
      <c r="H91" s="68" t="n"/>
      <c r="I91" s="68" t="n"/>
      <c r="J91" s="68" t="n"/>
      <c r="K91" s="68" t="n"/>
      <c r="L91" s="68" t="n"/>
      <c r="M91" s="68" t="n"/>
      <c r="N91" s="68" t="n"/>
      <c r="O91" s="68" t="n"/>
      <c r="P91" s="68" t="n"/>
      <c r="Q91" s="68" t="n"/>
      <c r="R91" s="68" t="n"/>
      <c r="S91" s="47" t="n"/>
      <c r="T91" s="47" t="n"/>
      <c r="U91" s="47" t="n"/>
      <c r="V91" s="199" t="n"/>
      <c r="W91" s="199" t="n"/>
      <c r="X91" s="199" t="n"/>
    </row>
    <row r="92">
      <c r="F92" s="68" t="n"/>
      <c r="G92" s="68" t="n"/>
      <c r="H92" s="68" t="n"/>
      <c r="I92" s="68" t="n"/>
      <c r="J92" s="68" t="n"/>
      <c r="K92" s="68" t="n"/>
      <c r="L92" s="68" t="n"/>
      <c r="M92" s="68" t="n"/>
      <c r="N92" s="68" t="n"/>
      <c r="O92" s="68" t="n"/>
      <c r="P92" s="68" t="n"/>
      <c r="Q92" s="68" t="n"/>
      <c r="R92" s="68" t="n"/>
      <c r="S92" s="47" t="n"/>
      <c r="T92" s="47" t="n"/>
      <c r="U92" s="47" t="n"/>
      <c r="V92" s="199" t="n"/>
      <c r="W92" s="199" t="n"/>
      <c r="X92" s="199" t="n"/>
    </row>
    <row r="93">
      <c r="F93" s="68" t="n"/>
      <c r="G93" s="68" t="n"/>
      <c r="H93" s="68" t="n"/>
      <c r="I93" s="68" t="n"/>
      <c r="J93" s="68" t="n"/>
      <c r="K93" s="68" t="n"/>
      <c r="L93" s="68" t="n"/>
      <c r="M93" s="68" t="n"/>
      <c r="N93" s="68" t="n"/>
      <c r="O93" s="68" t="n"/>
      <c r="P93" s="68" t="n"/>
      <c r="Q93" s="68" t="n"/>
      <c r="R93" s="68" t="n"/>
      <c r="S93" s="47" t="n"/>
      <c r="T93" s="47" t="n"/>
      <c r="U93" s="47" t="n"/>
      <c r="V93" s="199" t="n"/>
      <c r="W93" s="199" t="n"/>
      <c r="X93" s="199" t="n"/>
    </row>
    <row r="94">
      <c r="F94" s="68" t="n"/>
      <c r="G94" s="68" t="n"/>
      <c r="H94" s="68" t="n"/>
      <c r="I94" s="68" t="n"/>
      <c r="J94" s="68" t="n"/>
      <c r="K94" s="68" t="n"/>
      <c r="L94" s="68" t="n"/>
      <c r="M94" s="68" t="n"/>
      <c r="N94" s="68" t="n"/>
      <c r="O94" s="68" t="n"/>
      <c r="P94" s="68" t="n"/>
      <c r="Q94" s="68" t="n"/>
      <c r="R94" s="68" t="n"/>
      <c r="S94" s="47" t="n"/>
      <c r="T94" s="47" t="n"/>
      <c r="U94" s="47" t="n"/>
      <c r="V94" s="199" t="n"/>
      <c r="W94" s="199" t="n"/>
      <c r="X94" s="199" t="n"/>
    </row>
    <row r="95">
      <c r="F95" s="68" t="n"/>
      <c r="G95" s="68" t="n"/>
      <c r="H95" s="68" t="n"/>
      <c r="I95" s="68" t="n"/>
      <c r="J95" s="68" t="n"/>
      <c r="K95" s="68" t="n"/>
      <c r="L95" s="68" t="n"/>
      <c r="M95" s="68" t="n"/>
      <c r="N95" s="68" t="n"/>
      <c r="O95" s="68" t="n"/>
      <c r="P95" s="68" t="n"/>
      <c r="Q95" s="68" t="n"/>
      <c r="R95" s="68" t="n"/>
      <c r="S95" s="47" t="n"/>
      <c r="T95" s="47" t="n"/>
      <c r="U95" s="47" t="n"/>
      <c r="V95" s="199" t="n"/>
      <c r="W95" s="199" t="n"/>
      <c r="X95" s="199" t="n"/>
    </row>
    <row r="96">
      <c r="F96" s="68" t="n"/>
      <c r="G96" s="68" t="n"/>
      <c r="H96" s="68" t="n"/>
      <c r="I96" s="68" t="n"/>
      <c r="J96" s="68" t="n"/>
      <c r="K96" s="68" t="n"/>
      <c r="L96" s="68" t="n"/>
      <c r="M96" s="68" t="n"/>
      <c r="N96" s="68" t="n"/>
      <c r="O96" s="68" t="n"/>
      <c r="P96" s="68" t="n"/>
      <c r="Q96" s="68" t="n"/>
      <c r="R96" s="68" t="n"/>
      <c r="S96" s="47" t="n"/>
      <c r="T96" s="47" t="n"/>
      <c r="U96" s="47" t="n"/>
      <c r="V96" s="199" t="n"/>
      <c r="W96" s="199" t="n"/>
      <c r="X96" s="199" t="n"/>
    </row>
    <row r="97">
      <c r="F97" s="68" t="n"/>
      <c r="G97" s="68" t="n"/>
      <c r="H97" s="68" t="n"/>
      <c r="I97" s="68" t="n"/>
      <c r="J97" s="68" t="n"/>
      <c r="K97" s="68" t="n"/>
      <c r="L97" s="68" t="n"/>
      <c r="M97" s="68" t="n"/>
      <c r="N97" s="68" t="n"/>
      <c r="O97" s="68" t="n"/>
      <c r="P97" s="68" t="n"/>
      <c r="Q97" s="68" t="n"/>
      <c r="R97" s="68" t="n"/>
      <c r="S97" s="47" t="n"/>
      <c r="T97" s="47" t="n"/>
      <c r="U97" s="47" t="n"/>
      <c r="V97" s="199" t="n"/>
      <c r="W97" s="199" t="n"/>
      <c r="X97" s="199" t="n"/>
    </row>
    <row r="98">
      <c r="F98" s="68" t="n"/>
      <c r="G98" s="68" t="n"/>
      <c r="H98" s="68" t="n"/>
      <c r="I98" s="68" t="n"/>
      <c r="J98" s="68" t="n"/>
      <c r="K98" s="68" t="n"/>
      <c r="L98" s="68" t="n"/>
      <c r="M98" s="68" t="n"/>
      <c r="N98" s="68" t="n"/>
      <c r="O98" s="68" t="n"/>
      <c r="P98" s="68" t="n"/>
      <c r="Q98" s="68" t="n"/>
      <c r="R98" s="68" t="n"/>
      <c r="S98" s="47" t="n"/>
      <c r="T98" s="47" t="n"/>
      <c r="U98" s="47" t="n"/>
      <c r="V98" s="199" t="n"/>
      <c r="W98" s="199" t="n"/>
      <c r="X98" s="199" t="n"/>
    </row>
    <row r="99">
      <c r="F99" s="68" t="n"/>
      <c r="G99" s="68" t="n"/>
      <c r="H99" s="68" t="n"/>
      <c r="I99" s="68" t="n"/>
      <c r="J99" s="68" t="n"/>
      <c r="K99" s="68" t="n"/>
      <c r="L99" s="68" t="n"/>
      <c r="M99" s="68" t="n"/>
      <c r="N99" s="68" t="n"/>
      <c r="O99" s="68" t="n"/>
      <c r="P99" s="68" t="n"/>
      <c r="Q99" s="68" t="n"/>
      <c r="R99" s="68" t="n"/>
      <c r="S99" s="47" t="n"/>
      <c r="T99" s="47" t="n"/>
      <c r="U99" s="47" t="n"/>
      <c r="V99" s="199" t="n"/>
      <c r="W99" s="199" t="n"/>
      <c r="X99" s="199" t="n"/>
    </row>
    <row r="100">
      <c r="F100" s="68" t="n"/>
      <c r="G100" s="68" t="n"/>
      <c r="H100" s="68" t="n"/>
      <c r="I100" s="68" t="n"/>
      <c r="J100" s="68" t="n"/>
      <c r="K100" s="68" t="n"/>
      <c r="L100" s="68" t="n"/>
      <c r="M100" s="68" t="n"/>
      <c r="N100" s="68" t="n"/>
      <c r="O100" s="68" t="n"/>
      <c r="P100" s="68" t="n"/>
      <c r="Q100" s="68" t="n"/>
      <c r="R100" s="68" t="n"/>
      <c r="S100" s="47" t="n"/>
      <c r="T100" s="47" t="n"/>
      <c r="U100" s="47" t="n"/>
      <c r="V100" s="199" t="n"/>
      <c r="W100" s="199" t="n"/>
      <c r="X100" s="199" t="n"/>
    </row>
    <row r="101">
      <c r="F101" s="68" t="n"/>
      <c r="G101" s="68" t="n"/>
      <c r="H101" s="68" t="n"/>
      <c r="I101" s="68" t="n"/>
      <c r="J101" s="68" t="n"/>
      <c r="K101" s="68" t="n"/>
      <c r="L101" s="68" t="n"/>
      <c r="M101" s="68" t="n"/>
      <c r="N101" s="68" t="n"/>
      <c r="O101" s="68" t="n"/>
      <c r="P101" s="68" t="n"/>
      <c r="Q101" s="68" t="n"/>
      <c r="R101" s="68" t="n"/>
      <c r="S101" s="47" t="n"/>
      <c r="T101" s="47" t="n"/>
      <c r="U101" s="47" t="n"/>
      <c r="V101" s="199" t="n"/>
      <c r="W101" s="199" t="n"/>
      <c r="X101" s="199" t="n"/>
    </row>
    <row r="102">
      <c r="F102" s="68" t="n"/>
      <c r="G102" s="68" t="n"/>
      <c r="H102" s="68" t="n"/>
      <c r="I102" s="68" t="n"/>
      <c r="J102" s="68" t="n"/>
      <c r="K102" s="68" t="n"/>
      <c r="L102" s="68" t="n"/>
      <c r="M102" s="68" t="n"/>
      <c r="N102" s="68" t="n"/>
      <c r="O102" s="68" t="n"/>
      <c r="P102" s="68" t="n"/>
      <c r="Q102" s="68" t="n"/>
      <c r="R102" s="68" t="n"/>
      <c r="S102" s="47" t="n"/>
      <c r="T102" s="47" t="n"/>
      <c r="U102" s="47" t="n"/>
      <c r="V102" s="199" t="n"/>
      <c r="W102" s="199" t="n"/>
      <c r="X102" s="199" t="n"/>
    </row>
    <row r="103">
      <c r="F103" s="68" t="n"/>
      <c r="G103" s="68" t="n"/>
      <c r="H103" s="68" t="n"/>
      <c r="I103" s="68" t="n"/>
      <c r="J103" s="68" t="n"/>
      <c r="K103" s="68" t="n"/>
      <c r="L103" s="68" t="n"/>
      <c r="M103" s="68" t="n"/>
      <c r="N103" s="68" t="n"/>
      <c r="O103" s="68" t="n"/>
      <c r="P103" s="68" t="n"/>
      <c r="Q103" s="68" t="n"/>
      <c r="R103" s="68" t="n"/>
      <c r="S103" s="47" t="n"/>
      <c r="T103" s="47" t="n"/>
      <c r="U103" s="47" t="n"/>
      <c r="V103" s="199" t="n"/>
      <c r="W103" s="199" t="n"/>
      <c r="X103" s="199" t="n"/>
    </row>
    <row r="104">
      <c r="F104" s="68" t="n"/>
      <c r="G104" s="68" t="n"/>
      <c r="H104" s="68" t="n"/>
      <c r="I104" s="68" t="n"/>
      <c r="J104" s="68" t="n"/>
      <c r="K104" s="68" t="n"/>
      <c r="L104" s="68" t="n"/>
      <c r="M104" s="68" t="n"/>
      <c r="N104" s="68" t="n"/>
      <c r="O104" s="68" t="n"/>
      <c r="P104" s="68" t="n"/>
      <c r="Q104" s="68" t="n"/>
      <c r="R104" s="68" t="n"/>
      <c r="S104" s="47" t="n"/>
      <c r="T104" s="47" t="n"/>
      <c r="U104" s="47" t="n"/>
      <c r="V104" s="199" t="n"/>
      <c r="W104" s="199" t="n"/>
      <c r="X104" s="199" t="n"/>
    </row>
    <row r="105">
      <c r="F105" s="68" t="n"/>
      <c r="G105" s="68" t="n"/>
      <c r="H105" s="68" t="n"/>
      <c r="I105" s="68" t="n"/>
      <c r="J105" s="68" t="n"/>
      <c r="K105" s="68" t="n"/>
      <c r="L105" s="68" t="n"/>
      <c r="M105" s="68" t="n"/>
      <c r="N105" s="68" t="n"/>
      <c r="O105" s="68" t="n"/>
      <c r="P105" s="68" t="n"/>
      <c r="Q105" s="68" t="n"/>
      <c r="R105" s="68" t="n"/>
      <c r="S105" s="47" t="n"/>
      <c r="T105" s="47" t="n"/>
      <c r="U105" s="47" t="n"/>
      <c r="V105" s="199" t="n"/>
      <c r="W105" s="199" t="n"/>
      <c r="X105" s="199" t="n"/>
    </row>
    <row r="106">
      <c r="F106" s="68" t="n"/>
      <c r="G106" s="68" t="n"/>
      <c r="H106" s="68" t="n"/>
      <c r="I106" s="68" t="n"/>
      <c r="J106" s="68" t="n"/>
      <c r="K106" s="68" t="n"/>
      <c r="L106" s="68" t="n"/>
      <c r="M106" s="68" t="n"/>
      <c r="N106" s="68" t="n"/>
      <c r="O106" s="68" t="n"/>
      <c r="P106" s="68" t="n"/>
      <c r="Q106" s="68" t="n"/>
      <c r="R106" s="68" t="n"/>
      <c r="S106" s="47" t="n"/>
      <c r="T106" s="47" t="n"/>
      <c r="U106" s="47" t="n"/>
      <c r="V106" s="199" t="n"/>
      <c r="W106" s="199" t="n"/>
      <c r="X106" s="199" t="n"/>
    </row>
    <row r="107">
      <c r="F107" s="68" t="n"/>
      <c r="G107" s="68" t="n"/>
      <c r="H107" s="68" t="n"/>
      <c r="I107" s="68" t="n"/>
      <c r="J107" s="68" t="n"/>
      <c r="K107" s="68" t="n"/>
      <c r="L107" s="68" t="n"/>
      <c r="M107" s="68" t="n"/>
      <c r="N107" s="68" t="n"/>
      <c r="O107" s="68" t="n"/>
      <c r="P107" s="68" t="n"/>
      <c r="Q107" s="68" t="n"/>
      <c r="R107" s="68" t="n"/>
      <c r="S107" s="47" t="n"/>
      <c r="T107" s="47" t="n"/>
      <c r="U107" s="47" t="n"/>
      <c r="V107" s="199" t="n"/>
      <c r="W107" s="199" t="n"/>
      <c r="X107" s="199" t="n"/>
    </row>
    <row r="108">
      <c r="F108" s="68" t="n"/>
      <c r="G108" s="68" t="n"/>
      <c r="H108" s="68" t="n"/>
      <c r="I108" s="68" t="n"/>
      <c r="J108" s="68" t="n"/>
      <c r="K108" s="68" t="n"/>
      <c r="L108" s="68" t="n"/>
      <c r="M108" s="68" t="n"/>
      <c r="N108" s="68" t="n"/>
      <c r="O108" s="68" t="n"/>
      <c r="P108" s="68" t="n"/>
      <c r="Q108" s="68" t="n"/>
      <c r="R108" s="68" t="n"/>
      <c r="S108" s="47" t="n"/>
      <c r="T108" s="47" t="n"/>
      <c r="U108" s="47" t="n"/>
      <c r="V108" s="199" t="n"/>
      <c r="W108" s="199" t="n"/>
      <c r="X108" s="199" t="n"/>
    </row>
    <row r="109">
      <c r="F109" s="68" t="n"/>
      <c r="G109" s="68" t="n"/>
      <c r="H109" s="68" t="n"/>
      <c r="I109" s="68" t="n"/>
      <c r="J109" s="68" t="n"/>
      <c r="K109" s="68" t="n"/>
      <c r="L109" s="68" t="n"/>
      <c r="M109" s="68" t="n"/>
      <c r="N109" s="68" t="n"/>
      <c r="O109" s="68" t="n"/>
      <c r="P109" s="68" t="n"/>
      <c r="Q109" s="68" t="n"/>
      <c r="R109" s="68" t="n"/>
      <c r="S109" s="47" t="n"/>
      <c r="T109" s="47" t="n"/>
      <c r="U109" s="47" t="n"/>
      <c r="V109" s="199" t="n"/>
      <c r="W109" s="199" t="n"/>
      <c r="X109" s="199" t="n"/>
    </row>
    <row r="110">
      <c r="F110" s="68" t="n"/>
      <c r="G110" s="68" t="n"/>
      <c r="H110" s="68" t="n"/>
      <c r="I110" s="68" t="n"/>
      <c r="J110" s="68" t="n"/>
      <c r="K110" s="68" t="n"/>
      <c r="L110" s="68" t="n"/>
      <c r="M110" s="68" t="n"/>
      <c r="N110" s="68" t="n"/>
      <c r="O110" s="68" t="n"/>
      <c r="P110" s="68" t="n"/>
      <c r="Q110" s="68" t="n"/>
      <c r="R110" s="68" t="n"/>
      <c r="S110" s="47" t="n"/>
      <c r="T110" s="47" t="n"/>
      <c r="U110" s="47" t="n"/>
      <c r="V110" s="199" t="n"/>
      <c r="W110" s="199" t="n"/>
      <c r="X110" s="199" t="n"/>
    </row>
    <row r="111">
      <c r="F111" s="68" t="n"/>
      <c r="G111" s="68" t="n"/>
      <c r="H111" s="68" t="n"/>
      <c r="I111" s="68" t="n"/>
      <c r="J111" s="68" t="n"/>
      <c r="K111" s="68" t="n"/>
      <c r="L111" s="68" t="n"/>
      <c r="M111" s="68" t="n"/>
      <c r="N111" s="68" t="n"/>
      <c r="O111" s="68" t="n"/>
      <c r="P111" s="68" t="n"/>
      <c r="Q111" s="68" t="n"/>
      <c r="R111" s="68" t="n"/>
      <c r="S111" s="47" t="n"/>
      <c r="T111" s="47" t="n"/>
      <c r="U111" s="47" t="n"/>
      <c r="V111" s="199" t="n"/>
      <c r="W111" s="199" t="n"/>
      <c r="X111" s="199" t="n"/>
    </row>
    <row r="112">
      <c r="F112" s="68" t="n"/>
      <c r="G112" s="68" t="n"/>
      <c r="H112" s="68" t="n"/>
      <c r="I112" s="68" t="n"/>
      <c r="J112" s="68" t="n"/>
      <c r="K112" s="68" t="n"/>
      <c r="L112" s="68" t="n"/>
      <c r="M112" s="68" t="n"/>
      <c r="N112" s="68" t="n"/>
      <c r="O112" s="68" t="n"/>
      <c r="P112" s="68" t="n"/>
      <c r="Q112" s="68" t="n"/>
      <c r="R112" s="68" t="n"/>
      <c r="S112" s="47" t="n"/>
      <c r="T112" s="47" t="n"/>
      <c r="U112" s="47" t="n"/>
      <c r="V112" s="199" t="n"/>
      <c r="W112" s="199" t="n"/>
      <c r="X112" s="199" t="n"/>
    </row>
    <row r="113">
      <c r="F113" s="68" t="n"/>
      <c r="G113" s="68" t="n"/>
      <c r="H113" s="68" t="n"/>
      <c r="I113" s="68" t="n"/>
      <c r="J113" s="68" t="n"/>
      <c r="K113" s="68" t="n"/>
      <c r="L113" s="68" t="n"/>
      <c r="M113" s="68" t="n"/>
      <c r="N113" s="68" t="n"/>
      <c r="O113" s="68" t="n"/>
      <c r="P113" s="68" t="n"/>
      <c r="Q113" s="68" t="n"/>
      <c r="R113" s="68" t="n"/>
      <c r="S113" s="47" t="n"/>
      <c r="T113" s="47" t="n"/>
      <c r="U113" s="47" t="n"/>
      <c r="V113" s="199" t="n"/>
      <c r="W113" s="199" t="n"/>
      <c r="X113" s="199" t="n"/>
    </row>
    <row r="114">
      <c r="F114" s="68" t="n"/>
      <c r="G114" s="68" t="n"/>
      <c r="H114" s="68" t="n"/>
      <c r="I114" s="68" t="n"/>
      <c r="J114" s="68" t="n"/>
      <c r="K114" s="68" t="n"/>
      <c r="L114" s="68" t="n"/>
      <c r="M114" s="68" t="n"/>
      <c r="N114" s="68" t="n"/>
      <c r="O114" s="68" t="n"/>
      <c r="P114" s="68" t="n"/>
      <c r="Q114" s="68" t="n"/>
      <c r="R114" s="68" t="n"/>
      <c r="S114" s="47" t="n"/>
      <c r="T114" s="47" t="n"/>
      <c r="U114" s="47" t="n"/>
      <c r="V114" s="199" t="n"/>
      <c r="W114" s="199" t="n"/>
      <c r="X114" s="199" t="n"/>
    </row>
    <row r="115">
      <c r="F115" s="68" t="n"/>
      <c r="G115" s="68" t="n"/>
      <c r="H115" s="68" t="n"/>
      <c r="I115" s="68" t="n"/>
      <c r="J115" s="68" t="n"/>
      <c r="K115" s="68" t="n"/>
      <c r="L115" s="68" t="n"/>
      <c r="M115" s="68" t="n"/>
      <c r="N115" s="68" t="n"/>
      <c r="O115" s="68" t="n"/>
      <c r="P115" s="68" t="n"/>
      <c r="Q115" s="68" t="n"/>
      <c r="R115" s="68" t="n"/>
      <c r="S115" s="47" t="n"/>
      <c r="T115" s="47" t="n"/>
      <c r="U115" s="47" t="n"/>
      <c r="V115" s="199" t="n"/>
      <c r="W115" s="199" t="n"/>
      <c r="X115" s="199" t="n"/>
    </row>
    <row r="116">
      <c r="F116" s="68" t="n"/>
      <c r="G116" s="68" t="n"/>
      <c r="H116" s="68" t="n"/>
      <c r="I116" s="68" t="n"/>
      <c r="J116" s="68" t="n"/>
      <c r="K116" s="68" t="n"/>
      <c r="L116" s="68" t="n"/>
      <c r="M116" s="68" t="n"/>
      <c r="N116" s="68" t="n"/>
      <c r="O116" s="68" t="n"/>
      <c r="P116" s="68" t="n"/>
      <c r="Q116" s="68" t="n"/>
      <c r="R116" s="68" t="n"/>
      <c r="S116" s="47" t="n"/>
      <c r="T116" s="47" t="n"/>
      <c r="U116" s="47" t="n"/>
      <c r="V116" s="199" t="n"/>
      <c r="W116" s="199" t="n"/>
      <c r="X116" s="199" t="n"/>
    </row>
    <row r="117">
      <c r="F117" s="68" t="n"/>
      <c r="G117" s="68" t="n"/>
      <c r="H117" s="68" t="n"/>
      <c r="I117" s="68" t="n"/>
      <c r="J117" s="68" t="n"/>
      <c r="K117" s="68" t="n"/>
      <c r="L117" s="68" t="n"/>
      <c r="M117" s="68" t="n"/>
      <c r="N117" s="68" t="n"/>
      <c r="O117" s="68" t="n"/>
      <c r="P117" s="68" t="n"/>
      <c r="Q117" s="68" t="n"/>
      <c r="R117" s="68" t="n"/>
      <c r="S117" s="47" t="n"/>
      <c r="T117" s="47" t="n"/>
      <c r="U117" s="47" t="n"/>
      <c r="V117" s="199" t="n"/>
      <c r="W117" s="199" t="n"/>
      <c r="X117" s="199" t="n"/>
    </row>
    <row r="118">
      <c r="F118" s="68" t="n"/>
      <c r="G118" s="68" t="n"/>
      <c r="H118" s="68" t="n"/>
      <c r="I118" s="68" t="n"/>
      <c r="J118" s="68" t="n"/>
      <c r="K118" s="68" t="n"/>
      <c r="L118" s="68" t="n"/>
      <c r="M118" s="68" t="n"/>
      <c r="N118" s="68" t="n"/>
      <c r="O118" s="68" t="n"/>
      <c r="P118" s="68" t="n"/>
      <c r="Q118" s="68" t="n"/>
      <c r="R118" s="68" t="n"/>
      <c r="S118" s="47" t="n"/>
      <c r="T118" s="47" t="n"/>
      <c r="U118" s="47" t="n"/>
      <c r="V118" s="199" t="n"/>
      <c r="W118" s="199" t="n"/>
      <c r="X118" s="199" t="n"/>
    </row>
    <row r="119">
      <c r="F119" s="68" t="n"/>
      <c r="G119" s="68" t="n"/>
      <c r="H119" s="68" t="n"/>
      <c r="I119" s="68" t="n"/>
      <c r="J119" s="68" t="n"/>
      <c r="K119" s="68" t="n"/>
      <c r="L119" s="68" t="n"/>
      <c r="M119" s="68" t="n"/>
      <c r="N119" s="68" t="n"/>
      <c r="O119" s="68" t="n"/>
      <c r="P119" s="68" t="n"/>
      <c r="Q119" s="68" t="n"/>
      <c r="R119" s="68" t="n"/>
      <c r="S119" s="47" t="n"/>
      <c r="T119" s="47" t="n"/>
      <c r="U119" s="47" t="n"/>
      <c r="V119" s="199" t="n"/>
      <c r="W119" s="199" t="n"/>
      <c r="X119" s="199" t="n"/>
    </row>
    <row r="120">
      <c r="F120" s="68" t="n"/>
      <c r="G120" s="68" t="n"/>
      <c r="H120" s="68" t="n"/>
      <c r="I120" s="68" t="n"/>
      <c r="J120" s="68" t="n"/>
      <c r="K120" s="68" t="n"/>
      <c r="L120" s="68" t="n"/>
      <c r="M120" s="68" t="n"/>
      <c r="N120" s="68" t="n"/>
      <c r="O120" s="68" t="n"/>
      <c r="P120" s="68" t="n"/>
      <c r="Q120" s="68" t="n"/>
      <c r="R120" s="68" t="n"/>
      <c r="S120" s="47" t="n"/>
      <c r="T120" s="47" t="n"/>
      <c r="U120" s="47" t="n"/>
      <c r="V120" s="199" t="n"/>
      <c r="W120" s="199" t="n"/>
      <c r="X120" s="199" t="n"/>
    </row>
    <row r="121"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47" t="n"/>
      <c r="T121" s="47" t="n"/>
      <c r="U121" s="47" t="n"/>
      <c r="V121" s="199" t="n"/>
      <c r="W121" s="199" t="n"/>
      <c r="X121" s="199" t="n"/>
    </row>
    <row r="122"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47" t="n"/>
      <c r="T122" s="47" t="n"/>
      <c r="U122" s="47" t="n"/>
      <c r="V122" s="199" t="n"/>
      <c r="W122" s="199" t="n"/>
      <c r="X122" s="199" t="n"/>
    </row>
    <row r="123"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47" t="n"/>
      <c r="T123" s="47" t="n"/>
      <c r="U123" s="47" t="n"/>
      <c r="V123" s="199" t="n"/>
      <c r="W123" s="199" t="n"/>
      <c r="X123" s="199" t="n"/>
    </row>
    <row r="124"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47" t="n"/>
      <c r="T124" s="47" t="n"/>
      <c r="U124" s="47" t="n"/>
      <c r="V124" s="199" t="n"/>
      <c r="W124" s="199" t="n"/>
      <c r="X124" s="199" t="n"/>
    </row>
    <row r="125"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47" t="n"/>
      <c r="T125" s="47" t="n"/>
      <c r="U125" s="47" t="n"/>
      <c r="V125" s="199" t="n"/>
      <c r="W125" s="199" t="n"/>
      <c r="X125" s="199" t="n"/>
    </row>
    <row r="126">
      <c r="F126" s="68" t="n"/>
      <c r="G126" s="68" t="n"/>
      <c r="H126" s="68" t="n"/>
      <c r="I126" s="68" t="n"/>
      <c r="J126" s="68" t="n"/>
      <c r="K126" s="68" t="n"/>
      <c r="L126" s="68" t="n"/>
      <c r="M126" s="68" t="n"/>
      <c r="N126" s="68" t="n"/>
      <c r="O126" s="68" t="n"/>
      <c r="P126" s="68" t="n"/>
      <c r="Q126" s="68" t="n"/>
      <c r="R126" s="68" t="n"/>
      <c r="S126" s="47" t="n"/>
      <c r="T126" s="47" t="n"/>
      <c r="U126" s="47" t="n"/>
      <c r="V126" s="199" t="n"/>
      <c r="W126" s="199" t="n"/>
      <c r="X126" s="199" t="n"/>
    </row>
    <row r="127">
      <c r="F127" s="68" t="n"/>
      <c r="G127" s="68" t="n"/>
      <c r="H127" s="68" t="n"/>
      <c r="I127" s="68" t="n"/>
      <c r="J127" s="68" t="n"/>
      <c r="K127" s="68" t="n"/>
      <c r="L127" s="68" t="n"/>
      <c r="M127" s="68" t="n"/>
      <c r="N127" s="68" t="n"/>
      <c r="O127" s="68" t="n"/>
      <c r="P127" s="68" t="n"/>
      <c r="Q127" s="68" t="n"/>
      <c r="R127" s="68" t="n"/>
      <c r="S127" s="47" t="n"/>
      <c r="T127" s="47" t="n"/>
      <c r="U127" s="47" t="n"/>
      <c r="V127" s="199" t="n"/>
      <c r="W127" s="199" t="n"/>
      <c r="X127" s="199" t="n"/>
    </row>
    <row r="128">
      <c r="F128" s="68" t="n"/>
      <c r="G128" s="68" t="n"/>
      <c r="H128" s="68" t="n"/>
      <c r="I128" s="68" t="n"/>
      <c r="J128" s="68" t="n"/>
      <c r="K128" s="68" t="n"/>
      <c r="L128" s="68" t="n"/>
      <c r="M128" s="68" t="n"/>
      <c r="N128" s="68" t="n"/>
      <c r="O128" s="68" t="n"/>
      <c r="P128" s="68" t="n"/>
      <c r="Q128" s="68" t="n"/>
      <c r="R128" s="68" t="n"/>
      <c r="S128" s="47" t="n"/>
      <c r="T128" s="47" t="n"/>
      <c r="U128" s="47" t="n"/>
      <c r="V128" s="199" t="n"/>
      <c r="W128" s="199" t="n"/>
      <c r="X128" s="199" t="n"/>
    </row>
    <row r="129">
      <c r="F129" s="68" t="n"/>
      <c r="G129" s="68" t="n"/>
      <c r="H129" s="68" t="n"/>
      <c r="I129" s="68" t="n"/>
      <c r="J129" s="68" t="n"/>
      <c r="K129" s="68" t="n"/>
      <c r="L129" s="68" t="n"/>
      <c r="M129" s="68" t="n"/>
      <c r="N129" s="68" t="n"/>
      <c r="O129" s="68" t="n"/>
      <c r="P129" s="68" t="n"/>
      <c r="Q129" s="68" t="n"/>
      <c r="R129" s="68" t="n"/>
      <c r="S129" s="47" t="n"/>
      <c r="T129" s="47" t="n"/>
      <c r="U129" s="47" t="n"/>
      <c r="V129" s="199" t="n"/>
      <c r="W129" s="199" t="n"/>
      <c r="X129" s="199" t="n"/>
    </row>
    <row r="130">
      <c r="F130" s="68" t="n"/>
      <c r="G130" s="68" t="n"/>
      <c r="H130" s="68" t="n"/>
      <c r="I130" s="68" t="n"/>
      <c r="J130" s="68" t="n"/>
      <c r="K130" s="68" t="n"/>
      <c r="L130" s="68" t="n"/>
      <c r="M130" s="68" t="n"/>
      <c r="N130" s="68" t="n"/>
      <c r="O130" s="68" t="n"/>
      <c r="P130" s="68" t="n"/>
      <c r="Q130" s="68" t="n"/>
      <c r="R130" s="68" t="n"/>
      <c r="S130" s="47" t="n"/>
      <c r="T130" s="47" t="n"/>
      <c r="U130" s="47" t="n"/>
      <c r="V130" s="199" t="n"/>
      <c r="W130" s="199" t="n"/>
      <c r="X130" s="199" t="n"/>
    </row>
    <row r="131">
      <c r="F131" s="68" t="n"/>
      <c r="G131" s="68" t="n"/>
      <c r="H131" s="68" t="n"/>
      <c r="I131" s="68" t="n"/>
      <c r="J131" s="68" t="n"/>
      <c r="K131" s="68" t="n"/>
      <c r="L131" s="68" t="n"/>
      <c r="M131" s="68" t="n"/>
      <c r="N131" s="68" t="n"/>
      <c r="O131" s="68" t="n"/>
      <c r="P131" s="68" t="n"/>
      <c r="Q131" s="68" t="n"/>
      <c r="R131" s="68" t="n"/>
      <c r="S131" s="47" t="n"/>
      <c r="T131" s="47" t="n"/>
      <c r="U131" s="47" t="n"/>
      <c r="V131" s="199" t="n"/>
      <c r="W131" s="199" t="n"/>
      <c r="X131" s="199" t="n"/>
    </row>
    <row r="132">
      <c r="F132" s="68" t="n"/>
      <c r="G132" s="68" t="n"/>
      <c r="H132" s="68" t="n"/>
      <c r="I132" s="68" t="n"/>
      <c r="J132" s="68" t="n"/>
      <c r="K132" s="68" t="n"/>
      <c r="L132" s="68" t="n"/>
      <c r="M132" s="68" t="n"/>
      <c r="N132" s="68" t="n"/>
      <c r="O132" s="68" t="n"/>
      <c r="P132" s="68" t="n"/>
      <c r="Q132" s="68" t="n"/>
      <c r="R132" s="68" t="n"/>
      <c r="S132" s="47" t="n"/>
      <c r="T132" s="47" t="n"/>
      <c r="U132" s="47" t="n"/>
      <c r="V132" s="199" t="n"/>
      <c r="W132" s="199" t="n"/>
      <c r="X132" s="199" t="n"/>
    </row>
    <row r="133">
      <c r="F133" s="68" t="n"/>
      <c r="G133" s="68" t="n"/>
      <c r="H133" s="68" t="n"/>
      <c r="I133" s="68" t="n"/>
      <c r="J133" s="68" t="n"/>
      <c r="K133" s="68" t="n"/>
      <c r="L133" s="68" t="n"/>
      <c r="M133" s="68" t="n"/>
      <c r="N133" s="68" t="n"/>
      <c r="O133" s="68" t="n"/>
      <c r="P133" s="68" t="n"/>
      <c r="Q133" s="68" t="n"/>
      <c r="R133" s="68" t="n"/>
      <c r="S133" s="47" t="n"/>
      <c r="T133" s="47" t="n"/>
      <c r="U133" s="47" t="n"/>
      <c r="V133" s="199" t="n"/>
      <c r="W133" s="199" t="n"/>
      <c r="X133" s="199" t="n"/>
    </row>
    <row r="134">
      <c r="F134" s="68" t="n"/>
      <c r="G134" s="68" t="n"/>
      <c r="H134" s="68" t="n"/>
      <c r="I134" s="68" t="n"/>
      <c r="J134" s="68" t="n"/>
      <c r="K134" s="68" t="n"/>
      <c r="L134" s="68" t="n"/>
      <c r="M134" s="68" t="n"/>
      <c r="N134" s="68" t="n"/>
      <c r="O134" s="68" t="n"/>
      <c r="P134" s="68" t="n"/>
      <c r="Q134" s="68" t="n"/>
      <c r="R134" s="68" t="n"/>
      <c r="S134" s="47" t="n"/>
      <c r="T134" s="47" t="n"/>
      <c r="U134" s="47" t="n"/>
      <c r="V134" s="199" t="n"/>
      <c r="W134" s="199" t="n"/>
      <c r="X134" s="199" t="n"/>
    </row>
    <row r="135">
      <c r="F135" s="68" t="n"/>
      <c r="G135" s="68" t="n"/>
      <c r="H135" s="68" t="n"/>
      <c r="I135" s="68" t="n"/>
      <c r="J135" s="68" t="n"/>
      <c r="K135" s="68" t="n"/>
      <c r="L135" s="68" t="n"/>
      <c r="M135" s="68" t="n"/>
      <c r="N135" s="68" t="n"/>
      <c r="O135" s="68" t="n"/>
      <c r="P135" s="68" t="n"/>
      <c r="Q135" s="68" t="n"/>
      <c r="R135" s="68" t="n"/>
      <c r="S135" s="47" t="n"/>
      <c r="T135" s="47" t="n"/>
      <c r="U135" s="47" t="n"/>
      <c r="V135" s="199" t="n"/>
      <c r="W135" s="199" t="n"/>
      <c r="X135" s="199" t="n"/>
    </row>
    <row r="136">
      <c r="F136" s="68" t="n"/>
      <c r="G136" s="68" t="n"/>
      <c r="H136" s="68" t="n"/>
      <c r="I136" s="68" t="n"/>
      <c r="J136" s="68" t="n"/>
      <c r="K136" s="68" t="n"/>
      <c r="L136" s="68" t="n"/>
      <c r="M136" s="68" t="n"/>
      <c r="N136" s="68" t="n"/>
      <c r="O136" s="68" t="n"/>
      <c r="P136" s="68" t="n"/>
      <c r="Q136" s="68" t="n"/>
      <c r="R136" s="68" t="n"/>
      <c r="S136" s="47" t="n"/>
      <c r="T136" s="47" t="n"/>
      <c r="U136" s="47" t="n"/>
      <c r="V136" s="199" t="n"/>
      <c r="W136" s="199" t="n"/>
      <c r="X136" s="199" t="n"/>
    </row>
    <row r="137">
      <c r="F137" s="68" t="n"/>
      <c r="G137" s="68" t="n"/>
      <c r="H137" s="68" t="n"/>
      <c r="I137" s="68" t="n"/>
      <c r="J137" s="68" t="n"/>
      <c r="K137" s="68" t="n"/>
      <c r="L137" s="68" t="n"/>
      <c r="M137" s="68" t="n"/>
      <c r="N137" s="68" t="n"/>
      <c r="O137" s="68" t="n"/>
      <c r="P137" s="68" t="n"/>
      <c r="Q137" s="68" t="n"/>
      <c r="R137" s="68" t="n"/>
      <c r="S137" s="47" t="n"/>
      <c r="T137" s="47" t="n"/>
      <c r="U137" s="47" t="n"/>
      <c r="V137" s="199" t="n"/>
      <c r="W137" s="199" t="n"/>
      <c r="X137" s="199" t="n"/>
    </row>
    <row r="138">
      <c r="F138" s="68" t="n"/>
      <c r="G138" s="68" t="n"/>
      <c r="H138" s="68" t="n"/>
      <c r="I138" s="68" t="n"/>
      <c r="J138" s="68" t="n"/>
      <c r="K138" s="68" t="n"/>
      <c r="L138" s="68" t="n"/>
      <c r="M138" s="68" t="n"/>
      <c r="N138" s="68" t="n"/>
      <c r="O138" s="68" t="n"/>
      <c r="P138" s="68" t="n"/>
      <c r="Q138" s="68" t="n"/>
      <c r="R138" s="68" t="n"/>
      <c r="S138" s="47" t="n"/>
      <c r="T138" s="47" t="n"/>
      <c r="U138" s="47" t="n"/>
      <c r="V138" s="199" t="n"/>
      <c r="W138" s="199" t="n"/>
      <c r="X138" s="199" t="n"/>
    </row>
    <row r="139">
      <c r="F139" s="68" t="n"/>
      <c r="G139" s="68" t="n"/>
      <c r="H139" s="68" t="n"/>
      <c r="I139" s="68" t="n"/>
      <c r="J139" s="68" t="n"/>
      <c r="K139" s="68" t="n"/>
      <c r="L139" s="68" t="n"/>
      <c r="M139" s="68" t="n"/>
      <c r="N139" s="68" t="n"/>
      <c r="O139" s="68" t="n"/>
      <c r="P139" s="68" t="n"/>
      <c r="Q139" s="68" t="n"/>
      <c r="R139" s="68" t="n"/>
      <c r="S139" s="47" t="n"/>
      <c r="T139" s="47" t="n"/>
      <c r="U139" s="47" t="n"/>
      <c r="V139" s="199" t="n"/>
      <c r="W139" s="199" t="n"/>
      <c r="X139" s="199" t="n"/>
    </row>
    <row r="140">
      <c r="F140" s="68" t="n"/>
      <c r="G140" s="68" t="n"/>
      <c r="H140" s="68" t="n"/>
      <c r="I140" s="68" t="n"/>
      <c r="J140" s="68" t="n"/>
      <c r="K140" s="68" t="n"/>
      <c r="L140" s="68" t="n"/>
      <c r="M140" s="68" t="n"/>
      <c r="N140" s="68" t="n"/>
      <c r="O140" s="68" t="n"/>
      <c r="P140" s="68" t="n"/>
      <c r="Q140" s="68" t="n"/>
      <c r="R140" s="68" t="n"/>
      <c r="S140" s="47" t="n"/>
      <c r="T140" s="47" t="n"/>
      <c r="U140" s="47" t="n"/>
      <c r="V140" s="199" t="n"/>
      <c r="W140" s="199" t="n"/>
      <c r="X140" s="199" t="n"/>
    </row>
    <row r="141">
      <c r="F141" s="68" t="n"/>
      <c r="G141" s="68" t="n"/>
      <c r="H141" s="68" t="n"/>
      <c r="I141" s="68" t="n"/>
      <c r="J141" s="68" t="n"/>
      <c r="K141" s="68" t="n"/>
      <c r="L141" s="68" t="n"/>
      <c r="M141" s="68" t="n"/>
      <c r="N141" s="68" t="n"/>
      <c r="O141" s="68" t="n"/>
      <c r="P141" s="68" t="n"/>
      <c r="Q141" s="68" t="n"/>
      <c r="R141" s="68" t="n"/>
      <c r="S141" s="47" t="n"/>
      <c r="T141" s="47" t="n"/>
      <c r="U141" s="47" t="n"/>
      <c r="V141" s="199" t="n"/>
      <c r="W141" s="199" t="n"/>
      <c r="X141" s="199" t="n"/>
    </row>
    <row r="142">
      <c r="F142" s="68" t="n"/>
      <c r="G142" s="68" t="n"/>
      <c r="H142" s="68" t="n"/>
      <c r="I142" s="68" t="n"/>
      <c r="J142" s="68" t="n"/>
      <c r="K142" s="68" t="n"/>
      <c r="L142" s="68" t="n"/>
      <c r="M142" s="68" t="n"/>
      <c r="N142" s="68" t="n"/>
      <c r="O142" s="68" t="n"/>
      <c r="P142" s="68" t="n"/>
      <c r="Q142" s="68" t="n"/>
      <c r="R142" s="68" t="n"/>
      <c r="S142" s="47" t="n"/>
      <c r="T142" s="47" t="n"/>
      <c r="U142" s="47" t="n"/>
      <c r="V142" s="199" t="n"/>
      <c r="W142" s="199" t="n"/>
      <c r="X142" s="199" t="n"/>
    </row>
    <row r="143">
      <c r="F143" s="68" t="n"/>
      <c r="G143" s="68" t="n"/>
      <c r="H143" s="68" t="n"/>
      <c r="I143" s="68" t="n"/>
      <c r="J143" s="68" t="n"/>
      <c r="K143" s="68" t="n"/>
      <c r="L143" s="68" t="n"/>
      <c r="M143" s="68" t="n"/>
      <c r="N143" s="68" t="n"/>
      <c r="O143" s="68" t="n"/>
      <c r="P143" s="68" t="n"/>
      <c r="Q143" s="68" t="n"/>
      <c r="R143" s="68" t="n"/>
      <c r="S143" s="47" t="n"/>
      <c r="T143" s="47" t="n"/>
      <c r="U143" s="47" t="n"/>
      <c r="V143" s="199" t="n"/>
      <c r="W143" s="199" t="n"/>
      <c r="X143" s="199" t="n"/>
    </row>
    <row r="144">
      <c r="F144" s="68" t="n"/>
      <c r="G144" s="68" t="n"/>
      <c r="H144" s="68" t="n"/>
      <c r="I144" s="68" t="n"/>
      <c r="J144" s="68" t="n"/>
      <c r="K144" s="68" t="n"/>
      <c r="L144" s="68" t="n"/>
      <c r="M144" s="68" t="n"/>
      <c r="N144" s="68" t="n"/>
      <c r="O144" s="68" t="n"/>
      <c r="P144" s="68" t="n"/>
      <c r="Q144" s="68" t="n"/>
      <c r="R144" s="68" t="n"/>
      <c r="S144" s="47" t="n"/>
      <c r="T144" s="47" t="n"/>
      <c r="U144" s="47" t="n"/>
      <c r="V144" s="199" t="n"/>
      <c r="W144" s="199" t="n"/>
      <c r="X144" s="199" t="n"/>
    </row>
    <row r="145">
      <c r="F145" s="68" t="n"/>
      <c r="G145" s="68" t="n"/>
      <c r="H145" s="68" t="n"/>
      <c r="I145" s="68" t="n"/>
      <c r="J145" s="68" t="n"/>
      <c r="K145" s="68" t="n"/>
      <c r="L145" s="68" t="n"/>
      <c r="M145" s="68" t="n"/>
      <c r="N145" s="68" t="n"/>
      <c r="O145" s="68" t="n"/>
      <c r="P145" s="68" t="n"/>
      <c r="Q145" s="68" t="n"/>
      <c r="R145" s="68" t="n"/>
      <c r="S145" s="47" t="n"/>
      <c r="T145" s="47" t="n"/>
      <c r="U145" s="47" t="n"/>
      <c r="V145" s="199" t="n"/>
      <c r="W145" s="199" t="n"/>
      <c r="X145" s="199" t="n"/>
    </row>
    <row r="146">
      <c r="F146" s="68" t="n"/>
      <c r="G146" s="68" t="n"/>
      <c r="H146" s="68" t="n"/>
      <c r="I146" s="68" t="n"/>
      <c r="J146" s="68" t="n"/>
      <c r="K146" s="68" t="n"/>
      <c r="L146" s="68" t="n"/>
      <c r="M146" s="68" t="n"/>
      <c r="N146" s="68" t="n"/>
      <c r="O146" s="68" t="n"/>
      <c r="P146" s="68" t="n"/>
      <c r="Q146" s="68" t="n"/>
      <c r="R146" s="68" t="n"/>
      <c r="S146" s="47" t="n"/>
      <c r="T146" s="47" t="n"/>
      <c r="U146" s="47" t="n"/>
      <c r="V146" s="199" t="n"/>
      <c r="W146" s="199" t="n"/>
      <c r="X146" s="199" t="n"/>
    </row>
    <row r="147">
      <c r="F147" s="68" t="n"/>
      <c r="G147" s="68" t="n"/>
      <c r="H147" s="68" t="n"/>
      <c r="I147" s="68" t="n"/>
      <c r="J147" s="68" t="n"/>
      <c r="K147" s="68" t="n"/>
      <c r="L147" s="68" t="n"/>
      <c r="M147" s="68" t="n"/>
      <c r="N147" s="68" t="n"/>
      <c r="O147" s="68" t="n"/>
      <c r="P147" s="68" t="n"/>
      <c r="Q147" s="68" t="n"/>
      <c r="R147" s="68" t="n"/>
      <c r="S147" s="47" t="n"/>
      <c r="T147" s="47" t="n"/>
      <c r="U147" s="47" t="n"/>
      <c r="V147" s="199" t="n"/>
      <c r="W147" s="199" t="n"/>
      <c r="X147" s="199" t="n"/>
    </row>
    <row r="148">
      <c r="F148" s="68" t="n"/>
      <c r="G148" s="68" t="n"/>
      <c r="H148" s="68" t="n"/>
      <c r="I148" s="68" t="n"/>
      <c r="J148" s="68" t="n"/>
      <c r="K148" s="68" t="n"/>
      <c r="L148" s="68" t="n"/>
      <c r="M148" s="68" t="n"/>
      <c r="N148" s="68" t="n"/>
      <c r="O148" s="68" t="n"/>
      <c r="P148" s="68" t="n"/>
      <c r="Q148" s="68" t="n"/>
      <c r="R148" s="68" t="n"/>
      <c r="S148" s="47" t="n"/>
      <c r="T148" s="47" t="n"/>
      <c r="U148" s="47" t="n"/>
      <c r="V148" s="199" t="n"/>
      <c r="W148" s="199" t="n"/>
      <c r="X148" s="199" t="n"/>
    </row>
    <row r="149">
      <c r="F149" s="68" t="n"/>
      <c r="G149" s="68" t="n"/>
      <c r="H149" s="68" t="n"/>
      <c r="I149" s="68" t="n"/>
      <c r="J149" s="68" t="n"/>
      <c r="K149" s="68" t="n"/>
      <c r="L149" s="68" t="n"/>
      <c r="M149" s="68" t="n"/>
      <c r="N149" s="68" t="n"/>
      <c r="O149" s="68" t="n"/>
      <c r="P149" s="68" t="n"/>
      <c r="Q149" s="68" t="n"/>
      <c r="R149" s="68" t="n"/>
      <c r="S149" s="47" t="n"/>
      <c r="T149" s="47" t="n"/>
      <c r="U149" s="47" t="n"/>
      <c r="V149" s="199" t="n"/>
      <c r="W149" s="199" t="n"/>
      <c r="X149" s="199" t="n"/>
    </row>
    <row r="150">
      <c r="F150" s="68" t="n"/>
      <c r="G150" s="68" t="n"/>
      <c r="H150" s="68" t="n"/>
      <c r="I150" s="68" t="n"/>
      <c r="J150" s="68" t="n"/>
      <c r="K150" s="68" t="n"/>
      <c r="L150" s="68" t="n"/>
      <c r="M150" s="68" t="n"/>
      <c r="N150" s="68" t="n"/>
      <c r="O150" s="68" t="n"/>
      <c r="P150" s="68" t="n"/>
      <c r="Q150" s="68" t="n"/>
      <c r="R150" s="68" t="n"/>
      <c r="S150" s="47" t="n"/>
      <c r="T150" s="47" t="n"/>
      <c r="U150" s="47" t="n"/>
      <c r="V150" s="199" t="n"/>
      <c r="W150" s="199" t="n"/>
      <c r="X150" s="199" t="n"/>
    </row>
    <row r="151">
      <c r="F151" s="68" t="n"/>
      <c r="G151" s="68" t="n"/>
      <c r="H151" s="68" t="n"/>
      <c r="I151" s="68" t="n"/>
      <c r="J151" s="68" t="n"/>
      <c r="K151" s="68" t="n"/>
      <c r="L151" s="68" t="n"/>
      <c r="M151" s="68" t="n"/>
      <c r="N151" s="68" t="n"/>
      <c r="O151" s="68" t="n"/>
      <c r="P151" s="68" t="n"/>
      <c r="Q151" s="68" t="n"/>
      <c r="R151" s="68" t="n"/>
      <c r="S151" s="47" t="n"/>
      <c r="T151" s="47" t="n"/>
      <c r="U151" s="47" t="n"/>
      <c r="V151" s="199" t="n"/>
      <c r="W151" s="199" t="n"/>
      <c r="X151" s="199" t="n"/>
    </row>
    <row r="152">
      <c r="F152" s="68" t="n"/>
      <c r="G152" s="68" t="n"/>
      <c r="H152" s="68" t="n"/>
      <c r="I152" s="68" t="n"/>
      <c r="J152" s="68" t="n"/>
      <c r="K152" s="68" t="n"/>
      <c r="L152" s="68" t="n"/>
      <c r="M152" s="68" t="n"/>
      <c r="N152" s="68" t="n"/>
      <c r="O152" s="68" t="n"/>
      <c r="P152" s="68" t="n"/>
      <c r="Q152" s="68" t="n"/>
      <c r="R152" s="68" t="n"/>
      <c r="S152" s="47" t="n"/>
      <c r="T152" s="47" t="n"/>
      <c r="U152" s="47" t="n"/>
      <c r="V152" s="199" t="n"/>
      <c r="W152" s="199" t="n"/>
      <c r="X152" s="199" t="n"/>
    </row>
    <row r="153">
      <c r="F153" s="68" t="n"/>
      <c r="G153" s="68" t="n"/>
      <c r="H153" s="68" t="n"/>
      <c r="I153" s="68" t="n"/>
      <c r="J153" s="68" t="n"/>
      <c r="K153" s="68" t="n"/>
      <c r="L153" s="68" t="n"/>
      <c r="M153" s="68" t="n"/>
      <c r="N153" s="68" t="n"/>
      <c r="O153" s="68" t="n"/>
      <c r="P153" s="68" t="n"/>
      <c r="Q153" s="68" t="n"/>
      <c r="R153" s="68" t="n"/>
      <c r="S153" s="47" t="n"/>
      <c r="T153" s="47" t="n"/>
      <c r="U153" s="47" t="n"/>
      <c r="V153" s="199" t="n"/>
      <c r="W153" s="199" t="n"/>
      <c r="X153" s="199" t="n"/>
    </row>
    <row r="154">
      <c r="F154" s="68" t="n"/>
      <c r="G154" s="68" t="n"/>
      <c r="H154" s="68" t="n"/>
      <c r="I154" s="68" t="n"/>
      <c r="J154" s="68" t="n"/>
      <c r="K154" s="68" t="n"/>
      <c r="L154" s="68" t="n"/>
      <c r="M154" s="68" t="n"/>
      <c r="N154" s="68" t="n"/>
      <c r="O154" s="68" t="n"/>
      <c r="P154" s="68" t="n"/>
      <c r="Q154" s="68" t="n"/>
      <c r="R154" s="68" t="n"/>
      <c r="S154" s="47" t="n"/>
      <c r="T154" s="47" t="n"/>
      <c r="U154" s="47" t="n"/>
      <c r="V154" s="199" t="n"/>
      <c r="W154" s="199" t="n"/>
      <c r="X154" s="199" t="n"/>
    </row>
    <row r="155">
      <c r="F155" s="68" t="n"/>
      <c r="G155" s="68" t="n"/>
      <c r="H155" s="68" t="n"/>
      <c r="I155" s="68" t="n"/>
      <c r="J155" s="68" t="n"/>
      <c r="K155" s="68" t="n"/>
      <c r="L155" s="68" t="n"/>
      <c r="M155" s="68" t="n"/>
      <c r="N155" s="68" t="n"/>
      <c r="O155" s="68" t="n"/>
      <c r="P155" s="68" t="n"/>
      <c r="Q155" s="68" t="n"/>
      <c r="R155" s="68" t="n"/>
      <c r="S155" s="47" t="n"/>
      <c r="T155" s="47" t="n"/>
      <c r="U155" s="47" t="n"/>
      <c r="V155" s="199" t="n"/>
      <c r="W155" s="199" t="n"/>
      <c r="X155" s="199" t="n"/>
    </row>
    <row r="156">
      <c r="F156" s="68" t="n"/>
      <c r="G156" s="68" t="n"/>
      <c r="H156" s="68" t="n"/>
      <c r="I156" s="68" t="n"/>
      <c r="J156" s="68" t="n"/>
      <c r="K156" s="68" t="n"/>
      <c r="L156" s="68" t="n"/>
      <c r="M156" s="68" t="n"/>
      <c r="N156" s="68" t="n"/>
      <c r="O156" s="68" t="n"/>
      <c r="P156" s="68" t="n"/>
      <c r="Q156" s="68" t="n"/>
      <c r="R156" s="68" t="n"/>
      <c r="S156" s="47" t="n"/>
      <c r="T156" s="47" t="n"/>
      <c r="U156" s="47" t="n"/>
      <c r="V156" s="199" t="n"/>
      <c r="W156" s="199" t="n"/>
      <c r="X156" s="199" t="n"/>
    </row>
    <row r="157">
      <c r="F157" s="68" t="n"/>
      <c r="G157" s="68" t="n"/>
      <c r="H157" s="68" t="n"/>
      <c r="I157" s="68" t="n"/>
      <c r="J157" s="68" t="n"/>
      <c r="K157" s="68" t="n"/>
      <c r="L157" s="68" t="n"/>
      <c r="M157" s="68" t="n"/>
      <c r="N157" s="68" t="n"/>
      <c r="O157" s="68" t="n"/>
      <c r="P157" s="68" t="n"/>
      <c r="Q157" s="68" t="n"/>
      <c r="R157" s="68" t="n"/>
      <c r="S157" s="47" t="n"/>
      <c r="T157" s="47" t="n"/>
      <c r="U157" s="47" t="n"/>
      <c r="V157" s="199" t="n"/>
      <c r="W157" s="199" t="n"/>
      <c r="X157" s="199" t="n"/>
    </row>
    <row r="158">
      <c r="F158" s="68" t="n"/>
      <c r="G158" s="68" t="n"/>
      <c r="H158" s="68" t="n"/>
      <c r="I158" s="68" t="n"/>
      <c r="J158" s="68" t="n"/>
      <c r="K158" s="68" t="n"/>
      <c r="L158" s="68" t="n"/>
      <c r="M158" s="68" t="n"/>
      <c r="N158" s="68" t="n"/>
      <c r="O158" s="68" t="n"/>
      <c r="P158" s="68" t="n"/>
      <c r="Q158" s="68" t="n"/>
      <c r="R158" s="68" t="n"/>
      <c r="S158" s="47" t="n"/>
      <c r="T158" s="47" t="n"/>
      <c r="U158" s="47" t="n"/>
      <c r="V158" s="199" t="n"/>
      <c r="W158" s="199" t="n"/>
      <c r="X158" s="199" t="n"/>
    </row>
    <row r="159">
      <c r="F159" s="68" t="n"/>
      <c r="G159" s="68" t="n"/>
      <c r="H159" s="68" t="n"/>
      <c r="I159" s="68" t="n"/>
      <c r="J159" s="68" t="n"/>
      <c r="K159" s="68" t="n"/>
      <c r="L159" s="68" t="n"/>
      <c r="M159" s="68" t="n"/>
      <c r="N159" s="68" t="n"/>
      <c r="O159" s="68" t="n"/>
      <c r="P159" s="68" t="n"/>
      <c r="Q159" s="68" t="n"/>
      <c r="R159" s="68" t="n"/>
      <c r="S159" s="47" t="n"/>
      <c r="T159" s="47" t="n"/>
      <c r="U159" s="47" t="n"/>
      <c r="V159" s="199" t="n"/>
      <c r="W159" s="199" t="n"/>
      <c r="X159" s="199" t="n"/>
    </row>
    <row r="160">
      <c r="F160" s="68" t="n"/>
      <c r="G160" s="68" t="n"/>
      <c r="H160" s="68" t="n"/>
      <c r="I160" s="68" t="n"/>
      <c r="J160" s="68" t="n"/>
      <c r="K160" s="68" t="n"/>
      <c r="L160" s="68" t="n"/>
      <c r="M160" s="68" t="n"/>
      <c r="N160" s="68" t="n"/>
      <c r="O160" s="68" t="n"/>
      <c r="P160" s="68" t="n"/>
      <c r="Q160" s="68" t="n"/>
      <c r="R160" s="68" t="n"/>
      <c r="S160" s="47" t="n"/>
      <c r="T160" s="47" t="n"/>
      <c r="U160" s="47" t="n"/>
      <c r="V160" s="199" t="n"/>
      <c r="W160" s="199" t="n"/>
      <c r="X160" s="199" t="n"/>
    </row>
    <row r="161">
      <c r="F161" s="68" t="n"/>
      <c r="G161" s="68" t="n"/>
      <c r="H161" s="68" t="n"/>
      <c r="I161" s="68" t="n"/>
      <c r="J161" s="68" t="n"/>
      <c r="K161" s="68" t="n"/>
      <c r="L161" s="68" t="n"/>
      <c r="M161" s="68" t="n"/>
      <c r="N161" s="68" t="n"/>
      <c r="O161" s="68" t="n"/>
      <c r="P161" s="68" t="n"/>
      <c r="Q161" s="68" t="n"/>
      <c r="R161" s="68" t="n"/>
      <c r="S161" s="47" t="n"/>
      <c r="T161" s="47" t="n"/>
      <c r="U161" s="47" t="n"/>
      <c r="V161" s="199" t="n"/>
      <c r="W161" s="199" t="n"/>
      <c r="X161" s="199" t="n"/>
    </row>
    <row r="162">
      <c r="F162" s="68" t="n"/>
      <c r="G162" s="68" t="n"/>
      <c r="H162" s="68" t="n"/>
      <c r="I162" s="68" t="n"/>
      <c r="J162" s="68" t="n"/>
      <c r="K162" s="68" t="n"/>
      <c r="L162" s="68" t="n"/>
      <c r="M162" s="68" t="n"/>
      <c r="N162" s="68" t="n"/>
      <c r="O162" s="68" t="n"/>
      <c r="P162" s="68" t="n"/>
      <c r="Q162" s="68" t="n"/>
      <c r="R162" s="68" t="n"/>
      <c r="S162" s="47" t="n"/>
      <c r="T162" s="47" t="n"/>
      <c r="U162" s="47" t="n"/>
      <c r="V162" s="199" t="n"/>
      <c r="W162" s="199" t="n"/>
      <c r="X162" s="199" t="n"/>
    </row>
    <row r="163">
      <c r="F163" s="68" t="n"/>
      <c r="G163" s="68" t="n"/>
      <c r="H163" s="68" t="n"/>
      <c r="I163" s="68" t="n"/>
      <c r="J163" s="68" t="n"/>
      <c r="K163" s="68" t="n"/>
      <c r="L163" s="68" t="n"/>
      <c r="M163" s="68" t="n"/>
      <c r="N163" s="68" t="n"/>
      <c r="O163" s="68" t="n"/>
      <c r="P163" s="68" t="n"/>
      <c r="Q163" s="68" t="n"/>
      <c r="R163" s="68" t="n"/>
      <c r="S163" s="47" t="n"/>
      <c r="T163" s="47" t="n"/>
      <c r="U163" s="47" t="n"/>
      <c r="V163" s="199" t="n"/>
      <c r="W163" s="199" t="n"/>
      <c r="X163" s="199" t="n"/>
    </row>
    <row r="164">
      <c r="F164" s="68" t="n"/>
      <c r="G164" s="68" t="n"/>
      <c r="H164" s="68" t="n"/>
      <c r="I164" s="68" t="n"/>
      <c r="J164" s="68" t="n"/>
      <c r="K164" s="68" t="n"/>
      <c r="L164" s="68" t="n"/>
      <c r="M164" s="68" t="n"/>
      <c r="N164" s="68" t="n"/>
      <c r="O164" s="68" t="n"/>
      <c r="P164" s="68" t="n"/>
      <c r="Q164" s="68" t="n"/>
      <c r="R164" s="68" t="n"/>
      <c r="S164" s="47" t="n"/>
      <c r="T164" s="47" t="n"/>
      <c r="U164" s="47" t="n"/>
      <c r="V164" s="199" t="n"/>
      <c r="W164" s="199" t="n"/>
      <c r="X164" s="199" t="n"/>
    </row>
    <row r="165">
      <c r="F165" s="68" t="n"/>
      <c r="G165" s="68" t="n"/>
      <c r="H165" s="68" t="n"/>
      <c r="I165" s="68" t="n"/>
      <c r="J165" s="68" t="n"/>
      <c r="K165" s="68" t="n"/>
      <c r="L165" s="68" t="n"/>
      <c r="M165" s="68" t="n"/>
      <c r="N165" s="68" t="n"/>
      <c r="O165" s="68" t="n"/>
      <c r="P165" s="68" t="n"/>
      <c r="Q165" s="68" t="n"/>
      <c r="R165" s="68" t="n"/>
      <c r="S165" s="47" t="n"/>
      <c r="T165" s="47" t="n"/>
      <c r="U165" s="47" t="n"/>
      <c r="V165" s="199" t="n"/>
      <c r="W165" s="199" t="n"/>
      <c r="X165" s="199" t="n"/>
    </row>
    <row r="166">
      <c r="F166" s="68" t="n"/>
      <c r="G166" s="68" t="n"/>
      <c r="H166" s="68" t="n"/>
      <c r="I166" s="68" t="n"/>
      <c r="J166" s="68" t="n"/>
      <c r="K166" s="68" t="n"/>
      <c r="L166" s="68" t="n"/>
      <c r="M166" s="68" t="n"/>
      <c r="N166" s="68" t="n"/>
      <c r="O166" s="68" t="n"/>
      <c r="P166" s="68" t="n"/>
      <c r="Q166" s="68" t="n"/>
      <c r="R166" s="68" t="n"/>
      <c r="S166" s="47" t="n"/>
      <c r="T166" s="47" t="n"/>
      <c r="U166" s="47" t="n"/>
      <c r="V166" s="199" t="n"/>
      <c r="W166" s="199" t="n"/>
      <c r="X166" s="199" t="n"/>
    </row>
    <row r="167">
      <c r="F167" s="68" t="n"/>
      <c r="G167" s="68" t="n"/>
      <c r="H167" s="68" t="n"/>
      <c r="I167" s="68" t="n"/>
      <c r="J167" s="68" t="n"/>
      <c r="K167" s="68" t="n"/>
      <c r="L167" s="68" t="n"/>
      <c r="M167" s="68" t="n"/>
      <c r="N167" s="68" t="n"/>
      <c r="O167" s="68" t="n"/>
      <c r="P167" s="68" t="n"/>
      <c r="Q167" s="68" t="n"/>
      <c r="R167" s="68" t="n"/>
      <c r="S167" s="47" t="n"/>
      <c r="T167" s="47" t="n"/>
      <c r="U167" s="47" t="n"/>
      <c r="V167" s="199" t="n"/>
      <c r="W167" s="199" t="n"/>
      <c r="X167" s="199" t="n"/>
    </row>
    <row r="168">
      <c r="F168" s="68" t="n"/>
      <c r="G168" s="68" t="n"/>
      <c r="H168" s="68" t="n"/>
      <c r="I168" s="68" t="n"/>
      <c r="J168" s="68" t="n"/>
      <c r="K168" s="68" t="n"/>
      <c r="L168" s="68" t="n"/>
      <c r="M168" s="68" t="n"/>
      <c r="N168" s="68" t="n"/>
      <c r="O168" s="68" t="n"/>
      <c r="P168" s="68" t="n"/>
      <c r="Q168" s="68" t="n"/>
      <c r="R168" s="68" t="n"/>
      <c r="S168" s="47" t="n"/>
      <c r="T168" s="47" t="n"/>
      <c r="U168" s="47" t="n"/>
      <c r="V168" s="199" t="n"/>
      <c r="W168" s="199" t="n"/>
      <c r="X168" s="199" t="n"/>
    </row>
    <row r="169">
      <c r="F169" s="68" t="n"/>
      <c r="G169" s="68" t="n"/>
      <c r="H169" s="68" t="n"/>
      <c r="I169" s="68" t="n"/>
      <c r="J169" s="68" t="n"/>
      <c r="K169" s="68" t="n"/>
      <c r="L169" s="68" t="n"/>
      <c r="M169" s="68" t="n"/>
      <c r="N169" s="68" t="n"/>
      <c r="O169" s="68" t="n"/>
      <c r="P169" s="68" t="n"/>
      <c r="Q169" s="68" t="n"/>
      <c r="R169" s="68" t="n"/>
      <c r="S169" s="47" t="n"/>
      <c r="T169" s="47" t="n"/>
      <c r="U169" s="47" t="n"/>
      <c r="V169" s="199" t="n"/>
      <c r="W169" s="199" t="n"/>
      <c r="X169" s="199" t="n"/>
    </row>
    <row r="170">
      <c r="F170" s="68" t="n"/>
      <c r="G170" s="68" t="n"/>
      <c r="H170" s="68" t="n"/>
      <c r="I170" s="68" t="n"/>
      <c r="J170" s="68" t="n"/>
      <c r="K170" s="68" t="n"/>
      <c r="L170" s="68" t="n"/>
      <c r="M170" s="68" t="n"/>
      <c r="N170" s="68" t="n"/>
      <c r="O170" s="68" t="n"/>
      <c r="P170" s="68" t="n"/>
      <c r="Q170" s="68" t="n"/>
      <c r="R170" s="68" t="n"/>
      <c r="S170" s="47" t="n"/>
      <c r="T170" s="47" t="n"/>
      <c r="U170" s="47" t="n"/>
      <c r="V170" s="199" t="n"/>
      <c r="W170" s="199" t="n"/>
      <c r="X170" s="199" t="n"/>
    </row>
    <row r="171">
      <c r="F171" s="68" t="n"/>
      <c r="G171" s="68" t="n"/>
      <c r="H171" s="68" t="n"/>
      <c r="I171" s="68" t="n"/>
      <c r="J171" s="68" t="n"/>
      <c r="K171" s="68" t="n"/>
      <c r="L171" s="68" t="n"/>
      <c r="M171" s="68" t="n"/>
      <c r="N171" s="68" t="n"/>
      <c r="O171" s="68" t="n"/>
      <c r="P171" s="68" t="n"/>
      <c r="Q171" s="68" t="n"/>
      <c r="R171" s="68" t="n"/>
      <c r="S171" s="47" t="n"/>
      <c r="T171" s="47" t="n"/>
      <c r="U171" s="47" t="n"/>
      <c r="V171" s="199" t="n"/>
      <c r="W171" s="199" t="n"/>
      <c r="X171" s="199" t="n"/>
    </row>
    <row r="172">
      <c r="F172" s="68" t="n"/>
      <c r="G172" s="68" t="n"/>
      <c r="H172" s="68" t="n"/>
      <c r="I172" s="68" t="n"/>
      <c r="J172" s="68" t="n"/>
      <c r="K172" s="68" t="n"/>
      <c r="L172" s="68" t="n"/>
      <c r="M172" s="68" t="n"/>
      <c r="N172" s="68" t="n"/>
      <c r="O172" s="68" t="n"/>
      <c r="P172" s="68" t="n"/>
      <c r="Q172" s="68" t="n"/>
      <c r="R172" s="68" t="n"/>
      <c r="S172" s="47" t="n"/>
      <c r="T172" s="47" t="n"/>
      <c r="U172" s="47" t="n"/>
      <c r="V172" s="199" t="n"/>
      <c r="W172" s="199" t="n"/>
      <c r="X172" s="199" t="n"/>
    </row>
    <row r="173">
      <c r="F173" s="68" t="n"/>
      <c r="G173" s="68" t="n"/>
      <c r="H173" s="68" t="n"/>
      <c r="I173" s="68" t="n"/>
      <c r="J173" s="68" t="n"/>
      <c r="K173" s="68" t="n"/>
      <c r="L173" s="68" t="n"/>
      <c r="M173" s="68" t="n"/>
      <c r="N173" s="68" t="n"/>
      <c r="O173" s="68" t="n"/>
      <c r="P173" s="68" t="n"/>
      <c r="Q173" s="68" t="n"/>
      <c r="R173" s="68" t="n"/>
      <c r="S173" s="47" t="n"/>
      <c r="T173" s="47" t="n"/>
      <c r="U173" s="47" t="n"/>
      <c r="V173" s="199" t="n"/>
      <c r="W173" s="199" t="n"/>
      <c r="X173" s="199" t="n"/>
    </row>
    <row r="174">
      <c r="F174" s="68" t="n"/>
      <c r="G174" s="68" t="n"/>
      <c r="H174" s="68" t="n"/>
      <c r="I174" s="68" t="n"/>
      <c r="J174" s="68" t="n"/>
      <c r="K174" s="68" t="n"/>
      <c r="L174" s="68" t="n"/>
      <c r="M174" s="68" t="n"/>
      <c r="N174" s="68" t="n"/>
      <c r="O174" s="68" t="n"/>
      <c r="P174" s="68" t="n"/>
      <c r="Q174" s="68" t="n"/>
      <c r="R174" s="68" t="n"/>
      <c r="S174" s="47" t="n"/>
      <c r="T174" s="47" t="n"/>
      <c r="U174" s="47" t="n"/>
      <c r="V174" s="199" t="n"/>
      <c r="W174" s="199" t="n"/>
      <c r="X174" s="199" t="n"/>
    </row>
    <row r="175">
      <c r="F175" s="68" t="n"/>
      <c r="G175" s="68" t="n"/>
      <c r="H175" s="68" t="n"/>
      <c r="I175" s="68" t="n"/>
      <c r="J175" s="68" t="n"/>
      <c r="K175" s="68" t="n"/>
      <c r="L175" s="68" t="n"/>
      <c r="M175" s="68" t="n"/>
      <c r="N175" s="68" t="n"/>
      <c r="O175" s="68" t="n"/>
      <c r="P175" s="68" t="n"/>
      <c r="Q175" s="68" t="n"/>
      <c r="R175" s="68" t="n"/>
      <c r="S175" s="47" t="n"/>
      <c r="T175" s="47" t="n"/>
      <c r="U175" s="47" t="n"/>
      <c r="V175" s="199" t="n"/>
      <c r="W175" s="199" t="n"/>
      <c r="X175" s="199" t="n"/>
    </row>
    <row r="176">
      <c r="F176" s="68" t="n"/>
      <c r="G176" s="68" t="n"/>
      <c r="H176" s="68" t="n"/>
      <c r="I176" s="68" t="n"/>
      <c r="J176" s="68" t="n"/>
      <c r="K176" s="68" t="n"/>
      <c r="L176" s="68" t="n"/>
      <c r="M176" s="68" t="n"/>
      <c r="N176" s="68" t="n"/>
      <c r="O176" s="68" t="n"/>
      <c r="P176" s="68" t="n"/>
      <c r="Q176" s="68" t="n"/>
      <c r="R176" s="68" t="n"/>
      <c r="S176" s="47" t="n"/>
      <c r="T176" s="47" t="n"/>
      <c r="U176" s="47" t="n"/>
      <c r="V176" s="199" t="n"/>
      <c r="W176" s="199" t="n"/>
      <c r="X176" s="199" t="n"/>
    </row>
    <row r="177">
      <c r="F177" s="68" t="n"/>
      <c r="G177" s="68" t="n"/>
      <c r="H177" s="68" t="n"/>
      <c r="I177" s="68" t="n"/>
      <c r="J177" s="68" t="n"/>
      <c r="K177" s="68" t="n"/>
      <c r="L177" s="68" t="n"/>
      <c r="M177" s="68" t="n"/>
      <c r="N177" s="68" t="n"/>
      <c r="O177" s="68" t="n"/>
      <c r="P177" s="68" t="n"/>
      <c r="Q177" s="68" t="n"/>
      <c r="R177" s="68" t="n"/>
      <c r="S177" s="47" t="n"/>
      <c r="T177" s="47" t="n"/>
      <c r="U177" s="47" t="n"/>
      <c r="V177" s="199" t="n"/>
      <c r="W177" s="199" t="n"/>
      <c r="X177" s="199" t="n"/>
    </row>
    <row r="178">
      <c r="F178" s="68" t="n"/>
      <c r="G178" s="68" t="n"/>
      <c r="H178" s="68" t="n"/>
      <c r="I178" s="68" t="n"/>
      <c r="J178" s="68" t="n"/>
      <c r="K178" s="68" t="n"/>
      <c r="L178" s="68" t="n"/>
      <c r="M178" s="68" t="n"/>
      <c r="N178" s="68" t="n"/>
      <c r="O178" s="68" t="n"/>
      <c r="P178" s="68" t="n"/>
      <c r="Q178" s="68" t="n"/>
      <c r="R178" s="68" t="n"/>
      <c r="S178" s="47" t="n"/>
      <c r="T178" s="47" t="n"/>
      <c r="U178" s="47" t="n"/>
      <c r="V178" s="199" t="n"/>
      <c r="W178" s="199" t="n"/>
      <c r="X178" s="199" t="n"/>
    </row>
    <row r="179">
      <c r="F179" s="68" t="n"/>
      <c r="G179" s="68" t="n"/>
      <c r="H179" s="68" t="n"/>
      <c r="I179" s="68" t="n"/>
      <c r="J179" s="68" t="n"/>
      <c r="K179" s="68" t="n"/>
      <c r="L179" s="68" t="n"/>
      <c r="M179" s="68" t="n"/>
      <c r="N179" s="68" t="n"/>
      <c r="O179" s="68" t="n"/>
      <c r="P179" s="68" t="n"/>
      <c r="Q179" s="68" t="n"/>
      <c r="R179" s="68" t="n"/>
      <c r="S179" s="47" t="n"/>
      <c r="T179" s="47" t="n"/>
      <c r="U179" s="47" t="n"/>
      <c r="V179" s="199" t="n"/>
      <c r="W179" s="199" t="n"/>
      <c r="X179" s="199" t="n"/>
    </row>
    <row r="180">
      <c r="F180" s="68" t="n"/>
      <c r="G180" s="68" t="n"/>
      <c r="H180" s="68" t="n"/>
      <c r="I180" s="68" t="n"/>
      <c r="J180" s="68" t="n"/>
      <c r="K180" s="68" t="n"/>
      <c r="L180" s="68" t="n"/>
      <c r="M180" s="68" t="n"/>
      <c r="N180" s="68" t="n"/>
      <c r="O180" s="68" t="n"/>
      <c r="P180" s="68" t="n"/>
      <c r="Q180" s="68" t="n"/>
      <c r="R180" s="68" t="n"/>
      <c r="S180" s="47" t="n"/>
      <c r="T180" s="47" t="n"/>
      <c r="U180" s="47" t="n"/>
      <c r="V180" s="199" t="n"/>
      <c r="W180" s="199" t="n"/>
      <c r="X180" s="199" t="n"/>
    </row>
    <row r="181">
      <c r="F181" s="68" t="n"/>
      <c r="G181" s="68" t="n"/>
      <c r="H181" s="68" t="n"/>
      <c r="I181" s="68" t="n"/>
      <c r="J181" s="68" t="n"/>
      <c r="K181" s="68" t="n"/>
      <c r="L181" s="68" t="n"/>
      <c r="M181" s="68" t="n"/>
      <c r="N181" s="68" t="n"/>
      <c r="O181" s="68" t="n"/>
      <c r="P181" s="68" t="n"/>
      <c r="Q181" s="68" t="n"/>
      <c r="R181" s="68" t="n"/>
      <c r="S181" s="47" t="n"/>
      <c r="T181" s="47" t="n"/>
      <c r="U181" s="47" t="n"/>
      <c r="V181" s="199" t="n"/>
      <c r="W181" s="199" t="n"/>
      <c r="X181" s="199" t="n"/>
    </row>
    <row r="182">
      <c r="F182" s="68" t="n"/>
      <c r="G182" s="68" t="n"/>
      <c r="H182" s="68" t="n"/>
      <c r="I182" s="68" t="n"/>
      <c r="J182" s="68" t="n"/>
      <c r="K182" s="68" t="n"/>
      <c r="L182" s="68" t="n"/>
      <c r="M182" s="68" t="n"/>
      <c r="N182" s="68" t="n"/>
      <c r="O182" s="68" t="n"/>
      <c r="P182" s="68" t="n"/>
      <c r="Q182" s="68" t="n"/>
      <c r="R182" s="68" t="n"/>
      <c r="S182" s="47" t="n"/>
      <c r="T182" s="47" t="n"/>
      <c r="U182" s="47" t="n"/>
      <c r="V182" s="199" t="n"/>
      <c r="W182" s="199" t="n"/>
      <c r="X182" s="199" t="n"/>
    </row>
    <row r="183">
      <c r="F183" s="68" t="n"/>
      <c r="G183" s="68" t="n"/>
      <c r="H183" s="68" t="n"/>
      <c r="I183" s="68" t="n"/>
      <c r="J183" s="68" t="n"/>
      <c r="K183" s="68" t="n"/>
      <c r="L183" s="68" t="n"/>
      <c r="M183" s="68" t="n"/>
      <c r="N183" s="68" t="n"/>
      <c r="O183" s="68" t="n"/>
      <c r="P183" s="68" t="n"/>
      <c r="Q183" s="68" t="n"/>
      <c r="R183" s="68" t="n"/>
      <c r="S183" s="47" t="n"/>
      <c r="T183" s="47" t="n"/>
      <c r="U183" s="47" t="n"/>
      <c r="V183" s="199" t="n"/>
      <c r="W183" s="199" t="n"/>
      <c r="X183" s="199" t="n"/>
    </row>
    <row r="184">
      <c r="F184" s="68" t="n"/>
      <c r="G184" s="68" t="n"/>
      <c r="H184" s="68" t="n"/>
      <c r="I184" s="68" t="n"/>
      <c r="J184" s="68" t="n"/>
      <c r="K184" s="68" t="n"/>
      <c r="L184" s="68" t="n"/>
      <c r="M184" s="68" t="n"/>
      <c r="N184" s="68" t="n"/>
      <c r="O184" s="68" t="n"/>
      <c r="P184" s="68" t="n"/>
      <c r="Q184" s="68" t="n"/>
      <c r="R184" s="68" t="n"/>
      <c r="S184" s="47" t="n"/>
      <c r="T184" s="47" t="n"/>
      <c r="U184" s="47" t="n"/>
      <c r="V184" s="199" t="n"/>
      <c r="W184" s="199" t="n"/>
      <c r="X184" s="199" t="n"/>
    </row>
    <row r="185">
      <c r="F185" s="68" t="n"/>
      <c r="G185" s="68" t="n"/>
      <c r="H185" s="68" t="n"/>
      <c r="I185" s="68" t="n"/>
      <c r="J185" s="68" t="n"/>
      <c r="K185" s="68" t="n"/>
      <c r="L185" s="68" t="n"/>
      <c r="M185" s="68" t="n"/>
      <c r="N185" s="68" t="n"/>
      <c r="O185" s="68" t="n"/>
      <c r="P185" s="68" t="n"/>
      <c r="Q185" s="68" t="n"/>
      <c r="R185" s="68" t="n"/>
      <c r="S185" s="47" t="n"/>
      <c r="T185" s="47" t="n"/>
      <c r="U185" s="47" t="n"/>
      <c r="V185" s="199" t="n"/>
      <c r="W185" s="199" t="n"/>
      <c r="X185" s="199" t="n"/>
    </row>
    <row r="186">
      <c r="F186" s="68" t="n"/>
      <c r="G186" s="68" t="n"/>
      <c r="H186" s="68" t="n"/>
      <c r="I186" s="68" t="n"/>
      <c r="J186" s="68" t="n"/>
      <c r="K186" s="68" t="n"/>
      <c r="L186" s="68" t="n"/>
      <c r="M186" s="68" t="n"/>
      <c r="N186" s="68" t="n"/>
      <c r="O186" s="68" t="n"/>
      <c r="P186" s="68" t="n"/>
      <c r="Q186" s="68" t="n"/>
      <c r="R186" s="68" t="n"/>
      <c r="S186" s="47" t="n"/>
      <c r="T186" s="47" t="n"/>
      <c r="U186" s="47" t="n"/>
      <c r="V186" s="199" t="n"/>
      <c r="W186" s="199" t="n"/>
      <c r="X186" s="199" t="n"/>
    </row>
    <row r="187">
      <c r="F187" s="68" t="n"/>
      <c r="G187" s="68" t="n"/>
      <c r="H187" s="68" t="n"/>
      <c r="I187" s="68" t="n"/>
      <c r="J187" s="68" t="n"/>
      <c r="K187" s="68" t="n"/>
      <c r="L187" s="68" t="n"/>
      <c r="M187" s="68" t="n"/>
      <c r="N187" s="68" t="n"/>
      <c r="O187" s="68" t="n"/>
      <c r="P187" s="68" t="n"/>
      <c r="Q187" s="68" t="n"/>
      <c r="R187" s="68" t="n"/>
      <c r="S187" s="47" t="n"/>
      <c r="T187" s="47" t="n"/>
      <c r="U187" s="47" t="n"/>
      <c r="V187" s="199" t="n"/>
      <c r="W187" s="199" t="n"/>
      <c r="X187" s="199" t="n"/>
    </row>
    <row r="188">
      <c r="F188" s="68" t="n"/>
      <c r="G188" s="68" t="n"/>
      <c r="H188" s="68" t="n"/>
      <c r="I188" s="68" t="n"/>
      <c r="J188" s="68" t="n"/>
      <c r="K188" s="68" t="n"/>
      <c r="L188" s="68" t="n"/>
      <c r="M188" s="68" t="n"/>
      <c r="N188" s="68" t="n"/>
      <c r="O188" s="68" t="n"/>
      <c r="P188" s="68" t="n"/>
      <c r="Q188" s="68" t="n"/>
      <c r="R188" s="68" t="n"/>
      <c r="S188" s="47" t="n"/>
      <c r="T188" s="47" t="n"/>
      <c r="U188" s="47" t="n"/>
      <c r="V188" s="199" t="n"/>
      <c r="W188" s="199" t="n"/>
      <c r="X188" s="199" t="n"/>
    </row>
    <row r="189">
      <c r="F189" s="68" t="n"/>
      <c r="G189" s="68" t="n"/>
      <c r="H189" s="68" t="n"/>
      <c r="I189" s="68" t="n"/>
      <c r="J189" s="68" t="n"/>
      <c r="K189" s="68" t="n"/>
      <c r="L189" s="68" t="n"/>
      <c r="M189" s="68" t="n"/>
      <c r="N189" s="68" t="n"/>
      <c r="O189" s="68" t="n"/>
      <c r="P189" s="68" t="n"/>
      <c r="Q189" s="68" t="n"/>
      <c r="R189" s="68" t="n"/>
      <c r="S189" s="47" t="n"/>
      <c r="T189" s="47" t="n"/>
      <c r="U189" s="47" t="n"/>
      <c r="V189" s="199" t="n"/>
      <c r="W189" s="199" t="n"/>
      <c r="X189" s="199" t="n"/>
    </row>
    <row r="190">
      <c r="F190" s="68" t="n"/>
      <c r="G190" s="68" t="n"/>
      <c r="H190" s="68" t="n"/>
      <c r="I190" s="68" t="n"/>
      <c r="J190" s="68" t="n"/>
      <c r="K190" s="68" t="n"/>
      <c r="L190" s="68" t="n"/>
      <c r="M190" s="68" t="n"/>
      <c r="N190" s="68" t="n"/>
      <c r="O190" s="68" t="n"/>
      <c r="P190" s="68" t="n"/>
      <c r="Q190" s="68" t="n"/>
      <c r="R190" s="68" t="n"/>
      <c r="S190" s="47" t="n"/>
      <c r="T190" s="47" t="n"/>
      <c r="U190" s="47" t="n"/>
      <c r="V190" s="199" t="n"/>
      <c r="W190" s="199" t="n"/>
      <c r="X190" s="199" t="n"/>
    </row>
    <row r="191">
      <c r="F191" s="68" t="n"/>
      <c r="G191" s="68" t="n"/>
      <c r="H191" s="68" t="n"/>
      <c r="I191" s="68" t="n"/>
      <c r="J191" s="68" t="n"/>
      <c r="K191" s="68" t="n"/>
      <c r="L191" s="68" t="n"/>
      <c r="M191" s="68" t="n"/>
      <c r="N191" s="68" t="n"/>
      <c r="O191" s="68" t="n"/>
      <c r="P191" s="68" t="n"/>
      <c r="Q191" s="68" t="n"/>
      <c r="R191" s="68" t="n"/>
      <c r="S191" s="47" t="n"/>
      <c r="T191" s="47" t="n"/>
      <c r="U191" s="47" t="n"/>
      <c r="V191" s="199" t="n"/>
      <c r="W191" s="199" t="n"/>
      <c r="X191" s="199" t="n"/>
    </row>
    <row r="192">
      <c r="F192" s="68" t="n"/>
      <c r="G192" s="68" t="n"/>
      <c r="H192" s="68" t="n"/>
      <c r="I192" s="68" t="n"/>
      <c r="J192" s="68" t="n"/>
      <c r="K192" s="68" t="n"/>
      <c r="L192" s="68" t="n"/>
      <c r="M192" s="68" t="n"/>
      <c r="N192" s="68" t="n"/>
      <c r="O192" s="68" t="n"/>
      <c r="P192" s="68" t="n"/>
      <c r="Q192" s="68" t="n"/>
      <c r="R192" s="68" t="n"/>
      <c r="S192" s="47" t="n"/>
      <c r="T192" s="47" t="n"/>
      <c r="U192" s="47" t="n"/>
      <c r="V192" s="199" t="n"/>
      <c r="W192" s="199" t="n"/>
      <c r="X192" s="199" t="n"/>
    </row>
    <row r="193">
      <c r="F193" s="68" t="n"/>
      <c r="G193" s="68" t="n"/>
      <c r="H193" s="68" t="n"/>
      <c r="I193" s="68" t="n"/>
      <c r="J193" s="68" t="n"/>
      <c r="K193" s="68" t="n"/>
      <c r="L193" s="68" t="n"/>
      <c r="M193" s="68" t="n"/>
      <c r="N193" s="68" t="n"/>
      <c r="O193" s="68" t="n"/>
      <c r="P193" s="68" t="n"/>
      <c r="Q193" s="68" t="n"/>
      <c r="R193" s="68" t="n"/>
      <c r="S193" s="47" t="n"/>
      <c r="T193" s="47" t="n"/>
      <c r="U193" s="47" t="n"/>
      <c r="V193" s="199" t="n"/>
      <c r="W193" s="199" t="n"/>
      <c r="X193" s="199" t="n"/>
    </row>
    <row r="194">
      <c r="F194" s="68" t="n"/>
      <c r="G194" s="68" t="n"/>
      <c r="H194" s="68" t="n"/>
      <c r="I194" s="68" t="n"/>
      <c r="J194" s="68" t="n"/>
      <c r="K194" s="68" t="n"/>
      <c r="L194" s="68" t="n"/>
      <c r="M194" s="68" t="n"/>
      <c r="N194" s="68" t="n"/>
      <c r="O194" s="68" t="n"/>
      <c r="P194" s="68" t="n"/>
      <c r="Q194" s="68" t="n"/>
      <c r="R194" s="68" t="n"/>
      <c r="S194" s="47" t="n"/>
      <c r="T194" s="47" t="n"/>
      <c r="U194" s="47" t="n"/>
      <c r="V194" s="199" t="n"/>
      <c r="W194" s="199" t="n"/>
      <c r="X194" s="199" t="n"/>
    </row>
    <row r="195">
      <c r="F195" s="68" t="n"/>
      <c r="G195" s="68" t="n"/>
      <c r="H195" s="68" t="n"/>
      <c r="I195" s="68" t="n"/>
      <c r="J195" s="68" t="n"/>
      <c r="K195" s="68" t="n"/>
      <c r="L195" s="68" t="n"/>
      <c r="M195" s="68" t="n"/>
      <c r="N195" s="68" t="n"/>
      <c r="O195" s="68" t="n"/>
      <c r="P195" s="68" t="n"/>
      <c r="Q195" s="68" t="n"/>
      <c r="R195" s="68" t="n"/>
      <c r="S195" s="47" t="n"/>
      <c r="T195" s="47" t="n"/>
      <c r="U195" s="47" t="n"/>
      <c r="V195" s="199" t="n"/>
      <c r="W195" s="199" t="n"/>
      <c r="X195" s="199" t="n"/>
    </row>
    <row r="196">
      <c r="F196" s="68" t="n"/>
      <c r="G196" s="68" t="n"/>
      <c r="H196" s="68" t="n"/>
      <c r="I196" s="68" t="n"/>
      <c r="J196" s="68" t="n"/>
      <c r="K196" s="68" t="n"/>
      <c r="L196" s="68" t="n"/>
      <c r="M196" s="68" t="n"/>
      <c r="N196" s="68" t="n"/>
      <c r="O196" s="68" t="n"/>
      <c r="P196" s="68" t="n"/>
      <c r="Q196" s="68" t="n"/>
      <c r="R196" s="68" t="n"/>
      <c r="S196" s="47" t="n"/>
      <c r="T196" s="47" t="n"/>
      <c r="U196" s="47" t="n"/>
      <c r="V196" s="199" t="n"/>
      <c r="W196" s="199" t="n"/>
      <c r="X196" s="199" t="n"/>
    </row>
    <row r="197">
      <c r="F197" s="68" t="n"/>
      <c r="G197" s="68" t="n"/>
      <c r="H197" s="68" t="n"/>
      <c r="I197" s="68" t="n"/>
      <c r="J197" s="68" t="n"/>
      <c r="K197" s="68" t="n"/>
      <c r="L197" s="68" t="n"/>
      <c r="M197" s="68" t="n"/>
      <c r="N197" s="68" t="n"/>
      <c r="O197" s="68" t="n"/>
      <c r="P197" s="68" t="n"/>
      <c r="Q197" s="68" t="n"/>
      <c r="R197" s="68" t="n"/>
      <c r="S197" s="47" t="n"/>
      <c r="T197" s="47" t="n"/>
      <c r="U197" s="47" t="n"/>
      <c r="V197" s="199" t="n"/>
      <c r="W197" s="199" t="n"/>
      <c r="X197" s="199" t="n"/>
    </row>
    <row r="198">
      <c r="F198" s="68" t="n"/>
      <c r="G198" s="68" t="n"/>
      <c r="H198" s="68" t="n"/>
      <c r="I198" s="68" t="n"/>
      <c r="J198" s="68" t="n"/>
      <c r="K198" s="68" t="n"/>
      <c r="L198" s="68" t="n"/>
      <c r="M198" s="68" t="n"/>
      <c r="N198" s="68" t="n"/>
      <c r="O198" s="68" t="n"/>
      <c r="P198" s="68" t="n"/>
      <c r="Q198" s="68" t="n"/>
      <c r="R198" s="68" t="n"/>
      <c r="S198" s="47" t="n"/>
      <c r="T198" s="47" t="n"/>
      <c r="U198" s="47" t="n"/>
      <c r="V198" s="199" t="n"/>
      <c r="W198" s="199" t="n"/>
      <c r="X198" s="199" t="n"/>
    </row>
    <row r="199">
      <c r="F199" s="68" t="n"/>
      <c r="G199" s="68" t="n"/>
      <c r="H199" s="68" t="n"/>
      <c r="I199" s="68" t="n"/>
      <c r="J199" s="68" t="n"/>
      <c r="K199" s="68" t="n"/>
      <c r="L199" s="68" t="n"/>
      <c r="M199" s="68" t="n"/>
      <c r="N199" s="68" t="n"/>
      <c r="O199" s="68" t="n"/>
      <c r="P199" s="68" t="n"/>
      <c r="Q199" s="68" t="n"/>
      <c r="R199" s="68" t="n"/>
      <c r="S199" s="47" t="n"/>
      <c r="T199" s="47" t="n"/>
      <c r="U199" s="47" t="n"/>
      <c r="V199" s="199" t="n"/>
      <c r="W199" s="199" t="n"/>
      <c r="X199" s="199" t="n"/>
    </row>
    <row r="200">
      <c r="F200" s="68" t="n"/>
      <c r="G200" s="68" t="n"/>
      <c r="H200" s="68" t="n"/>
      <c r="I200" s="68" t="n"/>
      <c r="J200" s="68" t="n"/>
      <c r="K200" s="68" t="n"/>
      <c r="L200" s="68" t="n"/>
      <c r="M200" s="68" t="n"/>
      <c r="N200" s="68" t="n"/>
      <c r="O200" s="68" t="n"/>
      <c r="P200" s="68" t="n"/>
      <c r="Q200" s="68" t="n"/>
      <c r="R200" s="68" t="n"/>
      <c r="S200" s="47" t="n"/>
      <c r="T200" s="47" t="n"/>
      <c r="U200" s="47" t="n"/>
      <c r="V200" s="199" t="n"/>
      <c r="W200" s="199" t="n"/>
      <c r="X200" s="199" t="n"/>
    </row>
    <row r="201">
      <c r="F201" s="68" t="n"/>
      <c r="G201" s="68" t="n"/>
      <c r="H201" s="68" t="n"/>
      <c r="I201" s="68" t="n"/>
      <c r="J201" s="68" t="n"/>
      <c r="K201" s="68" t="n"/>
      <c r="L201" s="68" t="n"/>
      <c r="M201" s="68" t="n"/>
      <c r="N201" s="68" t="n"/>
      <c r="O201" s="68" t="n"/>
      <c r="P201" s="68" t="n"/>
      <c r="Q201" s="68" t="n"/>
      <c r="R201" s="68" t="n"/>
      <c r="S201" s="47" t="n"/>
      <c r="T201" s="47" t="n"/>
      <c r="U201" s="47" t="n"/>
      <c r="V201" s="199" t="n"/>
      <c r="W201" s="199" t="n"/>
      <c r="X201" s="199" t="n"/>
    </row>
    <row r="202">
      <c r="F202" s="68" t="n"/>
      <c r="G202" s="68" t="n"/>
      <c r="H202" s="68" t="n"/>
      <c r="I202" s="68" t="n"/>
      <c r="J202" s="68" t="n"/>
      <c r="K202" s="68" t="n"/>
      <c r="L202" s="68" t="n"/>
      <c r="M202" s="68" t="n"/>
      <c r="N202" s="68" t="n"/>
      <c r="O202" s="68" t="n"/>
      <c r="P202" s="68" t="n"/>
      <c r="Q202" s="68" t="n"/>
      <c r="R202" s="68" t="n"/>
      <c r="S202" s="47" t="n"/>
      <c r="T202" s="47" t="n"/>
      <c r="U202" s="47" t="n"/>
      <c r="V202" s="199" t="n"/>
      <c r="W202" s="199" t="n"/>
      <c r="X202" s="199" t="n"/>
    </row>
    <row r="203">
      <c r="F203" s="68" t="n"/>
      <c r="G203" s="68" t="n"/>
      <c r="H203" s="68" t="n"/>
      <c r="I203" s="68" t="n"/>
      <c r="J203" s="68" t="n"/>
      <c r="K203" s="68" t="n"/>
      <c r="L203" s="68" t="n"/>
      <c r="M203" s="68" t="n"/>
      <c r="N203" s="68" t="n"/>
      <c r="O203" s="68" t="n"/>
      <c r="P203" s="68" t="n"/>
      <c r="Q203" s="68" t="n"/>
      <c r="R203" s="68" t="n"/>
      <c r="S203" s="47" t="n"/>
      <c r="T203" s="47" t="n"/>
      <c r="U203" s="47" t="n"/>
      <c r="V203" s="199" t="n"/>
      <c r="W203" s="199" t="n"/>
      <c r="X203" s="199" t="n"/>
    </row>
    <row r="204">
      <c r="F204" s="68" t="n"/>
      <c r="G204" s="68" t="n"/>
      <c r="H204" s="68" t="n"/>
      <c r="I204" s="68" t="n"/>
      <c r="J204" s="68" t="n"/>
      <c r="K204" s="68" t="n"/>
      <c r="L204" s="68" t="n"/>
      <c r="M204" s="68" t="n"/>
      <c r="N204" s="68" t="n"/>
      <c r="O204" s="68" t="n"/>
      <c r="P204" s="68" t="n"/>
      <c r="Q204" s="68" t="n"/>
      <c r="R204" s="68" t="n"/>
      <c r="S204" s="47" t="n"/>
      <c r="T204" s="47" t="n"/>
      <c r="U204" s="47" t="n"/>
      <c r="V204" s="199" t="n"/>
      <c r="W204" s="199" t="n"/>
      <c r="X204" s="199" t="n"/>
    </row>
    <row r="205">
      <c r="F205" s="68" t="n"/>
      <c r="G205" s="68" t="n"/>
      <c r="H205" s="68" t="n"/>
      <c r="I205" s="68" t="n"/>
      <c r="J205" s="68" t="n"/>
      <c r="K205" s="68" t="n"/>
      <c r="L205" s="68" t="n"/>
      <c r="M205" s="68" t="n"/>
      <c r="N205" s="68" t="n"/>
      <c r="O205" s="68" t="n"/>
      <c r="P205" s="68" t="n"/>
      <c r="Q205" s="68" t="n"/>
      <c r="R205" s="68" t="n"/>
      <c r="S205" s="47" t="n"/>
      <c r="T205" s="47" t="n"/>
      <c r="U205" s="47" t="n"/>
      <c r="V205" s="199" t="n"/>
      <c r="W205" s="199" t="n"/>
      <c r="X205" s="199" t="n"/>
    </row>
    <row r="206">
      <c r="F206" s="68" t="n"/>
      <c r="G206" s="68" t="n"/>
      <c r="H206" s="68" t="n"/>
      <c r="I206" s="68" t="n"/>
      <c r="J206" s="68" t="n"/>
      <c r="K206" s="68" t="n"/>
      <c r="L206" s="68" t="n"/>
      <c r="M206" s="68" t="n"/>
      <c r="N206" s="68" t="n"/>
      <c r="O206" s="68" t="n"/>
      <c r="P206" s="68" t="n"/>
      <c r="Q206" s="68" t="n"/>
      <c r="R206" s="68" t="n"/>
      <c r="S206" s="47" t="n"/>
      <c r="T206" s="47" t="n"/>
      <c r="U206" s="47" t="n"/>
      <c r="V206" s="199" t="n"/>
      <c r="W206" s="199" t="n"/>
      <c r="X206" s="199" t="n"/>
    </row>
    <row r="207">
      <c r="F207" s="68" t="n"/>
      <c r="G207" s="68" t="n"/>
      <c r="H207" s="68" t="n"/>
      <c r="I207" s="68" t="n"/>
      <c r="J207" s="68" t="n"/>
      <c r="K207" s="68" t="n"/>
      <c r="L207" s="68" t="n"/>
      <c r="M207" s="68" t="n"/>
      <c r="N207" s="68" t="n"/>
      <c r="O207" s="68" t="n"/>
      <c r="P207" s="68" t="n"/>
      <c r="Q207" s="68" t="n"/>
      <c r="R207" s="68" t="n"/>
      <c r="S207" s="47" t="n"/>
      <c r="T207" s="47" t="n"/>
      <c r="U207" s="47" t="n"/>
      <c r="V207" s="199" t="n"/>
      <c r="W207" s="199" t="n"/>
      <c r="X207" s="199" t="n"/>
    </row>
    <row r="208">
      <c r="F208" s="68" t="n"/>
      <c r="G208" s="68" t="n"/>
      <c r="H208" s="68" t="n"/>
      <c r="I208" s="68" t="n"/>
      <c r="J208" s="68" t="n"/>
      <c r="K208" s="68" t="n"/>
      <c r="L208" s="68" t="n"/>
      <c r="M208" s="68" t="n"/>
      <c r="N208" s="68" t="n"/>
      <c r="O208" s="68" t="n"/>
      <c r="P208" s="68" t="n"/>
      <c r="Q208" s="68" t="n"/>
      <c r="R208" s="68" t="n"/>
      <c r="S208" s="47" t="n"/>
      <c r="T208" s="47" t="n"/>
      <c r="U208" s="47" t="n"/>
      <c r="V208" s="199" t="n"/>
      <c r="W208" s="199" t="n"/>
      <c r="X208" s="199" t="n"/>
    </row>
    <row r="209">
      <c r="F209" s="68" t="n"/>
      <c r="G209" s="68" t="n"/>
      <c r="H209" s="68" t="n"/>
      <c r="I209" s="68" t="n"/>
      <c r="J209" s="68" t="n"/>
      <c r="K209" s="68" t="n"/>
      <c r="L209" s="68" t="n"/>
      <c r="M209" s="68" t="n"/>
      <c r="N209" s="68" t="n"/>
      <c r="O209" s="68" t="n"/>
      <c r="P209" s="68" t="n"/>
      <c r="Q209" s="68" t="n"/>
      <c r="R209" s="68" t="n"/>
      <c r="S209" s="47" t="n"/>
      <c r="T209" s="47" t="n"/>
      <c r="U209" s="47" t="n"/>
      <c r="V209" s="199" t="n"/>
      <c r="W209" s="199" t="n"/>
      <c r="X209" s="199" t="n"/>
    </row>
    <row r="210">
      <c r="F210" s="68" t="n"/>
      <c r="G210" s="68" t="n"/>
      <c r="H210" s="68" t="n"/>
      <c r="I210" s="68" t="n"/>
      <c r="J210" s="68" t="n"/>
      <c r="K210" s="68" t="n"/>
      <c r="L210" s="68" t="n"/>
      <c r="M210" s="68" t="n"/>
      <c r="N210" s="68" t="n"/>
      <c r="O210" s="68" t="n"/>
      <c r="P210" s="68" t="n"/>
      <c r="Q210" s="68" t="n"/>
      <c r="R210" s="68" t="n"/>
      <c r="S210" s="47" t="n"/>
      <c r="T210" s="47" t="n"/>
      <c r="U210" s="47" t="n"/>
      <c r="V210" s="199" t="n"/>
      <c r="W210" s="199" t="n"/>
      <c r="X210" s="199" t="n"/>
    </row>
    <row r="211">
      <c r="F211" s="68" t="n"/>
      <c r="G211" s="68" t="n"/>
      <c r="H211" s="68" t="n"/>
      <c r="I211" s="68" t="n"/>
      <c r="J211" s="68" t="n"/>
      <c r="K211" s="68" t="n"/>
      <c r="L211" s="68" t="n"/>
      <c r="M211" s="68" t="n"/>
      <c r="N211" s="68" t="n"/>
      <c r="O211" s="68" t="n"/>
      <c r="P211" s="68" t="n"/>
      <c r="Q211" s="68" t="n"/>
      <c r="R211" s="68" t="n"/>
      <c r="S211" s="47" t="n"/>
      <c r="T211" s="47" t="n"/>
      <c r="U211" s="47" t="n"/>
      <c r="V211" s="199" t="n"/>
      <c r="W211" s="199" t="n"/>
      <c r="X211" s="199" t="n"/>
    </row>
    <row r="212">
      <c r="F212" s="68" t="n"/>
      <c r="G212" s="68" t="n"/>
      <c r="H212" s="68" t="n"/>
      <c r="I212" s="68" t="n"/>
      <c r="J212" s="68" t="n"/>
      <c r="K212" s="68" t="n"/>
      <c r="L212" s="68" t="n"/>
      <c r="M212" s="68" t="n"/>
      <c r="N212" s="68" t="n"/>
      <c r="O212" s="68" t="n"/>
      <c r="P212" s="68" t="n"/>
      <c r="Q212" s="68" t="n"/>
      <c r="R212" s="68" t="n"/>
      <c r="S212" s="47" t="n"/>
      <c r="T212" s="47" t="n"/>
      <c r="U212" s="47" t="n"/>
      <c r="V212" s="199" t="n"/>
      <c r="W212" s="199" t="n"/>
      <c r="X212" s="199" t="n"/>
    </row>
    <row r="213">
      <c r="F213" s="68" t="n"/>
      <c r="G213" s="68" t="n"/>
      <c r="H213" s="68" t="n"/>
      <c r="I213" s="68" t="n"/>
      <c r="J213" s="68" t="n"/>
      <c r="K213" s="68" t="n"/>
      <c r="L213" s="68" t="n"/>
      <c r="M213" s="68" t="n"/>
      <c r="N213" s="68" t="n"/>
      <c r="O213" s="68" t="n"/>
      <c r="P213" s="68" t="n"/>
      <c r="Q213" s="68" t="n"/>
      <c r="R213" s="68" t="n"/>
      <c r="S213" s="47" t="n"/>
      <c r="T213" s="47" t="n"/>
      <c r="U213" s="47" t="n"/>
      <c r="V213" s="199" t="n"/>
      <c r="W213" s="199" t="n"/>
      <c r="X213" s="199" t="n"/>
    </row>
    <row r="214">
      <c r="F214" s="68" t="n"/>
      <c r="G214" s="68" t="n"/>
      <c r="H214" s="68" t="n"/>
      <c r="I214" s="68" t="n"/>
      <c r="J214" s="68" t="n"/>
      <c r="K214" s="68" t="n"/>
      <c r="L214" s="68" t="n"/>
      <c r="M214" s="68" t="n"/>
      <c r="N214" s="68" t="n"/>
      <c r="O214" s="68" t="n"/>
      <c r="P214" s="68" t="n"/>
      <c r="Q214" s="68" t="n"/>
      <c r="R214" s="68" t="n"/>
      <c r="S214" s="47" t="n"/>
      <c r="T214" s="47" t="n"/>
      <c r="U214" s="47" t="n"/>
      <c r="V214" s="199" t="n"/>
      <c r="W214" s="199" t="n"/>
      <c r="X214" s="199" t="n"/>
    </row>
    <row r="215">
      <c r="F215" s="68" t="n"/>
      <c r="G215" s="68" t="n"/>
      <c r="H215" s="68" t="n"/>
      <c r="I215" s="68" t="n"/>
      <c r="J215" s="68" t="n"/>
      <c r="K215" s="68" t="n"/>
      <c r="L215" s="68" t="n"/>
      <c r="M215" s="68" t="n"/>
      <c r="N215" s="68" t="n"/>
      <c r="O215" s="68" t="n"/>
      <c r="P215" s="68" t="n"/>
      <c r="Q215" s="68" t="n"/>
      <c r="R215" s="68" t="n"/>
      <c r="S215" s="47" t="n"/>
      <c r="T215" s="47" t="n"/>
      <c r="U215" s="47" t="n"/>
      <c r="V215" s="199" t="n"/>
      <c r="W215" s="199" t="n"/>
      <c r="X215" s="199" t="n"/>
    </row>
    <row r="216">
      <c r="F216" s="68" t="n"/>
      <c r="G216" s="68" t="n"/>
      <c r="H216" s="68" t="n"/>
      <c r="I216" s="68" t="n"/>
      <c r="J216" s="68" t="n"/>
      <c r="K216" s="68" t="n"/>
      <c r="L216" s="68" t="n"/>
      <c r="M216" s="68" t="n"/>
      <c r="N216" s="68" t="n"/>
      <c r="O216" s="68" t="n"/>
      <c r="P216" s="68" t="n"/>
      <c r="Q216" s="68" t="n"/>
      <c r="R216" s="68" t="n"/>
      <c r="S216" s="47" t="n"/>
      <c r="T216" s="47" t="n"/>
      <c r="U216" s="47" t="n"/>
      <c r="V216" s="199" t="n"/>
      <c r="W216" s="199" t="n"/>
      <c r="X216" s="199" t="n"/>
    </row>
    <row r="217">
      <c r="F217" s="68" t="n"/>
      <c r="G217" s="68" t="n"/>
      <c r="H217" s="68" t="n"/>
      <c r="I217" s="68" t="n"/>
      <c r="J217" s="68" t="n"/>
      <c r="K217" s="68" t="n"/>
      <c r="L217" s="68" t="n"/>
      <c r="M217" s="68" t="n"/>
      <c r="N217" s="68" t="n"/>
      <c r="O217" s="68" t="n"/>
      <c r="P217" s="68" t="n"/>
      <c r="Q217" s="68" t="n"/>
      <c r="R217" s="68" t="n"/>
      <c r="S217" s="47" t="n"/>
      <c r="T217" s="47" t="n"/>
      <c r="U217" s="47" t="n"/>
      <c r="V217" s="199" t="n"/>
      <c r="W217" s="199" t="n"/>
      <c r="X217" s="199" t="n"/>
    </row>
    <row r="218">
      <c r="F218" s="68" t="n"/>
      <c r="G218" s="68" t="n"/>
      <c r="H218" s="68" t="n"/>
      <c r="I218" s="68" t="n"/>
      <c r="J218" s="68" t="n"/>
      <c r="K218" s="68" t="n"/>
      <c r="L218" s="68" t="n"/>
      <c r="M218" s="68" t="n"/>
      <c r="N218" s="68" t="n"/>
      <c r="O218" s="68" t="n"/>
      <c r="P218" s="68" t="n"/>
      <c r="Q218" s="68" t="n"/>
      <c r="R218" s="68" t="n"/>
      <c r="S218" s="47" t="n"/>
      <c r="T218" s="47" t="n"/>
      <c r="U218" s="47" t="n"/>
      <c r="V218" s="199" t="n"/>
      <c r="W218" s="199" t="n"/>
      <c r="X218" s="199" t="n"/>
    </row>
    <row r="219">
      <c r="F219" s="68" t="n"/>
      <c r="G219" s="68" t="n"/>
      <c r="H219" s="68" t="n"/>
      <c r="I219" s="68" t="n"/>
      <c r="J219" s="68" t="n"/>
      <c r="K219" s="68" t="n"/>
      <c r="L219" s="68" t="n"/>
      <c r="M219" s="68" t="n"/>
      <c r="N219" s="68" t="n"/>
      <c r="O219" s="68" t="n"/>
      <c r="P219" s="68" t="n"/>
      <c r="Q219" s="68" t="n"/>
      <c r="R219" s="68" t="n"/>
      <c r="S219" s="47" t="n"/>
      <c r="T219" s="47" t="n"/>
      <c r="U219" s="47" t="n"/>
      <c r="V219" s="199" t="n"/>
      <c r="W219" s="199" t="n"/>
      <c r="X219" s="199" t="n"/>
    </row>
    <row r="220">
      <c r="F220" s="68" t="n"/>
      <c r="G220" s="68" t="n"/>
      <c r="H220" s="68" t="n"/>
      <c r="I220" s="68" t="n"/>
      <c r="J220" s="68" t="n"/>
      <c r="K220" s="68" t="n"/>
      <c r="L220" s="68" t="n"/>
      <c r="M220" s="68" t="n"/>
      <c r="N220" s="68" t="n"/>
      <c r="O220" s="68" t="n"/>
      <c r="P220" s="68" t="n"/>
      <c r="Q220" s="68" t="n"/>
      <c r="R220" s="68" t="n"/>
      <c r="S220" s="47" t="n"/>
      <c r="T220" s="47" t="n"/>
      <c r="U220" s="47" t="n"/>
      <c r="V220" s="199" t="n"/>
      <c r="W220" s="199" t="n"/>
      <c r="X220" s="199" t="n"/>
    </row>
    <row r="221">
      <c r="F221" s="68" t="n"/>
      <c r="G221" s="68" t="n"/>
      <c r="H221" s="68" t="n"/>
      <c r="I221" s="68" t="n"/>
      <c r="J221" s="68" t="n"/>
      <c r="K221" s="68" t="n"/>
      <c r="L221" s="68" t="n"/>
      <c r="M221" s="68" t="n"/>
      <c r="N221" s="68" t="n"/>
      <c r="O221" s="68" t="n"/>
      <c r="P221" s="68" t="n"/>
      <c r="Q221" s="68" t="n"/>
      <c r="R221" s="68" t="n"/>
      <c r="S221" s="47" t="n"/>
      <c r="T221" s="47" t="n"/>
      <c r="U221" s="47" t="n"/>
      <c r="V221" s="199" t="n"/>
      <c r="W221" s="199" t="n"/>
      <c r="X221" s="199" t="n"/>
    </row>
    <row r="222">
      <c r="F222" s="68" t="n"/>
      <c r="G222" s="68" t="n"/>
      <c r="H222" s="68" t="n"/>
      <c r="I222" s="68" t="n"/>
      <c r="J222" s="68" t="n"/>
      <c r="K222" s="68" t="n"/>
      <c r="L222" s="68" t="n"/>
      <c r="M222" s="68" t="n"/>
      <c r="N222" s="68" t="n"/>
      <c r="O222" s="68" t="n"/>
      <c r="P222" s="68" t="n"/>
      <c r="Q222" s="68" t="n"/>
      <c r="R222" s="68" t="n"/>
      <c r="S222" s="47" t="n"/>
      <c r="T222" s="47" t="n"/>
      <c r="U222" s="47" t="n"/>
      <c r="V222" s="199" t="n"/>
      <c r="W222" s="199" t="n"/>
      <c r="X222" s="199" t="n"/>
    </row>
    <row r="223">
      <c r="F223" s="68" t="n"/>
      <c r="G223" s="68" t="n"/>
      <c r="H223" s="68" t="n"/>
      <c r="I223" s="68" t="n"/>
      <c r="J223" s="68" t="n"/>
      <c r="K223" s="68" t="n"/>
      <c r="L223" s="68" t="n"/>
      <c r="M223" s="68" t="n"/>
      <c r="N223" s="68" t="n"/>
      <c r="O223" s="68" t="n"/>
      <c r="P223" s="68" t="n"/>
      <c r="Q223" s="68" t="n"/>
      <c r="R223" s="68" t="n"/>
      <c r="S223" s="47" t="n"/>
      <c r="T223" s="47" t="n"/>
      <c r="U223" s="47" t="n"/>
      <c r="V223" s="199" t="n"/>
      <c r="W223" s="199" t="n"/>
      <c r="X223" s="199" t="n"/>
    </row>
    <row r="224">
      <c r="F224" s="68" t="n"/>
      <c r="G224" s="68" t="n"/>
      <c r="H224" s="68" t="n"/>
      <c r="I224" s="68" t="n"/>
      <c r="J224" s="68" t="n"/>
      <c r="K224" s="68" t="n"/>
      <c r="L224" s="68" t="n"/>
      <c r="M224" s="68" t="n"/>
      <c r="N224" s="68" t="n"/>
      <c r="O224" s="68" t="n"/>
      <c r="P224" s="68" t="n"/>
      <c r="Q224" s="68" t="n"/>
      <c r="R224" s="68" t="n"/>
      <c r="S224" s="47" t="n"/>
      <c r="T224" s="47" t="n"/>
      <c r="U224" s="47" t="n"/>
      <c r="V224" s="199" t="n"/>
      <c r="W224" s="199" t="n"/>
      <c r="X224" s="199" t="n"/>
    </row>
    <row r="225">
      <c r="F225" s="68" t="n"/>
      <c r="G225" s="68" t="n"/>
      <c r="H225" s="68" t="n"/>
      <c r="I225" s="68" t="n"/>
      <c r="J225" s="68" t="n"/>
      <c r="K225" s="68" t="n"/>
      <c r="L225" s="68" t="n"/>
      <c r="M225" s="68" t="n"/>
      <c r="N225" s="68" t="n"/>
      <c r="O225" s="68" t="n"/>
      <c r="P225" s="68" t="n"/>
      <c r="Q225" s="68" t="n"/>
      <c r="R225" s="68" t="n"/>
      <c r="S225" s="47" t="n"/>
      <c r="T225" s="47" t="n"/>
      <c r="U225" s="47" t="n"/>
      <c r="V225" s="199" t="n"/>
      <c r="W225" s="199" t="n"/>
      <c r="X225" s="199" t="n"/>
    </row>
    <row r="226">
      <c r="F226" s="68" t="n"/>
      <c r="G226" s="68" t="n"/>
      <c r="H226" s="68" t="n"/>
      <c r="I226" s="68" t="n"/>
      <c r="J226" s="68" t="n"/>
      <c r="K226" s="68" t="n"/>
      <c r="L226" s="68" t="n"/>
      <c r="M226" s="68" t="n"/>
      <c r="N226" s="68" t="n"/>
      <c r="O226" s="68" t="n"/>
      <c r="P226" s="68" t="n"/>
      <c r="Q226" s="68" t="n"/>
      <c r="R226" s="68" t="n"/>
      <c r="S226" s="47" t="n"/>
      <c r="T226" s="47" t="n"/>
      <c r="U226" s="47" t="n"/>
      <c r="V226" s="199" t="n"/>
      <c r="W226" s="199" t="n"/>
      <c r="X226" s="199" t="n"/>
    </row>
    <row r="227">
      <c r="F227" s="68" t="n"/>
      <c r="G227" s="68" t="n"/>
      <c r="H227" s="68" t="n"/>
      <c r="I227" s="68" t="n"/>
      <c r="J227" s="68" t="n"/>
      <c r="K227" s="68" t="n"/>
      <c r="L227" s="68" t="n"/>
      <c r="M227" s="68" t="n"/>
      <c r="N227" s="68" t="n"/>
      <c r="O227" s="68" t="n"/>
      <c r="P227" s="68" t="n"/>
      <c r="Q227" s="68" t="n"/>
      <c r="R227" s="68" t="n"/>
      <c r="S227" s="47" t="n"/>
      <c r="T227" s="47" t="n"/>
      <c r="U227" s="47" t="n"/>
      <c r="V227" s="199" t="n"/>
      <c r="W227" s="199" t="n"/>
      <c r="X227" s="199" t="n"/>
    </row>
    <row r="228">
      <c r="F228" s="68" t="n"/>
      <c r="G228" s="68" t="n"/>
      <c r="H228" s="68" t="n"/>
      <c r="I228" s="68" t="n"/>
      <c r="J228" s="68" t="n"/>
      <c r="K228" s="68" t="n"/>
      <c r="L228" s="68" t="n"/>
      <c r="M228" s="68" t="n"/>
      <c r="N228" s="68" t="n"/>
      <c r="O228" s="68" t="n"/>
      <c r="P228" s="68" t="n"/>
      <c r="Q228" s="68" t="n"/>
      <c r="R228" s="68" t="n"/>
      <c r="S228" s="47" t="n"/>
      <c r="T228" s="47" t="n"/>
      <c r="U228" s="47" t="n"/>
      <c r="V228" s="199" t="n"/>
      <c r="W228" s="199" t="n"/>
      <c r="X228" s="199" t="n"/>
    </row>
    <row r="229">
      <c r="F229" s="68" t="n"/>
      <c r="G229" s="68" t="n"/>
      <c r="H229" s="68" t="n"/>
      <c r="I229" s="68" t="n"/>
      <c r="J229" s="68" t="n"/>
      <c r="K229" s="68" t="n"/>
      <c r="L229" s="68" t="n"/>
      <c r="M229" s="68" t="n"/>
      <c r="N229" s="68" t="n"/>
      <c r="O229" s="68" t="n"/>
      <c r="P229" s="68" t="n"/>
      <c r="Q229" s="68" t="n"/>
      <c r="R229" s="68" t="n"/>
      <c r="S229" s="47" t="n"/>
      <c r="T229" s="47" t="n"/>
      <c r="U229" s="47" t="n"/>
      <c r="V229" s="199" t="n"/>
      <c r="W229" s="199" t="n"/>
      <c r="X229" s="199" t="n"/>
    </row>
    <row r="230">
      <c r="F230" s="68" t="n"/>
      <c r="G230" s="68" t="n"/>
      <c r="H230" s="68" t="n"/>
      <c r="I230" s="68" t="n"/>
      <c r="J230" s="68" t="n"/>
      <c r="K230" s="68" t="n"/>
      <c r="L230" s="68" t="n"/>
      <c r="M230" s="68" t="n"/>
      <c r="N230" s="68" t="n"/>
      <c r="O230" s="68" t="n"/>
      <c r="P230" s="68" t="n"/>
      <c r="Q230" s="68" t="n"/>
      <c r="R230" s="68" t="n"/>
      <c r="S230" s="47" t="n"/>
      <c r="T230" s="47" t="n"/>
      <c r="U230" s="47" t="n"/>
      <c r="V230" s="199" t="n"/>
      <c r="W230" s="199" t="n"/>
      <c r="X230" s="199" t="n"/>
    </row>
    <row r="231">
      <c r="F231" s="68" t="n"/>
      <c r="G231" s="68" t="n"/>
      <c r="H231" s="68" t="n"/>
      <c r="I231" s="68" t="n"/>
      <c r="J231" s="68" t="n"/>
      <c r="K231" s="68" t="n"/>
      <c r="L231" s="68" t="n"/>
      <c r="M231" s="68" t="n"/>
      <c r="N231" s="68" t="n"/>
      <c r="O231" s="68" t="n"/>
      <c r="P231" s="68" t="n"/>
      <c r="Q231" s="68" t="n"/>
      <c r="R231" s="68" t="n"/>
      <c r="S231" s="47" t="n"/>
      <c r="T231" s="47" t="n"/>
      <c r="U231" s="47" t="n"/>
      <c r="V231" s="199" t="n"/>
      <c r="W231" s="199" t="n"/>
      <c r="X231" s="199" t="n"/>
    </row>
    <row r="232">
      <c r="F232" s="68" t="n"/>
      <c r="G232" s="68" t="n"/>
      <c r="H232" s="68" t="n"/>
      <c r="I232" s="68" t="n"/>
      <c r="J232" s="68" t="n"/>
      <c r="K232" s="68" t="n"/>
      <c r="L232" s="68" t="n"/>
      <c r="M232" s="68" t="n"/>
      <c r="N232" s="68" t="n"/>
      <c r="O232" s="68" t="n"/>
      <c r="P232" s="68" t="n"/>
      <c r="Q232" s="68" t="n"/>
      <c r="R232" s="68" t="n"/>
      <c r="S232" s="47" t="n"/>
      <c r="T232" s="47" t="n"/>
      <c r="U232" s="47" t="n"/>
      <c r="V232" s="199" t="n"/>
      <c r="W232" s="199" t="n"/>
      <c r="X232" s="199" t="n"/>
    </row>
    <row r="233">
      <c r="F233" s="68" t="n"/>
      <c r="G233" s="68" t="n"/>
      <c r="H233" s="68" t="n"/>
      <c r="I233" s="68" t="n"/>
      <c r="J233" s="68" t="n"/>
      <c r="K233" s="68" t="n"/>
      <c r="L233" s="68" t="n"/>
      <c r="M233" s="68" t="n"/>
      <c r="N233" s="68" t="n"/>
      <c r="O233" s="68" t="n"/>
      <c r="P233" s="68" t="n"/>
      <c r="Q233" s="68" t="n"/>
      <c r="R233" s="68" t="n"/>
      <c r="S233" s="47" t="n"/>
      <c r="T233" s="47" t="n"/>
      <c r="U233" s="47" t="n"/>
      <c r="V233" s="199" t="n"/>
      <c r="W233" s="199" t="n"/>
      <c r="X233" s="199" t="n"/>
    </row>
    <row r="234">
      <c r="F234" s="68" t="n"/>
      <c r="G234" s="68" t="n"/>
      <c r="H234" s="68" t="n"/>
      <c r="I234" s="68" t="n"/>
      <c r="J234" s="68" t="n"/>
      <c r="K234" s="68" t="n"/>
      <c r="L234" s="68" t="n"/>
      <c r="M234" s="68" t="n"/>
      <c r="N234" s="68" t="n"/>
      <c r="O234" s="68" t="n"/>
      <c r="P234" s="68" t="n"/>
      <c r="Q234" s="68" t="n"/>
      <c r="R234" s="68" t="n"/>
      <c r="S234" s="47" t="n"/>
      <c r="T234" s="47" t="n"/>
      <c r="U234" s="47" t="n"/>
      <c r="V234" s="199" t="n"/>
      <c r="W234" s="199" t="n"/>
      <c r="X234" s="199" t="n"/>
    </row>
    <row r="235">
      <c r="F235" s="68" t="n"/>
      <c r="G235" s="68" t="n"/>
      <c r="H235" s="68" t="n"/>
      <c r="I235" s="68" t="n"/>
      <c r="J235" s="68" t="n"/>
      <c r="K235" s="68" t="n"/>
      <c r="L235" s="68" t="n"/>
      <c r="M235" s="68" t="n"/>
      <c r="N235" s="68" t="n"/>
      <c r="O235" s="68" t="n"/>
      <c r="P235" s="68" t="n"/>
      <c r="Q235" s="68" t="n"/>
      <c r="R235" s="68" t="n"/>
      <c r="S235" s="47" t="n"/>
      <c r="T235" s="47" t="n"/>
      <c r="U235" s="47" t="n"/>
      <c r="V235" s="199" t="n"/>
      <c r="W235" s="199" t="n"/>
      <c r="X235" s="199" t="n"/>
    </row>
    <row r="236">
      <c r="F236" s="68" t="n"/>
      <c r="G236" s="68" t="n"/>
      <c r="H236" s="68" t="n"/>
      <c r="I236" s="68" t="n"/>
      <c r="J236" s="68" t="n"/>
      <c r="K236" s="68" t="n"/>
      <c r="L236" s="68" t="n"/>
      <c r="M236" s="68" t="n"/>
      <c r="N236" s="68" t="n"/>
      <c r="O236" s="68" t="n"/>
      <c r="P236" s="68" t="n"/>
      <c r="Q236" s="68" t="n"/>
      <c r="R236" s="68" t="n"/>
      <c r="S236" s="47" t="n"/>
      <c r="T236" s="47" t="n"/>
      <c r="U236" s="47" t="n"/>
      <c r="V236" s="199" t="n"/>
      <c r="W236" s="199" t="n"/>
      <c r="X236" s="199" t="n"/>
    </row>
    <row r="237">
      <c r="F237" s="68" t="n"/>
      <c r="G237" s="68" t="n"/>
      <c r="H237" s="68" t="n"/>
      <c r="I237" s="68" t="n"/>
      <c r="J237" s="68" t="n"/>
      <c r="K237" s="68" t="n"/>
      <c r="L237" s="68" t="n"/>
      <c r="M237" s="68" t="n"/>
      <c r="N237" s="68" t="n"/>
      <c r="O237" s="68" t="n"/>
      <c r="P237" s="68" t="n"/>
      <c r="Q237" s="68" t="n"/>
      <c r="R237" s="68" t="n"/>
      <c r="S237" s="47" t="n"/>
      <c r="T237" s="47" t="n"/>
      <c r="U237" s="47" t="n"/>
      <c r="V237" s="199" t="n"/>
      <c r="W237" s="199" t="n"/>
      <c r="X237" s="199" t="n"/>
    </row>
    <row r="238">
      <c r="F238" s="68" t="n"/>
      <c r="G238" s="68" t="n"/>
      <c r="H238" s="68" t="n"/>
      <c r="I238" s="68" t="n"/>
      <c r="J238" s="68" t="n"/>
      <c r="K238" s="68" t="n"/>
      <c r="L238" s="68" t="n"/>
      <c r="M238" s="68" t="n"/>
      <c r="N238" s="68" t="n"/>
      <c r="O238" s="68" t="n"/>
      <c r="P238" s="68" t="n"/>
      <c r="Q238" s="68" t="n"/>
      <c r="R238" s="68" t="n"/>
      <c r="S238" s="47" t="n"/>
      <c r="T238" s="47" t="n"/>
      <c r="U238" s="47" t="n"/>
      <c r="V238" s="199" t="n"/>
      <c r="W238" s="199" t="n"/>
      <c r="X238" s="199" t="n"/>
    </row>
    <row r="239">
      <c r="F239" s="68" t="n"/>
      <c r="G239" s="68" t="n"/>
      <c r="H239" s="68" t="n"/>
      <c r="I239" s="68" t="n"/>
      <c r="J239" s="68" t="n"/>
      <c r="K239" s="68" t="n"/>
      <c r="L239" s="68" t="n"/>
      <c r="M239" s="68" t="n"/>
      <c r="N239" s="68" t="n"/>
      <c r="O239" s="68" t="n"/>
      <c r="P239" s="68" t="n"/>
      <c r="Q239" s="68" t="n"/>
      <c r="R239" s="68" t="n"/>
      <c r="S239" s="47" t="n"/>
      <c r="T239" s="47" t="n"/>
      <c r="U239" s="47" t="n"/>
      <c r="V239" s="199" t="n"/>
      <c r="W239" s="199" t="n"/>
      <c r="X239" s="199" t="n"/>
    </row>
    <row r="240">
      <c r="F240" s="68" t="n"/>
      <c r="G240" s="68" t="n"/>
      <c r="H240" s="68" t="n"/>
      <c r="I240" s="68" t="n"/>
      <c r="J240" s="68" t="n"/>
      <c r="K240" s="68" t="n"/>
      <c r="L240" s="68" t="n"/>
      <c r="M240" s="68" t="n"/>
      <c r="N240" s="68" t="n"/>
      <c r="O240" s="68" t="n"/>
      <c r="P240" s="68" t="n"/>
      <c r="Q240" s="68" t="n"/>
      <c r="R240" s="68" t="n"/>
      <c r="S240" s="47" t="n"/>
      <c r="T240" s="47" t="n"/>
      <c r="U240" s="47" t="n"/>
      <c r="V240" s="199" t="n"/>
      <c r="W240" s="199" t="n"/>
      <c r="X240" s="199" t="n"/>
    </row>
    <row r="241">
      <c r="F241" s="68" t="n"/>
      <c r="G241" s="68" t="n"/>
      <c r="H241" s="68" t="n"/>
      <c r="I241" s="68" t="n"/>
      <c r="J241" s="68" t="n"/>
      <c r="K241" s="68" t="n"/>
      <c r="L241" s="68" t="n"/>
      <c r="M241" s="68" t="n"/>
      <c r="N241" s="68" t="n"/>
      <c r="O241" s="68" t="n"/>
      <c r="P241" s="68" t="n"/>
      <c r="Q241" s="68" t="n"/>
      <c r="R241" s="68" t="n"/>
      <c r="S241" s="47" t="n"/>
      <c r="T241" s="47" t="n"/>
      <c r="U241" s="47" t="n"/>
      <c r="V241" s="199" t="n"/>
      <c r="W241" s="199" t="n"/>
      <c r="X241" s="199" t="n"/>
    </row>
    <row r="242">
      <c r="F242" s="68" t="n"/>
      <c r="G242" s="68" t="n"/>
      <c r="H242" s="68" t="n"/>
      <c r="I242" s="68" t="n"/>
      <c r="J242" s="68" t="n"/>
      <c r="K242" s="68" t="n"/>
      <c r="L242" s="68" t="n"/>
      <c r="M242" s="68" t="n"/>
      <c r="N242" s="68" t="n"/>
      <c r="O242" s="68" t="n"/>
      <c r="P242" s="68" t="n"/>
      <c r="Q242" s="68" t="n"/>
      <c r="R242" s="68" t="n"/>
      <c r="S242" s="47" t="n"/>
      <c r="T242" s="47" t="n"/>
      <c r="U242" s="47" t="n"/>
      <c r="V242" s="199" t="n"/>
      <c r="W242" s="199" t="n"/>
      <c r="X242" s="199" t="n"/>
    </row>
    <row r="243">
      <c r="F243" s="68" t="n"/>
      <c r="G243" s="68" t="n"/>
      <c r="H243" s="68" t="n"/>
      <c r="I243" s="68" t="n"/>
      <c r="J243" s="68" t="n"/>
      <c r="K243" s="68" t="n"/>
      <c r="L243" s="68" t="n"/>
      <c r="M243" s="68" t="n"/>
      <c r="N243" s="68" t="n"/>
      <c r="O243" s="68" t="n"/>
      <c r="P243" s="68" t="n"/>
      <c r="Q243" s="68" t="n"/>
      <c r="R243" s="68" t="n"/>
      <c r="S243" s="47" t="n"/>
      <c r="T243" s="47" t="n"/>
      <c r="U243" s="47" t="n"/>
      <c r="V243" s="199" t="n"/>
      <c r="W243" s="199" t="n"/>
      <c r="X243" s="199" t="n"/>
    </row>
    <row r="244">
      <c r="F244" s="68" t="n"/>
      <c r="G244" s="68" t="n"/>
      <c r="H244" s="68" t="n"/>
      <c r="I244" s="68" t="n"/>
      <c r="J244" s="68" t="n"/>
      <c r="K244" s="68" t="n"/>
      <c r="L244" s="68" t="n"/>
      <c r="M244" s="68" t="n"/>
      <c r="N244" s="68" t="n"/>
      <c r="O244" s="68" t="n"/>
      <c r="P244" s="68" t="n"/>
      <c r="Q244" s="68" t="n"/>
      <c r="R244" s="68" t="n"/>
      <c r="S244" s="47" t="n"/>
      <c r="T244" s="47" t="n"/>
      <c r="U244" s="47" t="n"/>
      <c r="V244" s="199" t="n"/>
      <c r="W244" s="199" t="n"/>
      <c r="X244" s="199" t="n"/>
    </row>
    <row r="245">
      <c r="F245" s="68" t="n"/>
      <c r="G245" s="68" t="n"/>
      <c r="H245" s="68" t="n"/>
      <c r="I245" s="68" t="n"/>
      <c r="J245" s="68" t="n"/>
      <c r="K245" s="68" t="n"/>
      <c r="L245" s="68" t="n"/>
      <c r="M245" s="68" t="n"/>
      <c r="N245" s="68" t="n"/>
      <c r="O245" s="68" t="n"/>
      <c r="P245" s="68" t="n"/>
      <c r="Q245" s="68" t="n"/>
      <c r="R245" s="68" t="n"/>
      <c r="S245" s="47" t="n"/>
      <c r="T245" s="47" t="n"/>
      <c r="U245" s="47" t="n"/>
      <c r="V245" s="199" t="n"/>
      <c r="W245" s="199" t="n"/>
      <c r="X245" s="199" t="n"/>
    </row>
    <row r="246">
      <c r="F246" s="68" t="n"/>
      <c r="G246" s="68" t="n"/>
      <c r="H246" s="68" t="n"/>
      <c r="I246" s="68" t="n"/>
      <c r="J246" s="68" t="n"/>
      <c r="K246" s="68" t="n"/>
      <c r="L246" s="68" t="n"/>
      <c r="M246" s="68" t="n"/>
      <c r="N246" s="68" t="n"/>
      <c r="O246" s="68" t="n"/>
      <c r="P246" s="68" t="n"/>
      <c r="Q246" s="68" t="n"/>
      <c r="R246" s="68" t="n"/>
      <c r="S246" s="47" t="n"/>
      <c r="T246" s="47" t="n"/>
      <c r="U246" s="47" t="n"/>
      <c r="V246" s="199" t="n"/>
      <c r="W246" s="199" t="n"/>
      <c r="X246" s="199" t="n"/>
    </row>
    <row r="247">
      <c r="F247" s="68" t="n"/>
      <c r="G247" s="68" t="n"/>
      <c r="H247" s="68" t="n"/>
      <c r="I247" s="68" t="n"/>
      <c r="J247" s="68" t="n"/>
      <c r="K247" s="68" t="n"/>
      <c r="L247" s="68" t="n"/>
      <c r="M247" s="68" t="n"/>
      <c r="N247" s="68" t="n"/>
      <c r="O247" s="68" t="n"/>
      <c r="P247" s="68" t="n"/>
      <c r="Q247" s="68" t="n"/>
      <c r="R247" s="68" t="n"/>
      <c r="S247" s="47" t="n"/>
      <c r="T247" s="47" t="n"/>
      <c r="U247" s="47" t="n"/>
      <c r="V247" s="199" t="n"/>
      <c r="W247" s="199" t="n"/>
      <c r="X247" s="199" t="n"/>
    </row>
    <row r="248">
      <c r="F248" s="68" t="n"/>
      <c r="G248" s="68" t="n"/>
      <c r="H248" s="68" t="n"/>
      <c r="I248" s="68" t="n"/>
      <c r="J248" s="68" t="n"/>
      <c r="K248" s="68" t="n"/>
      <c r="L248" s="68" t="n"/>
      <c r="M248" s="68" t="n"/>
      <c r="N248" s="68" t="n"/>
      <c r="O248" s="68" t="n"/>
      <c r="P248" s="68" t="n"/>
      <c r="Q248" s="68" t="n"/>
      <c r="R248" s="68" t="n"/>
      <c r="S248" s="47" t="n"/>
      <c r="T248" s="47" t="n"/>
      <c r="U248" s="47" t="n"/>
      <c r="V248" s="199" t="n"/>
      <c r="W248" s="199" t="n"/>
      <c r="X248" s="199" t="n"/>
    </row>
    <row r="249">
      <c r="F249" s="68" t="n"/>
      <c r="G249" s="68" t="n"/>
      <c r="H249" s="68" t="n"/>
      <c r="I249" s="68" t="n"/>
      <c r="J249" s="68" t="n"/>
      <c r="K249" s="68" t="n"/>
      <c r="L249" s="68" t="n"/>
      <c r="M249" s="68" t="n"/>
      <c r="N249" s="68" t="n"/>
      <c r="O249" s="68" t="n"/>
      <c r="P249" s="68" t="n"/>
      <c r="Q249" s="68" t="n"/>
      <c r="R249" s="68" t="n"/>
      <c r="S249" s="47" t="n"/>
      <c r="T249" s="47" t="n"/>
      <c r="U249" s="47" t="n"/>
      <c r="V249" s="199" t="n"/>
      <c r="W249" s="199" t="n"/>
      <c r="X249" s="199" t="n"/>
    </row>
    <row r="250">
      <c r="F250" s="68" t="n"/>
      <c r="G250" s="68" t="n"/>
      <c r="H250" s="68" t="n"/>
      <c r="I250" s="68" t="n"/>
      <c r="J250" s="68" t="n"/>
      <c r="K250" s="68" t="n"/>
      <c r="L250" s="68" t="n"/>
      <c r="M250" s="68" t="n"/>
      <c r="N250" s="68" t="n"/>
      <c r="O250" s="68" t="n"/>
      <c r="P250" s="68" t="n"/>
      <c r="Q250" s="68" t="n"/>
      <c r="R250" s="68" t="n"/>
      <c r="S250" s="47" t="n"/>
      <c r="T250" s="47" t="n"/>
      <c r="U250" s="47" t="n"/>
      <c r="V250" s="199" t="n"/>
      <c r="W250" s="199" t="n"/>
      <c r="X250" s="199" t="n"/>
    </row>
    <row r="251">
      <c r="F251" s="68" t="n"/>
      <c r="G251" s="68" t="n"/>
      <c r="H251" s="68" t="n"/>
      <c r="I251" s="68" t="n"/>
      <c r="J251" s="68" t="n"/>
      <c r="K251" s="68" t="n"/>
      <c r="L251" s="68" t="n"/>
      <c r="M251" s="68" t="n"/>
      <c r="N251" s="68" t="n"/>
      <c r="O251" s="68" t="n"/>
      <c r="P251" s="68" t="n"/>
      <c r="Q251" s="68" t="n"/>
      <c r="R251" s="68" t="n"/>
      <c r="S251" s="47" t="n"/>
      <c r="T251" s="47" t="n"/>
      <c r="U251" s="47" t="n"/>
      <c r="V251" s="199" t="n"/>
      <c r="W251" s="199" t="n"/>
      <c r="X251" s="199" t="n"/>
    </row>
    <row r="252">
      <c r="F252" s="68" t="n"/>
      <c r="G252" s="68" t="n"/>
      <c r="H252" s="68" t="n"/>
      <c r="I252" s="68" t="n"/>
      <c r="J252" s="68" t="n"/>
      <c r="K252" s="68" t="n"/>
      <c r="L252" s="68" t="n"/>
      <c r="M252" s="68" t="n"/>
      <c r="N252" s="68" t="n"/>
      <c r="O252" s="68" t="n"/>
      <c r="P252" s="68" t="n"/>
      <c r="Q252" s="68" t="n"/>
      <c r="R252" s="68" t="n"/>
      <c r="S252" s="47" t="n"/>
      <c r="T252" s="47" t="n"/>
      <c r="U252" s="47" t="n"/>
      <c r="V252" s="199" t="n"/>
      <c r="W252" s="199" t="n"/>
      <c r="X252" s="199" t="n"/>
    </row>
    <row r="253">
      <c r="F253" s="68" t="n"/>
      <c r="G253" s="68" t="n"/>
      <c r="H253" s="68" t="n"/>
      <c r="I253" s="68" t="n"/>
      <c r="J253" s="68" t="n"/>
      <c r="K253" s="68" t="n"/>
      <c r="L253" s="68" t="n"/>
      <c r="M253" s="68" t="n"/>
      <c r="N253" s="68" t="n"/>
      <c r="O253" s="68" t="n"/>
      <c r="P253" s="68" t="n"/>
      <c r="Q253" s="68" t="n"/>
      <c r="R253" s="68" t="n"/>
      <c r="S253" s="47" t="n"/>
      <c r="T253" s="47" t="n"/>
      <c r="U253" s="47" t="n"/>
      <c r="V253" s="199" t="n"/>
      <c r="W253" s="199" t="n"/>
      <c r="X253" s="199" t="n"/>
    </row>
    <row r="254">
      <c r="F254" s="68" t="n"/>
      <c r="G254" s="68" t="n"/>
      <c r="H254" s="68" t="n"/>
      <c r="I254" s="68" t="n"/>
      <c r="J254" s="68" t="n"/>
      <c r="K254" s="68" t="n"/>
      <c r="L254" s="68" t="n"/>
      <c r="M254" s="68" t="n"/>
      <c r="N254" s="68" t="n"/>
      <c r="O254" s="68" t="n"/>
      <c r="P254" s="68" t="n"/>
      <c r="Q254" s="68" t="n"/>
      <c r="R254" s="68" t="n"/>
      <c r="S254" s="47" t="n"/>
      <c r="T254" s="47" t="n"/>
      <c r="U254" s="47" t="n"/>
      <c r="V254" s="199" t="n"/>
      <c r="W254" s="199" t="n"/>
      <c r="X254" s="199" t="n"/>
    </row>
    <row r="255">
      <c r="F255" s="68" t="n"/>
      <c r="G255" s="68" t="n"/>
      <c r="H255" s="68" t="n"/>
      <c r="I255" s="68" t="n"/>
      <c r="J255" s="68" t="n"/>
      <c r="K255" s="68" t="n"/>
      <c r="L255" s="68" t="n"/>
      <c r="M255" s="68" t="n"/>
      <c r="N255" s="68" t="n"/>
      <c r="O255" s="68" t="n"/>
      <c r="P255" s="68" t="n"/>
      <c r="Q255" s="68" t="n"/>
      <c r="R255" s="68" t="n"/>
      <c r="S255" s="47" t="n"/>
      <c r="T255" s="47" t="n"/>
      <c r="U255" s="47" t="n"/>
      <c r="V255" s="199" t="n"/>
      <c r="W255" s="199" t="n"/>
      <c r="X255" s="199" t="n"/>
    </row>
    <row r="256">
      <c r="F256" s="68" t="n"/>
      <c r="G256" s="68" t="n"/>
      <c r="H256" s="68" t="n"/>
      <c r="I256" s="68" t="n"/>
      <c r="J256" s="68" t="n"/>
      <c r="K256" s="68" t="n"/>
      <c r="L256" s="68" t="n"/>
      <c r="M256" s="68" t="n"/>
      <c r="N256" s="68" t="n"/>
      <c r="O256" s="68" t="n"/>
      <c r="P256" s="68" t="n"/>
      <c r="Q256" s="68" t="n"/>
      <c r="R256" s="68" t="n"/>
      <c r="S256" s="47" t="n"/>
      <c r="T256" s="47" t="n"/>
      <c r="U256" s="47" t="n"/>
      <c r="V256" s="199" t="n"/>
      <c r="W256" s="199" t="n"/>
      <c r="X256" s="199" t="n"/>
    </row>
    <row r="257">
      <c r="F257" s="68" t="n"/>
      <c r="G257" s="68" t="n"/>
      <c r="H257" s="68" t="n"/>
      <c r="I257" s="68" t="n"/>
      <c r="J257" s="68" t="n"/>
      <c r="K257" s="68" t="n"/>
      <c r="L257" s="68" t="n"/>
      <c r="M257" s="68" t="n"/>
      <c r="N257" s="68" t="n"/>
      <c r="O257" s="68" t="n"/>
      <c r="P257" s="68" t="n"/>
      <c r="Q257" s="68" t="n"/>
      <c r="R257" s="68" t="n"/>
      <c r="S257" s="47" t="n"/>
      <c r="T257" s="47" t="n"/>
      <c r="U257" s="47" t="n"/>
      <c r="V257" s="199" t="n"/>
      <c r="W257" s="199" t="n"/>
      <c r="X257" s="199" t="n"/>
    </row>
  </sheetData>
  <autoFilter ref="A2:X75"/>
  <mergeCells count="2">
    <mergeCell ref="Y3:AB3"/>
    <mergeCell ref="Y4:AB4"/>
  </mergeCells>
  <pageMargins left="0.75" right="0.75" top="1" bottom="1" header="0" footer="0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Ariel Bettio</dc:creator>
  <dcterms:created xsi:type="dcterms:W3CDTF">2008-05-02T14:04:52Z</dcterms:created>
  <dcterms:modified xsi:type="dcterms:W3CDTF">2026-01-28T20:20:48Z</dcterms:modified>
  <cp:lastModifiedBy>Lorenzo Contigiani</cp:lastModifiedBy>
  <cp:lastPrinted>2019-07-23T14:09:00Z</cp:lastPrinted>
</cp:coreProperties>
</file>