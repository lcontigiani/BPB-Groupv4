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0.55\utn\REGISTROS\R016-01\"/>
    </mc:Choice>
  </mc:AlternateContent>
  <bookViews>
    <workbookView xWindow="0" yWindow="0" windowWidth="28800" windowHeight="12330" activeTab="1"/>
  </bookViews>
  <sheets>
    <sheet name="R016-01" sheetId="1" r:id="rId1"/>
    <sheet name="Auxiliar" sheetId="3" r:id="rId2"/>
  </sheets>
  <calcPr calcId="162913"/>
</workbook>
</file>

<file path=xl/calcChain.xml><?xml version="1.0" encoding="utf-8"?>
<calcChain xmlns="http://schemas.openxmlformats.org/spreadsheetml/2006/main">
  <c r="N8" i="1" l="1"/>
  <c r="H8" i="1"/>
  <c r="B39" i="1" l="1"/>
  <c r="C50" i="1" l="1"/>
  <c r="C49" i="1"/>
  <c r="C48" i="1"/>
  <c r="C47" i="1"/>
  <c r="B49" i="1"/>
  <c r="B47" i="1"/>
  <c r="B17" i="1"/>
  <c r="B15" i="1"/>
  <c r="B23" i="1"/>
  <c r="C46" i="1"/>
  <c r="C45" i="1"/>
  <c r="C44" i="1"/>
  <c r="C43" i="1"/>
  <c r="B45" i="1"/>
  <c r="B43" i="1"/>
  <c r="C42" i="1"/>
  <c r="C41" i="1"/>
  <c r="B41" i="1"/>
  <c r="C40" i="1"/>
  <c r="C39" i="1"/>
  <c r="C38" i="1"/>
  <c r="C37" i="1"/>
  <c r="B37" i="1"/>
  <c r="C36" i="1"/>
  <c r="C35" i="1"/>
  <c r="B35" i="1"/>
  <c r="C34" i="1"/>
  <c r="C33" i="1"/>
  <c r="B33" i="1"/>
  <c r="C32" i="1"/>
  <c r="C31" i="1"/>
  <c r="B31" i="1"/>
  <c r="C30" i="1"/>
  <c r="C29" i="1"/>
  <c r="B29" i="1"/>
  <c r="C28" i="1"/>
  <c r="C27" i="1"/>
  <c r="B27" i="1"/>
  <c r="C26" i="1"/>
  <c r="C25" i="1"/>
  <c r="B25" i="1"/>
  <c r="C24" i="1"/>
  <c r="C23" i="1"/>
  <c r="C16" i="1"/>
  <c r="C15" i="1"/>
  <c r="C18" i="1"/>
  <c r="C22" i="1"/>
  <c r="C21" i="1"/>
  <c r="C20" i="1"/>
  <c r="C19" i="1"/>
  <c r="C17" i="1"/>
  <c r="B21" i="1"/>
  <c r="B19" i="1"/>
</calcChain>
</file>

<file path=xl/sharedStrings.xml><?xml version="1.0" encoding="utf-8"?>
<sst xmlns="http://schemas.openxmlformats.org/spreadsheetml/2006/main" count="251" uniqueCount="94">
  <si>
    <t>ITEM</t>
  </si>
  <si>
    <t>Nº 1</t>
  </si>
  <si>
    <t>Nº 2</t>
  </si>
  <si>
    <t>Nº 3</t>
  </si>
  <si>
    <t>Nº 4</t>
  </si>
  <si>
    <t>Nº 5</t>
  </si>
  <si>
    <t>Nº 6</t>
  </si>
  <si>
    <t>Nº 7</t>
  </si>
  <si>
    <t>Nº 8</t>
  </si>
  <si>
    <t>Nº 10</t>
  </si>
  <si>
    <t xml:space="preserve">                                        </t>
  </si>
  <si>
    <t>PAG. 01 - 01</t>
  </si>
  <si>
    <t>Nº 9</t>
  </si>
  <si>
    <r>
      <t>MEDICIONES /</t>
    </r>
    <r>
      <rPr>
        <sz val="7"/>
        <rFont val="Arial"/>
        <family val="2"/>
      </rPr>
      <t>ACTUAL READINGS</t>
    </r>
    <r>
      <rPr>
        <sz val="8"/>
        <rFont val="Arial"/>
        <family val="2"/>
      </rPr>
      <t xml:space="preserve"> (µm)</t>
    </r>
  </si>
  <si>
    <t>PERMANENTE</t>
  </si>
  <si>
    <r>
      <t xml:space="preserve">D.NOMINAL / </t>
    </r>
    <r>
      <rPr>
        <sz val="5"/>
        <rFont val="Arial"/>
        <family val="2"/>
      </rPr>
      <t>NOMINAL DIM.</t>
    </r>
    <r>
      <rPr>
        <sz val="7"/>
        <rFont val="Arial"/>
        <family val="2"/>
      </rPr>
      <t xml:space="preserve">   (mm)</t>
    </r>
  </si>
  <si>
    <r>
      <t xml:space="preserve">UBIC. EN DEPOSITO / </t>
    </r>
    <r>
      <rPr>
        <sz val="6"/>
        <rFont val="Arial"/>
        <family val="2"/>
      </rPr>
      <t>LOCATION IN DEPOSITS</t>
    </r>
    <r>
      <rPr>
        <sz val="8"/>
        <rFont val="Arial"/>
        <family val="2"/>
      </rPr>
      <t>:</t>
    </r>
  </si>
  <si>
    <r>
      <t xml:space="preserve">PROVEEDOR / </t>
    </r>
    <r>
      <rPr>
        <sz val="6"/>
        <rFont val="Arial"/>
        <family val="2"/>
      </rPr>
      <t>SUPPLIER</t>
    </r>
    <r>
      <rPr>
        <sz val="8"/>
        <rFont val="Arial"/>
        <family val="2"/>
      </rPr>
      <t>:</t>
    </r>
  </si>
  <si>
    <r>
      <t xml:space="preserve">CRITERIO DE MUESTRA / </t>
    </r>
    <r>
      <rPr>
        <sz val="6"/>
        <rFont val="Arial"/>
        <family val="2"/>
      </rPr>
      <t>SAMPLE DISCRETION</t>
    </r>
    <r>
      <rPr>
        <sz val="8"/>
        <rFont val="Arial"/>
        <family val="2"/>
      </rPr>
      <t>:</t>
    </r>
  </si>
  <si>
    <t>Codigo</t>
  </si>
  <si>
    <t>Elegido</t>
  </si>
  <si>
    <t>C</t>
  </si>
  <si>
    <t>D</t>
  </si>
  <si>
    <t>B</t>
  </si>
  <si>
    <r>
      <t>LUGAR DE INSPEC.</t>
    </r>
    <r>
      <rPr>
        <sz val="8"/>
        <rFont val="Arial"/>
        <family val="2"/>
      </rPr>
      <t xml:space="preserve"> /    </t>
    </r>
    <r>
      <rPr>
        <sz val="5"/>
        <rFont val="Arial"/>
        <family val="2"/>
      </rPr>
      <t>NAME OF INSPECTION FACILITY</t>
    </r>
    <r>
      <rPr>
        <sz val="8"/>
        <rFont val="Arial"/>
        <family val="2"/>
      </rPr>
      <t xml:space="preserve">: </t>
    </r>
  </si>
  <si>
    <t>REV.</t>
  </si>
  <si>
    <r>
      <t xml:space="preserve">TOLERANCIA / </t>
    </r>
    <r>
      <rPr>
        <sz val="6"/>
        <rFont val="Arial"/>
        <family val="2"/>
      </rPr>
      <t>TOLERANCE</t>
    </r>
    <r>
      <rPr>
        <sz val="7"/>
        <rFont val="Arial"/>
        <family val="2"/>
      </rPr>
      <t xml:space="preserve"> (µm)</t>
    </r>
  </si>
  <si>
    <t>LABORATORIO BPB</t>
  </si>
  <si>
    <r>
      <t xml:space="preserve">PRODUCTO / </t>
    </r>
    <r>
      <rPr>
        <sz val="6"/>
        <rFont val="Arial"/>
        <family val="2"/>
      </rPr>
      <t>PRODUCT</t>
    </r>
    <r>
      <rPr>
        <sz val="8"/>
        <rFont val="Arial"/>
        <family val="2"/>
      </rPr>
      <t>:</t>
    </r>
  </si>
  <si>
    <t>* IDENTIFICAR EL TIPO DE DEFECTO CON LETRA INICIAL RESALTADA</t>
  </si>
  <si>
    <t>Observación:</t>
  </si>
  <si>
    <t>R016 - 01</t>
  </si>
  <si>
    <t>Resultado final de la inspección</t>
  </si>
  <si>
    <t>Total Lote</t>
  </si>
  <si>
    <t>Aprobado</t>
  </si>
  <si>
    <t>Retrabajar</t>
  </si>
  <si>
    <t>Scrap</t>
  </si>
  <si>
    <t>2º Calidad</t>
  </si>
  <si>
    <t xml:space="preserve">    FIRMA DEL INSPECTOR DE CALIDAD Y FECHA   /   NAME AND SIGNATURE OF THE INSPECTOR QUALITY</t>
  </si>
  <si>
    <r>
      <t xml:space="preserve">      </t>
    </r>
    <r>
      <rPr>
        <sz val="6"/>
        <rFont val="Arial"/>
        <family val="2"/>
      </rPr>
      <t xml:space="preserve">DOC. DE REF.
        </t>
    </r>
    <r>
      <rPr>
        <sz val="5"/>
        <rFont val="Arial"/>
        <family val="2"/>
      </rPr>
      <t>(PO#/PI#):</t>
    </r>
  </si>
  <si>
    <r>
      <t xml:space="preserve">   </t>
    </r>
    <r>
      <rPr>
        <sz val="6"/>
        <rFont val="Arial"/>
        <family val="2"/>
      </rPr>
      <t xml:space="preserve">PARTIDA/
   </t>
    </r>
    <r>
      <rPr>
        <sz val="5"/>
        <rFont val="Arial"/>
        <family val="2"/>
      </rPr>
      <t xml:space="preserve">  BATCH:</t>
    </r>
  </si>
  <si>
    <t>RESULTADO/ RESULT</t>
  </si>
  <si>
    <r>
      <rPr>
        <sz val="10"/>
        <rFont val="Calibri"/>
        <family val="2"/>
      </rPr>
      <t>Ø</t>
    </r>
    <r>
      <rPr>
        <sz val="10"/>
        <rFont val="Arial"/>
      </rPr>
      <t>12,5</t>
    </r>
  </si>
  <si>
    <r>
      <rPr>
        <sz val="10"/>
        <rFont val="Calibri"/>
        <family val="2"/>
      </rPr>
      <t>Ø</t>
    </r>
    <r>
      <rPr>
        <sz val="10"/>
        <rFont val="Arial"/>
      </rPr>
      <t>15</t>
    </r>
  </si>
  <si>
    <r>
      <rPr>
        <sz val="10"/>
        <rFont val="Calibri"/>
        <family val="2"/>
      </rPr>
      <t>Ø</t>
    </r>
    <r>
      <rPr>
        <sz val="10"/>
        <rFont val="Arial"/>
      </rPr>
      <t>18</t>
    </r>
  </si>
  <si>
    <r>
      <rPr>
        <sz val="10"/>
        <rFont val="Calibri"/>
        <family val="2"/>
      </rPr>
      <t>Ø</t>
    </r>
    <r>
      <rPr>
        <sz val="10"/>
        <rFont val="Arial"/>
      </rPr>
      <t>40</t>
    </r>
  </si>
  <si>
    <t>R125</t>
  </si>
  <si>
    <t>Ø10</t>
  </si>
  <si>
    <t>Rev</t>
  </si>
  <si>
    <t>Fecha</t>
  </si>
  <si>
    <t>A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</si>
  <si>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</si>
  <si>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</si>
  <si>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</si>
  <si>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</si>
  <si>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</si>
  <si>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</si>
  <si>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</si>
  <si>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</si>
  <si>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</si>
  <si>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</si>
  <si>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</si>
  <si>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</si>
  <si>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</si>
  <si>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</si>
  <si>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Sup</t>
  </si>
  <si>
    <t>Inf</t>
  </si>
  <si>
    <t>Visual</t>
  </si>
  <si>
    <t>Rebabado / Roscas / agujeros</t>
  </si>
  <si>
    <t>REGISTRO DE INSPECCION DE PRODUCTO 
CUERPO PRINCIPAL CLIC</t>
  </si>
  <si>
    <t>Dimensional - 1 pieza por turno</t>
  </si>
  <si>
    <t>Visual - 4 piezas por turno</t>
  </si>
  <si>
    <t>NO</t>
  </si>
  <si>
    <t>Ø14,5</t>
  </si>
  <si>
    <t>M4x0,70</t>
  </si>
  <si>
    <t>M6x1</t>
  </si>
  <si>
    <t>Ø7</t>
  </si>
  <si>
    <t>……..</t>
  </si>
  <si>
    <t>……</t>
  </si>
  <si>
    <t>…….</t>
  </si>
  <si>
    <t>………</t>
  </si>
  <si>
    <t>………..</t>
  </si>
  <si>
    <t>……….</t>
  </si>
  <si>
    <t>Ø45,9</t>
  </si>
  <si>
    <r>
      <rPr>
        <sz val="10"/>
        <rFont val="Calibri"/>
        <family val="2"/>
      </rPr>
      <t>Ø</t>
    </r>
    <r>
      <rPr>
        <sz val="10"/>
        <rFont val="Arial"/>
      </rPr>
      <t>10</t>
    </r>
  </si>
  <si>
    <r>
      <rPr>
        <sz val="10"/>
        <rFont val="Calibri"/>
        <family val="2"/>
      </rPr>
      <t>Ø</t>
    </r>
    <r>
      <rPr>
        <sz val="10"/>
        <rFont val="Arial"/>
      </rPr>
      <t>15,1</t>
    </r>
  </si>
  <si>
    <t>0,006</t>
  </si>
  <si>
    <t>REV.
PRINT</t>
  </si>
  <si>
    <t>Ø17.5</t>
  </si>
  <si>
    <t>BPB-037-609010-SYHX</t>
  </si>
  <si>
    <t>BPB-037-609011-SYHX</t>
  </si>
  <si>
    <t>9011-MANI</t>
  </si>
  <si>
    <t>Numero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</si>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</sst>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3" x14ac:knownFonts="1">
    <font>
      <sz val="10"/>
      <name val="Arial"/>
    </font>
    <font>
      <sz val="8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sz val="6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5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7"/>
      <name val="Arial"/>
      <family val="2"/>
    </font>
    <font>
      <sz val="16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  <font>
      <b/>
      <sz val="10"/>
      <color indexed="8"/>
      <name val="Arial"/>
      <family val="2"/>
    </font>
    <font>
      <i/>
      <sz val="9"/>
      <name val="Arial"/>
      <family val="2"/>
    </font>
    <font>
      <b/>
      <sz val="9"/>
      <color indexed="9"/>
      <name val="Arial"/>
      <family val="2"/>
    </font>
    <font>
      <sz val="8"/>
      <name val="Arial"/>
      <family val="2"/>
    </font>
    <font>
      <sz val="10"/>
      <name val="Calibri"/>
      <family val="2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21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readingOrder="1"/>
    </xf>
    <xf numFmtId="0" fontId="7" fillId="0" borderId="0" xfId="0" applyFont="1"/>
    <xf numFmtId="0" fontId="0" fillId="0" borderId="1" xfId="0" applyFill="1" applyBorder="1" applyAlignment="1">
      <alignment horizontal="center"/>
    </xf>
    <xf numFmtId="0" fontId="0" fillId="0" borderId="0" xfId="0" applyFill="1"/>
    <xf numFmtId="0" fontId="8" fillId="0" borderId="2" xfId="0" applyFont="1" applyFill="1" applyBorder="1" applyAlignment="1"/>
    <xf numFmtId="0" fontId="8" fillId="0" borderId="3" xfId="0" applyFont="1" applyFill="1" applyBorder="1" applyAlignment="1"/>
    <xf numFmtId="0" fontId="8" fillId="0" borderId="4" xfId="0" applyFont="1" applyFill="1" applyBorder="1" applyAlignment="1"/>
    <xf numFmtId="0" fontId="8" fillId="0" borderId="0" xfId="0" applyFont="1" applyFill="1" applyBorder="1" applyAlignment="1"/>
    <xf numFmtId="0" fontId="13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7" fillId="3" borderId="0" xfId="0" applyFont="1" applyFill="1"/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/>
    <xf numFmtId="0" fontId="4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/>
    <xf numFmtId="0" fontId="0" fillId="0" borderId="1" xfId="0" applyFill="1" applyBorder="1"/>
    <xf numFmtId="0" fontId="8" fillId="0" borderId="4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11" fillId="0" borderId="0" xfId="0" applyFont="1" applyBorder="1" applyAlignment="1">
      <alignment vertical="top"/>
    </xf>
    <xf numFmtId="0" fontId="8" fillId="4" borderId="0" xfId="0" applyFont="1" applyFill="1" applyBorder="1" applyAlignment="1"/>
    <xf numFmtId="0" fontId="0" fillId="4" borderId="0" xfId="0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7" fillId="0" borderId="0" xfId="0" applyFont="1" applyBorder="1" applyAlignment="1" applyProtection="1">
      <alignment horizontal="center"/>
      <protection locked="0"/>
    </xf>
    <xf numFmtId="0" fontId="8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0" fillId="0" borderId="0" xfId="0" applyFill="1" applyBorder="1" applyAlignment="1"/>
    <xf numFmtId="0" fontId="7" fillId="0" borderId="0" xfId="0" applyFont="1" applyBorder="1" applyAlignment="1">
      <alignment horizontal="center" shrinkToFit="1"/>
    </xf>
    <xf numFmtId="16" fontId="0" fillId="4" borderId="0" xfId="0" applyNumberFormat="1" applyFill="1" applyBorder="1" applyAlignment="1">
      <alignment horizontal="center"/>
    </xf>
    <xf numFmtId="9" fontId="0" fillId="4" borderId="0" xfId="0" applyNumberForma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7" fillId="0" borderId="0" xfId="0" applyFont="1" applyBorder="1"/>
    <xf numFmtId="0" fontId="0" fillId="0" borderId="0" xfId="0" applyFill="1" applyBorder="1"/>
    <xf numFmtId="0" fontId="7" fillId="5" borderId="8" xfId="0" applyFont="1" applyFill="1" applyBorder="1" applyAlignment="1" applyProtection="1">
      <alignment horizontal="center"/>
      <protection locked="0"/>
    </xf>
    <xf numFmtId="0" fontId="13" fillId="6" borderId="8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/>
    </xf>
    <xf numFmtId="0" fontId="8" fillId="0" borderId="1" xfId="0" applyFont="1" applyFill="1" applyBorder="1" applyAlignment="1"/>
    <xf numFmtId="0" fontId="8" fillId="0" borderId="1" xfId="0" applyFont="1" applyFill="1" applyBorder="1"/>
    <xf numFmtId="0" fontId="21" fillId="0" borderId="1" xfId="0" applyFont="1" applyFill="1" applyBorder="1" applyAlignment="1">
      <alignment horizontal="center"/>
    </xf>
    <xf numFmtId="0" fontId="7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Fill="1" applyBorder="1" applyAlignment="1">
      <alignment horizontal="center" wrapText="1"/>
    </xf>
    <xf numFmtId="0" fontId="8" fillId="0" borderId="1" xfId="0" applyNumberFormat="1" applyFont="1" applyFill="1" applyBorder="1"/>
    <xf numFmtId="14" fontId="0" fillId="0" borderId="0" xfId="0" applyNumberFormat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8" fillId="0" borderId="1" xfId="0" applyFont="1" applyBorder="1"/>
    <xf numFmtId="14" fontId="8" fillId="0" borderId="0" xfId="0" applyNumberFormat="1" applyFont="1" applyBorder="1" applyAlignment="1">
      <alignment horizontal="center"/>
    </xf>
    <xf numFmtId="164" fontId="8" fillId="0" borderId="1" xfId="0" applyNumberFormat="1" applyFont="1" applyFill="1" applyBorder="1" applyAlignment="1"/>
    <xf numFmtId="164" fontId="0" fillId="0" borderId="1" xfId="0" applyNumberFormat="1" applyFill="1" applyBorder="1" applyAlignment="1">
      <alignment horizontal="center" wrapText="1"/>
    </xf>
    <xf numFmtId="2" fontId="0" fillId="0" borderId="1" xfId="0" applyNumberFormat="1" applyFill="1" applyBorder="1" applyAlignment="1">
      <alignment horizontal="center" wrapText="1"/>
    </xf>
    <xf numFmtId="14" fontId="0" fillId="0" borderId="0" xfId="0" applyNumberFormat="1" applyBorder="1" applyAlignment="1">
      <alignment horizontal="center"/>
    </xf>
    <xf numFmtId="14" fontId="22" fillId="0" borderId="18" xfId="0" applyNumberFormat="1" applyFont="1" applyBorder="1" applyAlignment="1">
      <alignment horizontal="center" vertical="center" wrapText="1"/>
    </xf>
    <xf numFmtId="14" fontId="22" fillId="0" borderId="4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4" fontId="12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 shrinkToFit="1"/>
    </xf>
    <xf numFmtId="0" fontId="0" fillId="0" borderId="12" xfId="0" applyBorder="1"/>
    <xf numFmtId="0" fontId="2" fillId="0" borderId="5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0" borderId="31" xfId="0" applyFont="1" applyBorder="1" applyAlignment="1">
      <alignment horizontal="center" wrapText="1"/>
    </xf>
    <xf numFmtId="0" fontId="14" fillId="0" borderId="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right"/>
    </xf>
    <xf numFmtId="0" fontId="20" fillId="0" borderId="10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1" fillId="0" borderId="24" xfId="0" applyFont="1" applyFill="1" applyBorder="1" applyAlignment="1">
      <alignment horizontal="center" vertical="center" wrapText="1"/>
    </xf>
    <xf numFmtId="0" fontId="11" fillId="0" borderId="23" xfId="0" applyFont="1" applyFill="1" applyBorder="1" applyAlignment="1">
      <alignment horizontal="center" vertical="center" wrapText="1"/>
    </xf>
    <xf numFmtId="0" fontId="19" fillId="8" borderId="20" xfId="0" applyFont="1" applyFill="1" applyBorder="1" applyAlignment="1">
      <alignment horizontal="center" vertical="center" wrapText="1"/>
    </xf>
    <xf numFmtId="0" fontId="19" fillId="8" borderId="25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9" fillId="8" borderId="19" xfId="0" applyFont="1" applyFill="1" applyBorder="1" applyAlignment="1">
      <alignment horizontal="center" vertical="center" wrapText="1"/>
    </xf>
    <xf numFmtId="0" fontId="19" fillId="8" borderId="21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/>
    </xf>
    <xf numFmtId="0" fontId="11" fillId="0" borderId="22" xfId="0" applyFont="1" applyFill="1" applyBorder="1" applyAlignment="1">
      <alignment horizontal="center" vertical="center" wrapText="1"/>
    </xf>
    <xf numFmtId="0" fontId="18" fillId="9" borderId="5" xfId="0" applyFont="1" applyFill="1" applyBorder="1" applyAlignment="1">
      <alignment horizontal="center" vertical="center" wrapText="1"/>
    </xf>
    <xf numFmtId="0" fontId="18" fillId="9" borderId="10" xfId="0" applyFont="1" applyFill="1" applyBorder="1" applyAlignment="1">
      <alignment horizontal="center" vertical="center" wrapText="1"/>
    </xf>
    <xf numFmtId="0" fontId="18" fillId="9" borderId="11" xfId="0" applyFont="1" applyFill="1" applyBorder="1" applyAlignment="1">
      <alignment horizontal="center" vertical="center" wrapText="1"/>
    </xf>
    <xf numFmtId="49" fontId="10" fillId="9" borderId="26" xfId="0" applyNumberFormat="1" applyFont="1" applyFill="1" applyBorder="1" applyAlignment="1">
      <alignment horizontal="center" vertical="distributed"/>
    </xf>
    <xf numFmtId="49" fontId="10" fillId="9" borderId="27" xfId="0" applyNumberFormat="1" applyFont="1" applyFill="1" applyBorder="1" applyAlignment="1">
      <alignment horizontal="center" vertical="distributed"/>
    </xf>
    <xf numFmtId="49" fontId="10" fillId="9" borderId="28" xfId="0" applyNumberFormat="1" applyFont="1" applyFill="1" applyBorder="1" applyAlignment="1">
      <alignment horizontal="center" vertical="distributed"/>
    </xf>
    <xf numFmtId="49" fontId="10" fillId="9" borderId="29" xfId="0" applyNumberFormat="1" applyFont="1" applyFill="1" applyBorder="1" applyAlignment="1">
      <alignment horizontal="center" vertical="distributed"/>
    </xf>
    <xf numFmtId="0" fontId="11" fillId="0" borderId="29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7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6" fmlaLink="Auxiliar!$B$1" fmlaRange="Auxiliar!$B$3:$BD$24" sel="7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142875</xdr:rowOff>
    </xdr:from>
    <xdr:to>
      <xdr:col>2</xdr:col>
      <xdr:colOff>609600</xdr:colOff>
      <xdr:row>5</xdr:row>
      <xdr:rowOff>19050</xdr:rowOff>
    </xdr:to>
    <xdr:pic>
      <xdr:nvPicPr>
        <xdr:cNvPr id="1487" name="Picture 15" descr="SOLID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42875"/>
          <a:ext cx="17430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</xdr:colOff>
          <xdr:row>6</xdr:row>
          <xdr:rowOff>57150</xdr:rowOff>
        </xdr:from>
        <xdr:to>
          <xdr:col>14</xdr:col>
          <xdr:colOff>219075</xdr:colOff>
          <xdr:row>6</xdr:row>
          <xdr:rowOff>266700</xdr:rowOff>
        </xdr:to>
        <xdr:sp macro="" textlink="">
          <xdr:nvSpPr>
            <xdr:cNvPr id="1042" name="Drop Down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V100"/>
  <sheetViews>
    <sheetView showGridLines="0" zoomScaleNormal="100" workbookViewId="0">
      <selection activeCell="R9" sqref="R9"/>
    </sheetView>
  </sheetViews>
  <sheetFormatPr baseColWidth="10" defaultRowHeight="12.75" x14ac:dyDescent="0.2"/>
  <cols>
    <col min="1" max="1" width="8.85546875" customWidth="1"/>
    <col min="2" max="2" width="8.42578125" customWidth="1"/>
    <col min="3" max="3" width="19.140625" customWidth="1"/>
    <col min="4" max="13" width="5.7109375" customWidth="1"/>
    <col min="14" max="15" width="4.140625" customWidth="1"/>
  </cols>
  <sheetData>
    <row r="1" spans="1:22" ht="12.75" customHeight="1" x14ac:dyDescent="0.2">
      <c r="A1" s="100" t="s">
        <v>10</v>
      </c>
      <c r="B1" s="101"/>
      <c r="C1" s="102"/>
      <c r="D1" s="116" t="s">
        <v>69</v>
      </c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8"/>
    </row>
    <row r="2" spans="1:22" ht="12.75" customHeight="1" x14ac:dyDescent="0.2">
      <c r="A2" s="103"/>
      <c r="B2" s="104"/>
      <c r="C2" s="105"/>
      <c r="D2" s="119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1"/>
    </row>
    <row r="3" spans="1:22" ht="12.75" customHeight="1" x14ac:dyDescent="0.2">
      <c r="A3" s="103"/>
      <c r="B3" s="104"/>
      <c r="C3" s="105"/>
      <c r="D3" s="119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1"/>
    </row>
    <row r="4" spans="1:22" ht="12.75" customHeight="1" x14ac:dyDescent="0.2">
      <c r="A4" s="103"/>
      <c r="B4" s="104"/>
      <c r="C4" s="105"/>
      <c r="D4" s="122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4"/>
    </row>
    <row r="5" spans="1:22" ht="12.75" customHeight="1" x14ac:dyDescent="0.2">
      <c r="A5" s="103"/>
      <c r="B5" s="104"/>
      <c r="C5" s="105"/>
      <c r="D5" s="100" t="s">
        <v>31</v>
      </c>
      <c r="E5" s="101"/>
      <c r="F5" s="101"/>
      <c r="G5" s="102"/>
      <c r="H5" s="115">
        <v>43038</v>
      </c>
      <c r="I5" s="112"/>
      <c r="J5" s="112" t="s">
        <v>25</v>
      </c>
      <c r="K5" s="109">
        <v>1</v>
      </c>
      <c r="L5" s="111" t="s">
        <v>11</v>
      </c>
      <c r="M5" s="112"/>
      <c r="N5" s="112"/>
      <c r="O5" s="109"/>
    </row>
    <row r="6" spans="1:22" ht="8.25" customHeight="1" x14ac:dyDescent="0.2">
      <c r="A6" s="106"/>
      <c r="B6" s="107"/>
      <c r="C6" s="108"/>
      <c r="D6" s="106"/>
      <c r="E6" s="107"/>
      <c r="F6" s="107"/>
      <c r="G6" s="108"/>
      <c r="H6" s="113"/>
      <c r="I6" s="114"/>
      <c r="J6" s="114"/>
      <c r="K6" s="110"/>
      <c r="L6" s="113"/>
      <c r="M6" s="114"/>
      <c r="N6" s="114"/>
      <c r="O6" s="110"/>
      <c r="V6" s="11"/>
    </row>
    <row r="7" spans="1:22" ht="21.75" customHeight="1" x14ac:dyDescent="0.2">
      <c r="A7" s="125" t="s">
        <v>16</v>
      </c>
      <c r="B7" s="126"/>
      <c r="C7" s="127"/>
      <c r="D7" s="127"/>
      <c r="E7" s="127"/>
      <c r="F7" s="127"/>
      <c r="G7" s="128"/>
      <c r="H7" s="125" t="s">
        <v>28</v>
      </c>
      <c r="I7" s="126"/>
      <c r="J7" s="126"/>
      <c r="K7" s="148"/>
      <c r="L7" s="148"/>
      <c r="M7" s="148"/>
      <c r="N7" s="148"/>
      <c r="O7" s="149"/>
    </row>
    <row r="8" spans="1:22" ht="21.75" customHeight="1" x14ac:dyDescent="0.2">
      <c r="A8" s="92" t="s">
        <v>17</v>
      </c>
      <c r="B8" s="93"/>
      <c r="C8" s="93"/>
      <c r="D8" s="93"/>
      <c r="E8" s="93"/>
      <c r="F8" s="93"/>
      <c r="G8" s="94"/>
      <c r="H8" s="87">
        <f>VLOOKUP(Auxiliar!B1,Auxiliar!A3:BG250,58,FALSE)</f>
        <v>0</v>
      </c>
      <c r="I8" s="88"/>
      <c r="J8" s="88"/>
      <c r="K8" s="89" t="s">
        <v>87</v>
      </c>
      <c r="L8" s="89"/>
      <c r="M8" s="89"/>
      <c r="N8" s="90">
        <f>VLOOKUP(Auxiliar!B1,Auxiliar!A3:BG250,57,FALSE)</f>
        <v>0</v>
      </c>
      <c r="O8" s="91"/>
    </row>
    <row r="9" spans="1:22" ht="19.5" customHeight="1" x14ac:dyDescent="0.2">
      <c r="A9" s="95"/>
      <c r="B9" s="96"/>
      <c r="C9" s="96"/>
      <c r="D9" s="96"/>
      <c r="E9" s="96"/>
      <c r="F9" s="96"/>
      <c r="G9" s="97"/>
      <c r="H9" s="168" t="s">
        <v>18</v>
      </c>
      <c r="I9" s="168"/>
      <c r="J9" s="168"/>
      <c r="K9" s="125" t="s">
        <v>70</v>
      </c>
      <c r="L9" s="126"/>
      <c r="M9" s="126"/>
      <c r="N9" s="126"/>
      <c r="O9" s="150"/>
      <c r="P9" s="4"/>
    </row>
    <row r="10" spans="1:22" ht="22.5" customHeight="1" x14ac:dyDescent="0.2">
      <c r="A10" s="130" t="s">
        <v>24</v>
      </c>
      <c r="B10" s="126"/>
      <c r="C10" s="131" t="s">
        <v>27</v>
      </c>
      <c r="D10" s="131"/>
      <c r="E10" s="131"/>
      <c r="F10" s="131"/>
      <c r="G10" s="132"/>
      <c r="H10" s="168"/>
      <c r="I10" s="168"/>
      <c r="J10" s="168"/>
      <c r="K10" s="126" t="s">
        <v>71</v>
      </c>
      <c r="L10" s="166"/>
      <c r="M10" s="166"/>
      <c r="N10" s="166"/>
      <c r="O10" s="167"/>
    </row>
    <row r="11" spans="1:22" ht="18.75" customHeight="1" x14ac:dyDescent="0.2">
      <c r="A11" s="133" t="s">
        <v>39</v>
      </c>
      <c r="B11" s="134"/>
      <c r="C11" s="134"/>
      <c r="D11" s="134"/>
      <c r="E11" s="134"/>
      <c r="F11" s="134"/>
      <c r="G11" s="135"/>
      <c r="H11" s="133" t="s">
        <v>40</v>
      </c>
      <c r="I11" s="151"/>
      <c r="J11" s="151"/>
      <c r="K11" s="151"/>
      <c r="L11" s="151"/>
      <c r="M11" s="151"/>
      <c r="N11" s="151"/>
      <c r="O11" s="152"/>
    </row>
    <row r="12" spans="1:22" ht="10.5" customHeight="1" x14ac:dyDescent="0.2">
      <c r="A12" s="129" t="s">
        <v>0</v>
      </c>
      <c r="B12" s="136" t="s">
        <v>15</v>
      </c>
      <c r="C12" s="136" t="s">
        <v>26</v>
      </c>
      <c r="D12" s="160" t="s">
        <v>13</v>
      </c>
      <c r="E12" s="161"/>
      <c r="F12" s="161"/>
      <c r="G12" s="161"/>
      <c r="H12" s="161"/>
      <c r="I12" s="161"/>
      <c r="J12" s="161"/>
      <c r="K12" s="161"/>
      <c r="L12" s="161"/>
      <c r="M12" s="162"/>
      <c r="N12" s="153" t="s">
        <v>41</v>
      </c>
      <c r="O12" s="154"/>
    </row>
    <row r="13" spans="1:22" ht="9.75" customHeight="1" x14ac:dyDescent="0.2">
      <c r="A13" s="129"/>
      <c r="B13" s="136"/>
      <c r="C13" s="136"/>
      <c r="D13" s="163"/>
      <c r="E13" s="164"/>
      <c r="F13" s="164"/>
      <c r="G13" s="164"/>
      <c r="H13" s="164"/>
      <c r="I13" s="164"/>
      <c r="J13" s="164"/>
      <c r="K13" s="164"/>
      <c r="L13" s="164"/>
      <c r="M13" s="165"/>
      <c r="N13" s="155"/>
      <c r="O13" s="156"/>
    </row>
    <row r="14" spans="1:22" ht="14.25" customHeight="1" x14ac:dyDescent="0.2">
      <c r="A14" s="129"/>
      <c r="B14" s="136"/>
      <c r="C14" s="136"/>
      <c r="D14" s="2" t="s">
        <v>1</v>
      </c>
      <c r="E14" s="2" t="s">
        <v>2</v>
      </c>
      <c r="F14" s="2" t="s">
        <v>3</v>
      </c>
      <c r="G14" s="2" t="s">
        <v>4</v>
      </c>
      <c r="H14" s="2" t="s">
        <v>5</v>
      </c>
      <c r="I14" s="2" t="s">
        <v>6</v>
      </c>
      <c r="J14" s="2" t="s">
        <v>7</v>
      </c>
      <c r="K14" s="2" t="s">
        <v>8</v>
      </c>
      <c r="L14" s="2" t="s">
        <v>12</v>
      </c>
      <c r="M14" s="2" t="s">
        <v>9</v>
      </c>
      <c r="N14" s="157"/>
      <c r="O14" s="158"/>
    </row>
    <row r="15" spans="1:22" ht="12" customHeight="1" x14ac:dyDescent="0.2">
      <c r="A15" s="129"/>
      <c r="B15" s="181">
        <f>VLOOKUP(Auxiliar!B1,Auxiliar!A3:AX250,3,FALSE)</f>
        <v>20</v>
      </c>
      <c r="C15" s="43" t="str">
        <f>VLOOKUP(Auxiliar!B1,Auxiliar!A3:AS250,4,FALSE)</f>
        <v>NO</v>
      </c>
      <c r="D15" s="154"/>
      <c r="E15" s="154"/>
      <c r="F15" s="98"/>
      <c r="G15" s="138"/>
      <c r="H15" s="138"/>
      <c r="I15" s="138"/>
      <c r="J15" s="138"/>
      <c r="K15" s="138"/>
      <c r="L15" s="138"/>
      <c r="M15" s="138"/>
      <c r="N15" s="159"/>
      <c r="O15" s="154"/>
    </row>
    <row r="16" spans="1:22" ht="12" customHeight="1" x14ac:dyDescent="0.2">
      <c r="A16" s="129"/>
      <c r="B16" s="181"/>
      <c r="C16" s="43" t="str">
        <f>VLOOKUP(Auxiliar!B1,Auxiliar!A3:AS250,5,FALSE)</f>
        <v>NO</v>
      </c>
      <c r="D16" s="158"/>
      <c r="E16" s="158"/>
      <c r="F16" s="99"/>
      <c r="G16" s="139"/>
      <c r="H16" s="139"/>
      <c r="I16" s="139"/>
      <c r="J16" s="139"/>
      <c r="K16" s="139"/>
      <c r="L16" s="139"/>
      <c r="M16" s="139"/>
      <c r="N16" s="157"/>
      <c r="O16" s="158"/>
    </row>
    <row r="17" spans="1:16" ht="12" customHeight="1" x14ac:dyDescent="0.2">
      <c r="A17" s="137"/>
      <c r="B17" s="185" t="str">
        <f>VLOOKUP(Auxiliar!B1,Auxiliar!A3:AS250,6,FALSE)</f>
        <v>Ø10</v>
      </c>
      <c r="C17" s="43" t="str">
        <f>VLOOKUP(Auxiliar!B1,Auxiliar!A3:AS250,7,FALSE)</f>
        <v>NO</v>
      </c>
      <c r="D17" s="154"/>
      <c r="E17" s="154"/>
      <c r="F17" s="98"/>
      <c r="G17" s="138"/>
      <c r="H17" s="138"/>
      <c r="I17" s="138"/>
      <c r="J17" s="138"/>
      <c r="K17" s="138"/>
      <c r="L17" s="138"/>
      <c r="M17" s="138"/>
      <c r="N17" s="159"/>
      <c r="O17" s="154"/>
    </row>
    <row r="18" spans="1:16" ht="12" customHeight="1" x14ac:dyDescent="0.2">
      <c r="A18" s="137"/>
      <c r="B18" s="186"/>
      <c r="C18" s="43" t="str">
        <f>VLOOKUP(Auxiliar!B1,Auxiliar!A3:AS250,8,FALSE)</f>
        <v>NO</v>
      </c>
      <c r="D18" s="158"/>
      <c r="E18" s="158"/>
      <c r="F18" s="99"/>
      <c r="G18" s="139"/>
      <c r="H18" s="139"/>
      <c r="I18" s="139"/>
      <c r="J18" s="139"/>
      <c r="K18" s="139"/>
      <c r="L18" s="139"/>
      <c r="M18" s="139"/>
      <c r="N18" s="157"/>
      <c r="O18" s="158"/>
    </row>
    <row r="19" spans="1:16" ht="12" customHeight="1" x14ac:dyDescent="0.2">
      <c r="A19" s="137"/>
      <c r="B19" s="181" t="str">
        <f>VLOOKUP(Auxiliar!B1,Auxiliar!A3:AS250,9,FALSE)</f>
        <v>Ø14,5</v>
      </c>
      <c r="C19" s="43">
        <f>VLOOKUP(Auxiliar!B1,Auxiliar!A3:AS250,10,FALSE)</f>
        <v>0.1</v>
      </c>
      <c r="D19" s="143"/>
      <c r="E19" s="143"/>
      <c r="F19" s="179"/>
      <c r="G19" s="146"/>
      <c r="H19" s="146"/>
      <c r="I19" s="146"/>
      <c r="J19" s="146"/>
      <c r="K19" s="146"/>
      <c r="L19" s="146"/>
      <c r="M19" s="146"/>
      <c r="N19" s="142"/>
      <c r="O19" s="143"/>
      <c r="P19" s="140"/>
    </row>
    <row r="20" spans="1:16" ht="12" customHeight="1" x14ac:dyDescent="0.2">
      <c r="A20" s="137"/>
      <c r="B20" s="181"/>
      <c r="C20" s="43">
        <f>VLOOKUP(Auxiliar!B1,Auxiliar!A3:AS250,11,FALSE)</f>
        <v>0</v>
      </c>
      <c r="D20" s="145"/>
      <c r="E20" s="145"/>
      <c r="F20" s="180"/>
      <c r="G20" s="147"/>
      <c r="H20" s="147"/>
      <c r="I20" s="147"/>
      <c r="J20" s="147"/>
      <c r="K20" s="147"/>
      <c r="L20" s="147"/>
      <c r="M20" s="147"/>
      <c r="N20" s="144"/>
      <c r="O20" s="145"/>
      <c r="P20" s="141"/>
    </row>
    <row r="21" spans="1:16" ht="12" customHeight="1" x14ac:dyDescent="0.2">
      <c r="A21" s="137"/>
      <c r="B21" s="181">
        <f>VLOOKUP(Auxiliar!B1,Auxiliar!A3:AS250,12,FALSE)</f>
        <v>247</v>
      </c>
      <c r="C21" s="43">
        <f>VLOOKUP(Auxiliar!B1,Auxiliar!A3:AS250,13,FALSE)</f>
        <v>0.1</v>
      </c>
      <c r="D21" s="143"/>
      <c r="E21" s="143"/>
      <c r="F21" s="179"/>
      <c r="G21" s="146"/>
      <c r="H21" s="146"/>
      <c r="I21" s="146"/>
      <c r="J21" s="146"/>
      <c r="K21" s="146"/>
      <c r="L21" s="146"/>
      <c r="M21" s="146"/>
      <c r="N21" s="142"/>
      <c r="O21" s="143"/>
      <c r="P21" s="141"/>
    </row>
    <row r="22" spans="1:16" ht="12" customHeight="1" x14ac:dyDescent="0.2">
      <c r="A22" s="137"/>
      <c r="B22" s="181"/>
      <c r="C22" s="43">
        <f>VLOOKUP(Auxiliar!B1,Auxiliar!A3:AS250,14,FALSE)</f>
        <v>0</v>
      </c>
      <c r="D22" s="145"/>
      <c r="E22" s="145"/>
      <c r="F22" s="180"/>
      <c r="G22" s="147"/>
      <c r="H22" s="147"/>
      <c r="I22" s="147"/>
      <c r="J22" s="147"/>
      <c r="K22" s="147"/>
      <c r="L22" s="147"/>
      <c r="M22" s="147"/>
      <c r="N22" s="144"/>
      <c r="O22" s="145"/>
      <c r="P22" s="141"/>
    </row>
    <row r="23" spans="1:16" ht="12" customHeight="1" x14ac:dyDescent="0.2">
      <c r="A23" s="137"/>
      <c r="B23" s="181" t="str">
        <f>VLOOKUP(Auxiliar!B1,Auxiliar!A3:AX250,15,FALSE)</f>
        <v>Ø17.5</v>
      </c>
      <c r="C23" s="43">
        <f>VLOOKUP(Auxiliar!B1,Auxiliar!A3:AS250,16,FALSE)</f>
        <v>0</v>
      </c>
      <c r="D23" s="41"/>
      <c r="E23" s="42"/>
      <c r="F23" s="179"/>
      <c r="G23" s="179"/>
      <c r="H23" s="179"/>
      <c r="I23" s="179"/>
      <c r="J23" s="179"/>
      <c r="K23" s="179"/>
      <c r="L23" s="179"/>
      <c r="M23" s="179"/>
      <c r="N23" s="175"/>
      <c r="O23" s="176"/>
      <c r="P23" s="140"/>
    </row>
    <row r="24" spans="1:16" ht="12" customHeight="1" x14ac:dyDescent="0.2">
      <c r="A24" s="137"/>
      <c r="B24" s="181"/>
      <c r="C24" s="43">
        <f>VLOOKUP(Auxiliar!B1,Auxiliar!A3:AS250,17,FALSE)</f>
        <v>-0.1</v>
      </c>
      <c r="D24" s="41"/>
      <c r="E24" s="42"/>
      <c r="F24" s="180"/>
      <c r="G24" s="180"/>
      <c r="H24" s="180"/>
      <c r="I24" s="180"/>
      <c r="J24" s="180"/>
      <c r="K24" s="180"/>
      <c r="L24" s="180"/>
      <c r="M24" s="180"/>
      <c r="N24" s="177"/>
      <c r="O24" s="178"/>
      <c r="P24" s="140"/>
    </row>
    <row r="25" spans="1:16" ht="12" customHeight="1" x14ac:dyDescent="0.2">
      <c r="A25" s="137"/>
      <c r="B25" s="181" t="str">
        <f>VLOOKUP(Auxiliar!B1,Auxiliar!A3:AS250,18,FALSE)</f>
        <v>M4x0,70</v>
      </c>
      <c r="C25" s="43" t="str">
        <f>VLOOKUP(Auxiliar!B1,Auxiliar!A3:AS250,19,FALSE)</f>
        <v>NO</v>
      </c>
      <c r="D25" s="143"/>
      <c r="E25" s="173"/>
      <c r="F25" s="171"/>
      <c r="G25" s="171"/>
      <c r="H25" s="171"/>
      <c r="I25" s="171"/>
      <c r="J25" s="171"/>
      <c r="K25" s="171"/>
      <c r="L25" s="98"/>
      <c r="M25" s="171"/>
      <c r="N25" s="175"/>
      <c r="O25" s="176"/>
      <c r="P25" s="140"/>
    </row>
    <row r="26" spans="1:16" ht="12" customHeight="1" x14ac:dyDescent="0.2">
      <c r="A26" s="137"/>
      <c r="B26" s="181"/>
      <c r="C26" s="43" t="str">
        <f>VLOOKUP(Auxiliar!B1,Auxiliar!A3:AS250,20,FALSE)</f>
        <v>NO</v>
      </c>
      <c r="D26" s="145"/>
      <c r="E26" s="174"/>
      <c r="F26" s="172"/>
      <c r="G26" s="172"/>
      <c r="H26" s="172"/>
      <c r="I26" s="172"/>
      <c r="J26" s="172"/>
      <c r="K26" s="172"/>
      <c r="L26" s="99"/>
      <c r="M26" s="172"/>
      <c r="N26" s="177"/>
      <c r="O26" s="178"/>
      <c r="P26" s="140"/>
    </row>
    <row r="27" spans="1:16" ht="12" customHeight="1" x14ac:dyDescent="0.2">
      <c r="A27" s="183"/>
      <c r="B27" s="185">
        <f>VLOOKUP(Auxiliar!B1,Auxiliar!A3:AS250,21,FALSE)</f>
        <v>-1</v>
      </c>
      <c r="C27" s="43">
        <f>VLOOKUP(Auxiliar!B1,Auxiliar!A3:AS262,22,FALSE)</f>
        <v>0.1</v>
      </c>
      <c r="D27" s="183"/>
      <c r="E27" s="183"/>
      <c r="F27" s="98"/>
      <c r="G27" s="98"/>
      <c r="H27" s="98"/>
      <c r="I27" s="98"/>
      <c r="J27" s="98"/>
      <c r="K27" s="98"/>
      <c r="L27" s="98"/>
      <c r="M27" s="98"/>
      <c r="N27" s="159"/>
      <c r="O27" s="154"/>
    </row>
    <row r="28" spans="1:16" ht="12" customHeight="1" x14ac:dyDescent="0.2">
      <c r="A28" s="184"/>
      <c r="B28" s="186"/>
      <c r="C28" s="43">
        <f>VLOOKUP(Auxiliar!B1,Auxiliar!A3:AS262,23,FALSE)</f>
        <v>0</v>
      </c>
      <c r="D28" s="184"/>
      <c r="E28" s="184"/>
      <c r="F28" s="99"/>
      <c r="G28" s="99"/>
      <c r="H28" s="99"/>
      <c r="I28" s="99"/>
      <c r="J28" s="99"/>
      <c r="K28" s="99"/>
      <c r="L28" s="99"/>
      <c r="M28" s="99"/>
      <c r="N28" s="157"/>
      <c r="O28" s="158"/>
    </row>
    <row r="29" spans="1:16" ht="12" customHeight="1" x14ac:dyDescent="0.2">
      <c r="A29" s="187"/>
      <c r="B29" s="185" t="str">
        <f>VLOOKUP(Auxiliar!B1,Auxiliar!A3:AS262,24,FALSE)</f>
        <v>M6x1</v>
      </c>
      <c r="C29" s="43" t="str">
        <f>VLOOKUP(Auxiliar!B1,Auxiliar!A3:AS262,25,FALSE)</f>
        <v>NO</v>
      </c>
      <c r="D29" s="183"/>
      <c r="E29" s="183"/>
      <c r="F29" s="98"/>
      <c r="G29" s="98"/>
      <c r="H29" s="98"/>
      <c r="I29" s="98"/>
      <c r="J29" s="98"/>
      <c r="K29" s="98"/>
      <c r="L29" s="98"/>
      <c r="M29" s="98"/>
      <c r="N29" s="159"/>
      <c r="O29" s="154"/>
    </row>
    <row r="30" spans="1:16" ht="12" customHeight="1" x14ac:dyDescent="0.2">
      <c r="A30" s="188"/>
      <c r="B30" s="186"/>
      <c r="C30" s="43" t="str">
        <f>VLOOKUP(Auxiliar!B1,Auxiliar!A3:AS262,26,FALSE)</f>
        <v>NO</v>
      </c>
      <c r="D30" s="184"/>
      <c r="E30" s="184"/>
      <c r="F30" s="99"/>
      <c r="G30" s="99"/>
      <c r="H30" s="99"/>
      <c r="I30" s="99"/>
      <c r="J30" s="99"/>
      <c r="K30" s="99"/>
      <c r="L30" s="99"/>
      <c r="M30" s="99"/>
      <c r="N30" s="157"/>
      <c r="O30" s="158"/>
    </row>
    <row r="31" spans="1:16" ht="12" customHeight="1" x14ac:dyDescent="0.2">
      <c r="A31" s="187"/>
      <c r="B31" s="185">
        <f>VLOOKUP(Auxiliar!B1,Auxiliar!A3:AS262,27,FALSE)</f>
        <v>-10</v>
      </c>
      <c r="C31" s="43">
        <f>VLOOKUP(Auxiliar!B1,Auxiliar!A3:AS262,28,FALSE)</f>
        <v>0.2</v>
      </c>
      <c r="D31" s="208"/>
      <c r="E31" s="208"/>
      <c r="F31" s="179"/>
      <c r="G31" s="179"/>
      <c r="H31" s="179"/>
      <c r="I31" s="179"/>
      <c r="J31" s="179"/>
      <c r="K31" s="179"/>
      <c r="L31" s="179"/>
      <c r="M31" s="179"/>
      <c r="N31" s="142"/>
      <c r="O31" s="143"/>
      <c r="P31" s="140"/>
    </row>
    <row r="32" spans="1:16" ht="12" customHeight="1" x14ac:dyDescent="0.2">
      <c r="A32" s="188"/>
      <c r="B32" s="186"/>
      <c r="C32" s="43">
        <f>VLOOKUP(Auxiliar!B1,Auxiliar!A3:AS262,29,FALSE)</f>
        <v>-0.2</v>
      </c>
      <c r="D32" s="209"/>
      <c r="E32" s="209"/>
      <c r="F32" s="180"/>
      <c r="G32" s="180"/>
      <c r="H32" s="180"/>
      <c r="I32" s="180"/>
      <c r="J32" s="180"/>
      <c r="K32" s="180"/>
      <c r="L32" s="180"/>
      <c r="M32" s="180"/>
      <c r="N32" s="144"/>
      <c r="O32" s="145"/>
      <c r="P32" s="140"/>
    </row>
    <row r="33" spans="1:16" ht="12" customHeight="1" x14ac:dyDescent="0.2">
      <c r="A33" s="187"/>
      <c r="B33" s="185">
        <f>VLOOKUP(Auxiliar!B1,Auxiliar!A3:AS262,30,FALSE)</f>
        <v>10</v>
      </c>
      <c r="C33" s="43">
        <f>VLOOKUP(Auxiliar!B1,Auxiliar!A3:AS262,31,FALSE)</f>
        <v>0.2</v>
      </c>
      <c r="D33" s="208"/>
      <c r="E33" s="208"/>
      <c r="F33" s="179"/>
      <c r="G33" s="179"/>
      <c r="H33" s="179"/>
      <c r="I33" s="179"/>
      <c r="J33" s="179"/>
      <c r="K33" s="179"/>
      <c r="L33" s="179"/>
      <c r="M33" s="179"/>
      <c r="N33" s="142"/>
      <c r="O33" s="143"/>
      <c r="P33" s="140"/>
    </row>
    <row r="34" spans="1:16" ht="12" customHeight="1" x14ac:dyDescent="0.2">
      <c r="A34" s="188"/>
      <c r="B34" s="186"/>
      <c r="C34" s="43">
        <f>VLOOKUP(Auxiliar!B1,Auxiliar!A3:AS262,32,FALSE)</f>
        <v>-0.2</v>
      </c>
      <c r="D34" s="209"/>
      <c r="E34" s="209"/>
      <c r="F34" s="180"/>
      <c r="G34" s="180"/>
      <c r="H34" s="180"/>
      <c r="I34" s="180"/>
      <c r="J34" s="180"/>
      <c r="K34" s="180"/>
      <c r="L34" s="180"/>
      <c r="M34" s="180"/>
      <c r="N34" s="144"/>
      <c r="O34" s="145"/>
      <c r="P34" s="140"/>
    </row>
    <row r="35" spans="1:16" ht="12" customHeight="1" x14ac:dyDescent="0.2">
      <c r="A35" s="187"/>
      <c r="B35" s="185" t="str">
        <f>VLOOKUP(Auxiliar!B1,Auxiliar!A3:AS262,33,FALSE)</f>
        <v>Ø7</v>
      </c>
      <c r="C35" s="43">
        <f>VLOOKUP(Auxiliar!B1,Auxiliar!A3:AS262,34,FALSE)</f>
        <v>0.25</v>
      </c>
      <c r="D35" s="41"/>
      <c r="E35" s="42"/>
      <c r="F35" s="171"/>
      <c r="G35" s="171"/>
      <c r="H35" s="171"/>
      <c r="I35" s="171"/>
      <c r="J35" s="171"/>
      <c r="K35" s="171"/>
      <c r="L35" s="98"/>
      <c r="M35" s="171"/>
      <c r="N35" s="175"/>
      <c r="O35" s="176"/>
      <c r="P35" s="140"/>
    </row>
    <row r="36" spans="1:16" ht="12" customHeight="1" x14ac:dyDescent="0.2">
      <c r="A36" s="188"/>
      <c r="B36" s="186"/>
      <c r="C36" s="43">
        <f>VLOOKUP(Auxiliar!B1,Auxiliar!A3:AS262,35,FALSE)</f>
        <v>0</v>
      </c>
      <c r="D36" s="41"/>
      <c r="E36" s="42"/>
      <c r="F36" s="172"/>
      <c r="G36" s="172"/>
      <c r="H36" s="172"/>
      <c r="I36" s="172"/>
      <c r="J36" s="172"/>
      <c r="K36" s="172"/>
      <c r="L36" s="99"/>
      <c r="M36" s="172"/>
      <c r="N36" s="177"/>
      <c r="O36" s="178"/>
      <c r="P36" s="140"/>
    </row>
    <row r="37" spans="1:16" ht="12" customHeight="1" x14ac:dyDescent="0.2">
      <c r="A37" s="187"/>
      <c r="B37" s="185" t="str">
        <f>VLOOKUP(Auxiliar!B1,Auxiliar!A3:AS262,36,FALSE)</f>
        <v>Ø45,9</v>
      </c>
      <c r="C37" s="43">
        <f>VLOOKUP(Auxiliar!B1,Auxiliar!A3:AS262,37,FALSE)</f>
        <v>0.1</v>
      </c>
      <c r="D37" s="208"/>
      <c r="E37" s="173"/>
      <c r="F37" s="171"/>
      <c r="G37" s="171"/>
      <c r="H37" s="171"/>
      <c r="I37" s="171"/>
      <c r="J37" s="171"/>
      <c r="K37" s="171"/>
      <c r="L37" s="98"/>
      <c r="M37" s="171"/>
      <c r="N37" s="175"/>
      <c r="O37" s="176"/>
      <c r="P37" s="140"/>
    </row>
    <row r="38" spans="1:16" ht="12" customHeight="1" x14ac:dyDescent="0.2">
      <c r="A38" s="188"/>
      <c r="B38" s="186"/>
      <c r="C38" s="84">
        <f>VLOOKUP(Auxiliar!B1,Auxiliar!A3:AS262,38,FALSE)</f>
        <v>0</v>
      </c>
      <c r="D38" s="209"/>
      <c r="E38" s="174"/>
      <c r="F38" s="172"/>
      <c r="G38" s="172"/>
      <c r="H38" s="172"/>
      <c r="I38" s="172"/>
      <c r="J38" s="172"/>
      <c r="K38" s="172"/>
      <c r="L38" s="99"/>
      <c r="M38" s="172"/>
      <c r="N38" s="177"/>
      <c r="O38" s="178"/>
      <c r="P38" s="140"/>
    </row>
    <row r="39" spans="1:16" ht="12" customHeight="1" x14ac:dyDescent="0.2">
      <c r="A39" s="183"/>
      <c r="B39" s="185" t="str">
        <f>VLOOKUP(Auxiliar!B1,Auxiliar!A3:AS262,39,FALSE)</f>
        <v>……..</v>
      </c>
      <c r="C39" s="85" t="str">
        <f>VLOOKUP(Auxiliar!B1,Auxiliar!A3:AS262,40,FALSE)</f>
        <v>……</v>
      </c>
      <c r="D39" s="183"/>
      <c r="E39" s="183"/>
      <c r="F39" s="98"/>
      <c r="G39" s="98"/>
      <c r="H39" s="98"/>
      <c r="I39" s="98"/>
      <c r="J39" s="98"/>
      <c r="K39" s="98"/>
      <c r="L39" s="98"/>
      <c r="M39" s="98"/>
      <c r="N39" s="159"/>
      <c r="O39" s="154"/>
    </row>
    <row r="40" spans="1:16" ht="12" customHeight="1" x14ac:dyDescent="0.2">
      <c r="A40" s="184"/>
      <c r="B40" s="186"/>
      <c r="C40" s="43" t="str">
        <f>VLOOKUP(Auxiliar!B1,Auxiliar!A3:AS262,41,FALSE)</f>
        <v>…….</v>
      </c>
      <c r="D40" s="184"/>
      <c r="E40" s="184"/>
      <c r="F40" s="99"/>
      <c r="G40" s="99"/>
      <c r="H40" s="99"/>
      <c r="I40" s="99"/>
      <c r="J40" s="99"/>
      <c r="K40" s="99"/>
      <c r="L40" s="99"/>
      <c r="M40" s="99"/>
      <c r="N40" s="157"/>
      <c r="O40" s="158"/>
    </row>
    <row r="41" spans="1:16" ht="12" customHeight="1" x14ac:dyDescent="0.2">
      <c r="A41" s="187"/>
      <c r="B41" s="185" t="str">
        <f>VLOOKUP(Auxiliar!B1,Auxiliar!A3:AS262,42,FALSE)</f>
        <v>………</v>
      </c>
      <c r="C41" s="43" t="str">
        <f>VLOOKUP(Auxiliar!B1,Auxiliar!A3:AS262,43,FALSE)</f>
        <v>………..</v>
      </c>
      <c r="D41" s="183"/>
      <c r="E41" s="183"/>
      <c r="F41" s="98"/>
      <c r="G41" s="98"/>
      <c r="H41" s="98"/>
      <c r="I41" s="98"/>
      <c r="J41" s="98"/>
      <c r="K41" s="98"/>
      <c r="L41" s="98"/>
      <c r="M41" s="98"/>
      <c r="N41" s="159"/>
      <c r="O41" s="154"/>
    </row>
    <row r="42" spans="1:16" ht="12" customHeight="1" x14ac:dyDescent="0.2">
      <c r="A42" s="188"/>
      <c r="B42" s="186"/>
      <c r="C42" s="43" t="str">
        <f>VLOOKUP(Auxiliar!B1,Auxiliar!A3:AS262,44,FALSE)</f>
        <v>……….</v>
      </c>
      <c r="D42" s="184"/>
      <c r="E42" s="184"/>
      <c r="F42" s="99"/>
      <c r="G42" s="99"/>
      <c r="H42" s="99"/>
      <c r="I42" s="99"/>
      <c r="J42" s="99"/>
      <c r="K42" s="99"/>
      <c r="L42" s="99"/>
      <c r="M42" s="99"/>
      <c r="N42" s="157"/>
      <c r="O42" s="158"/>
    </row>
    <row r="43" spans="1:16" x14ac:dyDescent="0.2">
      <c r="A43" s="187"/>
      <c r="B43" s="185" t="str">
        <f>VLOOKUP(Auxiliar!B1,Auxiliar!A3:AS262,45,FALSE)</f>
        <v>………..</v>
      </c>
      <c r="C43" s="74" t="str">
        <f>VLOOKUP(Auxiliar!B1,Auxiliar!A3:AX262,46,FALSE)</f>
        <v>……….</v>
      </c>
      <c r="D43" s="208"/>
      <c r="E43" s="208"/>
      <c r="F43" s="179"/>
      <c r="G43" s="179"/>
      <c r="H43" s="179"/>
      <c r="I43" s="179"/>
      <c r="J43" s="179"/>
      <c r="K43" s="179"/>
      <c r="L43" s="179"/>
      <c r="M43" s="179"/>
      <c r="N43" s="142"/>
      <c r="O43" s="143"/>
      <c r="P43" s="140"/>
    </row>
    <row r="44" spans="1:16" x14ac:dyDescent="0.2">
      <c r="A44" s="188"/>
      <c r="B44" s="186"/>
      <c r="C44" s="43" t="str">
        <f>VLOOKUP(Auxiliar!B1,Auxiliar!A3:AX262,47,FALSE)</f>
        <v>……..</v>
      </c>
      <c r="D44" s="209"/>
      <c r="E44" s="209"/>
      <c r="F44" s="180"/>
      <c r="G44" s="180"/>
      <c r="H44" s="180"/>
      <c r="I44" s="180"/>
      <c r="J44" s="180"/>
      <c r="K44" s="180"/>
      <c r="L44" s="180"/>
      <c r="M44" s="180"/>
      <c r="N44" s="144"/>
      <c r="O44" s="145"/>
      <c r="P44" s="140"/>
    </row>
    <row r="45" spans="1:16" x14ac:dyDescent="0.2">
      <c r="A45" s="187"/>
      <c r="B45" s="185" t="str">
        <f>VLOOKUP(Auxiliar!B1,Auxiliar!A3:AX262,48,FALSE)</f>
        <v>……….</v>
      </c>
      <c r="C45" s="43" t="str">
        <f>VLOOKUP(Auxiliar!B1,Auxiliar!A3:AX262,49,FALSE)</f>
        <v>………..</v>
      </c>
      <c r="D45" s="208"/>
      <c r="E45" s="208"/>
      <c r="F45" s="179"/>
      <c r="G45" s="179"/>
      <c r="H45" s="179"/>
      <c r="I45" s="179"/>
      <c r="J45" s="179"/>
      <c r="K45" s="179"/>
      <c r="L45" s="179"/>
      <c r="M45" s="179"/>
      <c r="N45" s="142"/>
      <c r="O45" s="143"/>
      <c r="P45" s="140"/>
    </row>
    <row r="46" spans="1:16" x14ac:dyDescent="0.2">
      <c r="A46" s="188"/>
      <c r="B46" s="186"/>
      <c r="C46" s="43" t="str">
        <f>VLOOKUP(Auxiliar!B1,Auxiliar!A3:AX262,50,FALSE)</f>
        <v>………..</v>
      </c>
      <c r="D46" s="209"/>
      <c r="E46" s="209"/>
      <c r="F46" s="180"/>
      <c r="G46" s="180"/>
      <c r="H46" s="180"/>
      <c r="I46" s="180"/>
      <c r="J46" s="180"/>
      <c r="K46" s="180"/>
      <c r="L46" s="180"/>
      <c r="M46" s="180"/>
      <c r="N46" s="144"/>
      <c r="O46" s="145"/>
      <c r="P46" s="140"/>
    </row>
    <row r="47" spans="1:16" x14ac:dyDescent="0.2">
      <c r="A47" s="187"/>
      <c r="B47" s="185" t="str">
        <f>VLOOKUP(Auxiliar!B1,Auxiliar!A3:BX262,51,FALSE)</f>
        <v>………</v>
      </c>
      <c r="C47" s="43" t="str">
        <f>VLOOKUP(Auxiliar!B1,Auxiliar!A3:BX262,52,FALSE)</f>
        <v>……..</v>
      </c>
      <c r="D47" s="41"/>
      <c r="E47" s="42"/>
      <c r="F47" s="171"/>
      <c r="G47" s="171"/>
      <c r="H47" s="171"/>
      <c r="I47" s="171"/>
      <c r="J47" s="171"/>
      <c r="K47" s="171"/>
      <c r="L47" s="98"/>
      <c r="M47" s="171"/>
      <c r="N47" s="175"/>
      <c r="O47" s="176"/>
      <c r="P47" s="140"/>
    </row>
    <row r="48" spans="1:16" x14ac:dyDescent="0.2">
      <c r="A48" s="188"/>
      <c r="B48" s="186"/>
      <c r="C48" s="43" t="str">
        <f>VLOOKUP(Auxiliar!B1,Auxiliar!A3:BX262,53,FALSE)</f>
        <v>……….</v>
      </c>
      <c r="D48" s="41"/>
      <c r="E48" s="42"/>
      <c r="F48" s="172"/>
      <c r="G48" s="172"/>
      <c r="H48" s="172"/>
      <c r="I48" s="172"/>
      <c r="J48" s="172"/>
      <c r="K48" s="172"/>
      <c r="L48" s="99"/>
      <c r="M48" s="172"/>
      <c r="N48" s="177"/>
      <c r="O48" s="178"/>
      <c r="P48" s="140"/>
    </row>
    <row r="49" spans="1:16" x14ac:dyDescent="0.2">
      <c r="A49" s="187"/>
      <c r="B49" s="185" t="str">
        <f>VLOOKUP(Auxiliar!B1,Auxiliar!A3:BX266,54,FALSE)</f>
        <v>……….</v>
      </c>
      <c r="C49" s="43" t="str">
        <f>VLOOKUP(Auxiliar!B1,Auxiliar!A3:BX262,55,FALSE)</f>
        <v>………..</v>
      </c>
      <c r="D49" s="208"/>
      <c r="E49" s="173"/>
      <c r="F49" s="171"/>
      <c r="G49" s="171"/>
      <c r="H49" s="171"/>
      <c r="I49" s="171"/>
      <c r="J49" s="171"/>
      <c r="K49" s="171"/>
      <c r="L49" s="98"/>
      <c r="M49" s="171"/>
      <c r="N49" s="175"/>
      <c r="O49" s="176"/>
      <c r="P49" s="140"/>
    </row>
    <row r="50" spans="1:16" x14ac:dyDescent="0.2">
      <c r="A50" s="188"/>
      <c r="B50" s="186"/>
      <c r="C50" s="43" t="str">
        <f>VLOOKUP(Auxiliar!B1,Auxiliar!A3:BX262,56,FALSE)</f>
        <v>……..</v>
      </c>
      <c r="D50" s="209"/>
      <c r="E50" s="174"/>
      <c r="F50" s="172"/>
      <c r="G50" s="172"/>
      <c r="H50" s="172"/>
      <c r="I50" s="172"/>
      <c r="J50" s="172"/>
      <c r="K50" s="172"/>
      <c r="L50" s="99"/>
      <c r="M50" s="172"/>
      <c r="N50" s="177"/>
      <c r="O50" s="178"/>
      <c r="P50" s="140"/>
    </row>
    <row r="51" spans="1:16" ht="36" customHeight="1" x14ac:dyDescent="0.2">
      <c r="A51" s="77" t="s">
        <v>67</v>
      </c>
      <c r="B51" s="193" t="s">
        <v>68</v>
      </c>
      <c r="C51" s="194"/>
      <c r="D51" s="6"/>
      <c r="E51" s="3"/>
      <c r="F51" s="3"/>
      <c r="G51" s="3"/>
      <c r="H51" s="3"/>
      <c r="I51" s="3"/>
      <c r="J51" s="3"/>
      <c r="K51" s="3"/>
      <c r="L51" s="78"/>
      <c r="M51" s="79"/>
      <c r="N51" s="197"/>
      <c r="O51" s="198"/>
    </row>
    <row r="52" spans="1:16" ht="12" customHeight="1" thickBot="1" x14ac:dyDescent="0.25">
      <c r="A52" s="200" t="s">
        <v>29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2"/>
    </row>
    <row r="53" spans="1:16" ht="12" customHeight="1" thickBot="1" x14ac:dyDescent="0.25">
      <c r="A53" s="203" t="s">
        <v>32</v>
      </c>
      <c r="B53" s="204"/>
      <c r="C53" s="191" t="s">
        <v>33</v>
      </c>
      <c r="D53" s="192"/>
      <c r="E53" s="195" t="s">
        <v>34</v>
      </c>
      <c r="F53" s="191"/>
      <c r="G53" s="192"/>
      <c r="H53" s="195" t="s">
        <v>35</v>
      </c>
      <c r="I53" s="191"/>
      <c r="J53" s="192"/>
      <c r="K53" s="195" t="s">
        <v>36</v>
      </c>
      <c r="L53" s="192"/>
      <c r="M53" s="195" t="s">
        <v>37</v>
      </c>
      <c r="N53" s="191"/>
      <c r="O53" s="196"/>
    </row>
    <row r="54" spans="1:16" ht="25.9" customHeight="1" thickBot="1" x14ac:dyDescent="0.25">
      <c r="A54" s="205"/>
      <c r="B54" s="206"/>
      <c r="C54" s="199"/>
      <c r="D54" s="190"/>
      <c r="E54" s="189"/>
      <c r="F54" s="199"/>
      <c r="G54" s="190"/>
      <c r="H54" s="189"/>
      <c r="I54" s="199"/>
      <c r="J54" s="190"/>
      <c r="K54" s="189"/>
      <c r="L54" s="190"/>
      <c r="M54" s="189"/>
      <c r="N54" s="199"/>
      <c r="O54" s="207"/>
    </row>
    <row r="55" spans="1:16" ht="9.75" customHeight="1" x14ac:dyDescent="0.2">
      <c r="A55" s="24"/>
      <c r="B55" s="25"/>
      <c r="C55" s="26"/>
      <c r="D55" s="8"/>
      <c r="E55" s="9"/>
      <c r="F55" s="9"/>
      <c r="G55" s="9"/>
      <c r="H55" s="9"/>
      <c r="I55" s="9"/>
      <c r="J55" s="9"/>
      <c r="K55" s="9"/>
      <c r="L55" s="10"/>
      <c r="M55" s="9"/>
      <c r="N55" s="5"/>
      <c r="O55" s="5"/>
    </row>
    <row r="56" spans="1:16" ht="20.100000000000001" customHeight="1" x14ac:dyDescent="0.2">
      <c r="A56" s="182" t="s">
        <v>30</v>
      </c>
      <c r="B56" s="182"/>
      <c r="C56" s="27"/>
      <c r="D56" s="28"/>
      <c r="E56" s="29"/>
      <c r="F56" s="29"/>
      <c r="G56" s="29"/>
      <c r="H56" s="29"/>
      <c r="I56" s="29"/>
      <c r="J56" s="29"/>
      <c r="K56" s="29"/>
      <c r="L56" s="30"/>
      <c r="M56" s="29"/>
      <c r="N56" s="31"/>
      <c r="O56" s="31"/>
    </row>
    <row r="57" spans="1:16" ht="14.45" customHeight="1" x14ac:dyDescent="0.2">
      <c r="A57" s="32"/>
      <c r="B57" s="33"/>
      <c r="C57" s="27"/>
      <c r="D57" s="28"/>
      <c r="E57" s="29"/>
      <c r="F57" s="29"/>
      <c r="G57" s="29"/>
      <c r="H57" s="29"/>
      <c r="I57" s="29"/>
      <c r="J57" s="29"/>
      <c r="K57" s="29"/>
      <c r="L57" s="30"/>
      <c r="M57" s="29"/>
      <c r="N57" s="31"/>
      <c r="O57" s="31"/>
    </row>
    <row r="58" spans="1:16" ht="14.45" customHeight="1" x14ac:dyDescent="0.2">
      <c r="A58" s="37"/>
      <c r="B58" s="23"/>
      <c r="C58" s="37"/>
      <c r="D58" s="34"/>
      <c r="E58" s="35"/>
      <c r="F58" s="35"/>
      <c r="G58" s="35"/>
      <c r="H58" s="35"/>
      <c r="I58" s="35"/>
      <c r="J58" s="35"/>
      <c r="K58" s="35"/>
      <c r="L58" s="36"/>
      <c r="M58" s="35"/>
      <c r="N58" s="37"/>
      <c r="O58" s="37"/>
    </row>
    <row r="59" spans="1:16" ht="14.45" customHeight="1" x14ac:dyDescent="0.2">
      <c r="A59" s="37"/>
      <c r="B59" s="23"/>
      <c r="C59" s="37"/>
      <c r="D59" s="34"/>
      <c r="E59" s="35"/>
      <c r="F59" s="35"/>
      <c r="G59" s="35"/>
      <c r="H59" s="35"/>
      <c r="I59" s="35"/>
      <c r="J59" s="35"/>
      <c r="K59" s="35"/>
      <c r="L59" s="36"/>
      <c r="M59" s="35"/>
      <c r="N59" s="37"/>
      <c r="O59" s="37"/>
    </row>
    <row r="60" spans="1:16" ht="14.45" customHeight="1" x14ac:dyDescent="0.2">
      <c r="A60" s="37"/>
      <c r="B60" s="23"/>
      <c r="C60" s="37"/>
      <c r="D60" s="34"/>
      <c r="E60" s="35"/>
      <c r="F60" s="35"/>
      <c r="G60" s="35"/>
      <c r="H60" s="35"/>
      <c r="I60" s="35"/>
      <c r="J60" s="35"/>
      <c r="K60" s="35"/>
      <c r="L60" s="36"/>
      <c r="M60" s="35"/>
      <c r="N60" s="37"/>
      <c r="O60" s="37"/>
    </row>
    <row r="61" spans="1:16" ht="14.45" customHeight="1" x14ac:dyDescent="0.2">
      <c r="A61" s="37"/>
      <c r="B61" s="23"/>
      <c r="C61" s="37"/>
      <c r="D61" s="34"/>
      <c r="E61" s="35"/>
      <c r="F61" s="35"/>
      <c r="G61" s="35"/>
      <c r="H61" s="35"/>
      <c r="I61" s="35"/>
      <c r="J61" s="35"/>
      <c r="K61" s="35"/>
      <c r="L61" s="36"/>
      <c r="M61" s="35"/>
      <c r="N61" s="37"/>
      <c r="O61" s="37"/>
    </row>
    <row r="62" spans="1:16" ht="14.45" customHeight="1" x14ac:dyDescent="0.2">
      <c r="A62" s="5"/>
      <c r="B62" s="7"/>
      <c r="C62" s="5"/>
      <c r="D62" s="8"/>
      <c r="E62" s="9"/>
      <c r="F62" s="9"/>
      <c r="G62" s="9"/>
      <c r="H62" s="9"/>
      <c r="I62" s="9"/>
      <c r="J62" s="9"/>
      <c r="K62" s="9"/>
      <c r="L62" s="10"/>
      <c r="M62" s="9"/>
      <c r="N62" s="5"/>
      <c r="O62" s="5"/>
    </row>
    <row r="63" spans="1:16" ht="14.45" customHeight="1" x14ac:dyDescent="0.2">
      <c r="A63" s="5"/>
      <c r="B63" s="7"/>
      <c r="C63" s="5"/>
      <c r="D63" s="8"/>
      <c r="E63" s="9"/>
      <c r="F63" s="9"/>
      <c r="G63" s="9"/>
      <c r="H63" s="9"/>
      <c r="I63" s="9"/>
      <c r="J63" s="9"/>
      <c r="K63" s="9"/>
      <c r="L63" s="10"/>
      <c r="M63" s="9"/>
      <c r="N63" s="5"/>
      <c r="O63" s="5"/>
    </row>
    <row r="64" spans="1:16" ht="23.25" customHeight="1" x14ac:dyDescent="0.2">
      <c r="A64" s="170" t="s">
        <v>38</v>
      </c>
      <c r="B64" s="170"/>
      <c r="C64" s="170"/>
      <c r="D64" s="170"/>
      <c r="E64" s="170"/>
      <c r="F64" s="170"/>
      <c r="G64" s="170"/>
      <c r="H64" s="44"/>
      <c r="I64" s="169" t="s">
        <v>14</v>
      </c>
      <c r="J64" s="169"/>
      <c r="K64" s="169"/>
      <c r="L64" s="169"/>
      <c r="M64" s="169"/>
      <c r="N64" s="169"/>
      <c r="O64" s="169"/>
    </row>
    <row r="65" ht="6.75" customHeight="1" x14ac:dyDescent="0.2"/>
    <row r="66" ht="3.75" customHeight="1" x14ac:dyDescent="0.2"/>
    <row r="67" ht="24" customHeight="1" x14ac:dyDescent="0.2"/>
    <row r="68" ht="24" customHeight="1" x14ac:dyDescent="0.2"/>
    <row r="69" ht="24" customHeight="1" x14ac:dyDescent="0.2"/>
    <row r="70" ht="15" customHeight="1" x14ac:dyDescent="0.2"/>
    <row r="71" ht="32.1" customHeight="1" x14ac:dyDescent="0.2"/>
    <row r="72" ht="32.1" customHeight="1" x14ac:dyDescent="0.2"/>
    <row r="73" ht="32.1" customHeight="1" x14ac:dyDescent="0.2"/>
    <row r="74" ht="32.1" customHeight="1" x14ac:dyDescent="0.2"/>
    <row r="75" ht="32.1" customHeight="1" x14ac:dyDescent="0.2"/>
    <row r="76" ht="32.1" customHeight="1" x14ac:dyDescent="0.2"/>
    <row r="77" ht="32.1" customHeight="1" x14ac:dyDescent="0.2"/>
    <row r="78" ht="32.1" customHeight="1" x14ac:dyDescent="0.2"/>
    <row r="79" ht="32.1" customHeight="1" x14ac:dyDescent="0.2"/>
    <row r="80" ht="32.1" customHeight="1" x14ac:dyDescent="0.2"/>
    <row r="81" ht="32.1" customHeight="1" x14ac:dyDescent="0.2"/>
    <row r="82" ht="32.1" customHeight="1" x14ac:dyDescent="0.2"/>
    <row r="83" ht="32.1" customHeight="1" x14ac:dyDescent="0.2"/>
    <row r="84" ht="32.1" customHeight="1" x14ac:dyDescent="0.2"/>
    <row r="85" ht="32.1" customHeight="1" x14ac:dyDescent="0.2"/>
    <row r="86" ht="32.1" customHeight="1" x14ac:dyDescent="0.2"/>
    <row r="87" ht="32.1" customHeight="1" x14ac:dyDescent="0.2"/>
    <row r="88" ht="32.1" customHeight="1" x14ac:dyDescent="0.2"/>
    <row r="89" ht="32.1" customHeight="1" x14ac:dyDescent="0.2"/>
    <row r="90" ht="32.1" customHeight="1" x14ac:dyDescent="0.2"/>
    <row r="91" ht="32.1" customHeight="1" x14ac:dyDescent="0.2"/>
    <row r="92" ht="32.1" customHeight="1" x14ac:dyDescent="0.2"/>
    <row r="93" ht="32.1" customHeight="1" x14ac:dyDescent="0.2"/>
    <row r="94" ht="32.1" customHeight="1" x14ac:dyDescent="0.2"/>
    <row r="95" ht="24" customHeight="1" x14ac:dyDescent="0.2"/>
    <row r="96" ht="24" customHeight="1" x14ac:dyDescent="0.2"/>
    <row r="97" ht="24" customHeight="1" x14ac:dyDescent="0.2"/>
    <row r="98" ht="24" customHeight="1" x14ac:dyDescent="0.2"/>
    <row r="99" ht="24" customHeight="1" x14ac:dyDescent="0.2"/>
    <row r="100" ht="24" customHeight="1" x14ac:dyDescent="0.2"/>
  </sheetData>
  <sheetProtection selectLockedCells="1" selectUnlockedCells="1"/>
  <mergeCells count="278">
    <mergeCell ref="F47:F48"/>
    <mergeCell ref="G47:G48"/>
    <mergeCell ref="H47:H48"/>
    <mergeCell ref="I47:I48"/>
    <mergeCell ref="J47:J48"/>
    <mergeCell ref="K47:K48"/>
    <mergeCell ref="L47:L48"/>
    <mergeCell ref="M47:M48"/>
    <mergeCell ref="F35:F36"/>
    <mergeCell ref="G35:G36"/>
    <mergeCell ref="H35:H36"/>
    <mergeCell ref="I35:I36"/>
    <mergeCell ref="J35:J36"/>
    <mergeCell ref="K35:K36"/>
    <mergeCell ref="H39:H40"/>
    <mergeCell ref="L39:L40"/>
    <mergeCell ref="M39:M40"/>
    <mergeCell ref="K23:K24"/>
    <mergeCell ref="A39:A40"/>
    <mergeCell ref="B39:B40"/>
    <mergeCell ref="D39:D40"/>
    <mergeCell ref="E39:E40"/>
    <mergeCell ref="F39:F40"/>
    <mergeCell ref="G39:G40"/>
    <mergeCell ref="I39:I40"/>
    <mergeCell ref="J39:J40"/>
    <mergeCell ref="K39:K40"/>
    <mergeCell ref="A35:A36"/>
    <mergeCell ref="B35:B36"/>
    <mergeCell ref="J29:J30"/>
    <mergeCell ref="K29:K30"/>
    <mergeCell ref="A29:A30"/>
    <mergeCell ref="E27:E28"/>
    <mergeCell ref="G25:G26"/>
    <mergeCell ref="F23:F24"/>
    <mergeCell ref="G23:G24"/>
    <mergeCell ref="H23:H24"/>
    <mergeCell ref="I23:I24"/>
    <mergeCell ref="J23:J24"/>
    <mergeCell ref="I31:I32"/>
    <mergeCell ref="J31:J32"/>
    <mergeCell ref="N39:O40"/>
    <mergeCell ref="A41:A42"/>
    <mergeCell ref="B41:B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M41:M42"/>
    <mergeCell ref="N41:O42"/>
    <mergeCell ref="N45:O46"/>
    <mergeCell ref="K43:K44"/>
    <mergeCell ref="L43:L44"/>
    <mergeCell ref="M43:M44"/>
    <mergeCell ref="N43:O44"/>
    <mergeCell ref="A43:A44"/>
    <mergeCell ref="B43:B44"/>
    <mergeCell ref="D43:D44"/>
    <mergeCell ref="E43:E44"/>
    <mergeCell ref="F43:F44"/>
    <mergeCell ref="G43:G44"/>
    <mergeCell ref="H43:H44"/>
    <mergeCell ref="I43:I44"/>
    <mergeCell ref="J43:J44"/>
    <mergeCell ref="A45:A46"/>
    <mergeCell ref="B45:B46"/>
    <mergeCell ref="D45:D46"/>
    <mergeCell ref="E45:E46"/>
    <mergeCell ref="F45:F46"/>
    <mergeCell ref="H45:H46"/>
    <mergeCell ref="I45:I46"/>
    <mergeCell ref="L45:L46"/>
    <mergeCell ref="M45:M46"/>
    <mergeCell ref="A47:A48"/>
    <mergeCell ref="B47:B48"/>
    <mergeCell ref="N47:O48"/>
    <mergeCell ref="M37:M38"/>
    <mergeCell ref="N37:O38"/>
    <mergeCell ref="P47:P50"/>
    <mergeCell ref="A49:A50"/>
    <mergeCell ref="B49:B50"/>
    <mergeCell ref="D49:D50"/>
    <mergeCell ref="E49:E50"/>
    <mergeCell ref="F49:F50"/>
    <mergeCell ref="J45:J46"/>
    <mergeCell ref="K45:K46"/>
    <mergeCell ref="G37:G38"/>
    <mergeCell ref="H37:H38"/>
    <mergeCell ref="I37:I38"/>
    <mergeCell ref="J37:J38"/>
    <mergeCell ref="K37:K38"/>
    <mergeCell ref="F37:F38"/>
    <mergeCell ref="G45:G46"/>
    <mergeCell ref="L49:L50"/>
    <mergeCell ref="M49:M50"/>
    <mergeCell ref="N49:O50"/>
    <mergeCell ref="P43:P46"/>
    <mergeCell ref="N35:O36"/>
    <mergeCell ref="P35:P38"/>
    <mergeCell ref="A37:A38"/>
    <mergeCell ref="B37:B38"/>
    <mergeCell ref="D37:D38"/>
    <mergeCell ref="E37:E38"/>
    <mergeCell ref="J33:J34"/>
    <mergeCell ref="K33:K34"/>
    <mergeCell ref="L33:L34"/>
    <mergeCell ref="M33:M34"/>
    <mergeCell ref="L37:L38"/>
    <mergeCell ref="N33:O34"/>
    <mergeCell ref="L35:L36"/>
    <mergeCell ref="M35:M36"/>
    <mergeCell ref="P31:P34"/>
    <mergeCell ref="A33:A34"/>
    <mergeCell ref="B33:B34"/>
    <mergeCell ref="D33:D34"/>
    <mergeCell ref="E33:E34"/>
    <mergeCell ref="F33:F34"/>
    <mergeCell ref="G33:G34"/>
    <mergeCell ref="H33:H34"/>
    <mergeCell ref="I33:I34"/>
    <mergeCell ref="H31:H32"/>
    <mergeCell ref="K31:K32"/>
    <mergeCell ref="L31:L32"/>
    <mergeCell ref="M31:M32"/>
    <mergeCell ref="M29:M30"/>
    <mergeCell ref="N29:O30"/>
    <mergeCell ref="B31:B32"/>
    <mergeCell ref="D31:D32"/>
    <mergeCell ref="E31:E32"/>
    <mergeCell ref="F31:F32"/>
    <mergeCell ref="G31:G32"/>
    <mergeCell ref="N31:O32"/>
    <mergeCell ref="L29:L30"/>
    <mergeCell ref="M27:M28"/>
    <mergeCell ref="N27:O28"/>
    <mergeCell ref="B29:B30"/>
    <mergeCell ref="D29:D30"/>
    <mergeCell ref="E29:E30"/>
    <mergeCell ref="F29:F30"/>
    <mergeCell ref="G29:G30"/>
    <mergeCell ref="H29:H30"/>
    <mergeCell ref="I29:I30"/>
    <mergeCell ref="F27:F28"/>
    <mergeCell ref="G27:G28"/>
    <mergeCell ref="H27:H28"/>
    <mergeCell ref="I27:I28"/>
    <mergeCell ref="J27:J28"/>
    <mergeCell ref="K27:K28"/>
    <mergeCell ref="L27:L28"/>
    <mergeCell ref="K54:L54"/>
    <mergeCell ref="C53:D53"/>
    <mergeCell ref="B51:C51"/>
    <mergeCell ref="M53:O53"/>
    <mergeCell ref="N51:O51"/>
    <mergeCell ref="G49:G50"/>
    <mergeCell ref="H49:H50"/>
    <mergeCell ref="I49:I50"/>
    <mergeCell ref="J49:J50"/>
    <mergeCell ref="K49:K50"/>
    <mergeCell ref="E53:G53"/>
    <mergeCell ref="C54:D54"/>
    <mergeCell ref="E54:G54"/>
    <mergeCell ref="H54:J54"/>
    <mergeCell ref="H53:J53"/>
    <mergeCell ref="A52:O52"/>
    <mergeCell ref="A53:B54"/>
    <mergeCell ref="K53:L53"/>
    <mergeCell ref="M54:O54"/>
    <mergeCell ref="E19:E20"/>
    <mergeCell ref="E17:E18"/>
    <mergeCell ref="D17:D18"/>
    <mergeCell ref="J19:J20"/>
    <mergeCell ref="B17:B18"/>
    <mergeCell ref="F21:F22"/>
    <mergeCell ref="B19:B20"/>
    <mergeCell ref="G21:G22"/>
    <mergeCell ref="F17:F18"/>
    <mergeCell ref="K15:K16"/>
    <mergeCell ref="A56:B56"/>
    <mergeCell ref="A15:A16"/>
    <mergeCell ref="B15:B16"/>
    <mergeCell ref="A21:A22"/>
    <mergeCell ref="B21:B22"/>
    <mergeCell ref="F15:F16"/>
    <mergeCell ref="A27:A28"/>
    <mergeCell ref="B27:B28"/>
    <mergeCell ref="D27:D28"/>
    <mergeCell ref="A31:A32"/>
    <mergeCell ref="G19:G20"/>
    <mergeCell ref="H21:H22"/>
    <mergeCell ref="I19:I20"/>
    <mergeCell ref="K21:K22"/>
    <mergeCell ref="I21:I22"/>
    <mergeCell ref="J25:J26"/>
    <mergeCell ref="J15:J16"/>
    <mergeCell ref="A19:A20"/>
    <mergeCell ref="G17:G18"/>
    <mergeCell ref="F19:F20"/>
    <mergeCell ref="G15:G16"/>
    <mergeCell ref="D19:D20"/>
    <mergeCell ref="J17:J18"/>
    <mergeCell ref="I64:O64"/>
    <mergeCell ref="A64:G64"/>
    <mergeCell ref="M25:M26"/>
    <mergeCell ref="H25:H26"/>
    <mergeCell ref="E25:E26"/>
    <mergeCell ref="I25:I26"/>
    <mergeCell ref="P23:P26"/>
    <mergeCell ref="N21:O22"/>
    <mergeCell ref="K25:K26"/>
    <mergeCell ref="N23:O24"/>
    <mergeCell ref="N25:O26"/>
    <mergeCell ref="M21:M22"/>
    <mergeCell ref="L23:L24"/>
    <mergeCell ref="M23:M24"/>
    <mergeCell ref="L21:L22"/>
    <mergeCell ref="J21:J22"/>
    <mergeCell ref="A25:A26"/>
    <mergeCell ref="A23:A24"/>
    <mergeCell ref="B23:B24"/>
    <mergeCell ref="B25:B26"/>
    <mergeCell ref="D25:D26"/>
    <mergeCell ref="D21:D22"/>
    <mergeCell ref="E21:E22"/>
    <mergeCell ref="F25:F26"/>
    <mergeCell ref="P19:P22"/>
    <mergeCell ref="N19:O20"/>
    <mergeCell ref="L19:L20"/>
    <mergeCell ref="K7:O7"/>
    <mergeCell ref="H7:J7"/>
    <mergeCell ref="K9:O9"/>
    <mergeCell ref="H11:O11"/>
    <mergeCell ref="N12:O14"/>
    <mergeCell ref="N17:O18"/>
    <mergeCell ref="N15:O16"/>
    <mergeCell ref="K17:K18"/>
    <mergeCell ref="M19:M20"/>
    <mergeCell ref="L17:L18"/>
    <mergeCell ref="M17:M18"/>
    <mergeCell ref="D12:M13"/>
    <mergeCell ref="D15:D16"/>
    <mergeCell ref="E15:E16"/>
    <mergeCell ref="M15:M16"/>
    <mergeCell ref="L15:L16"/>
    <mergeCell ref="K10:O10"/>
    <mergeCell ref="H9:J10"/>
    <mergeCell ref="K19:K20"/>
    <mergeCell ref="I17:I18"/>
    <mergeCell ref="H19:H20"/>
    <mergeCell ref="H8:J8"/>
    <mergeCell ref="K8:M8"/>
    <mergeCell ref="N8:O8"/>
    <mergeCell ref="A8:G9"/>
    <mergeCell ref="L25:L26"/>
    <mergeCell ref="A1:C6"/>
    <mergeCell ref="D5:G6"/>
    <mergeCell ref="K5:K6"/>
    <mergeCell ref="L5:O6"/>
    <mergeCell ref="H5:I6"/>
    <mergeCell ref="J5:J6"/>
    <mergeCell ref="D1:O4"/>
    <mergeCell ref="A7:B7"/>
    <mergeCell ref="C7:G7"/>
    <mergeCell ref="A12:A14"/>
    <mergeCell ref="A10:B10"/>
    <mergeCell ref="C10:G10"/>
    <mergeCell ref="A11:G11"/>
    <mergeCell ref="B12:B14"/>
    <mergeCell ref="C12:C14"/>
    <mergeCell ref="A17:A18"/>
    <mergeCell ref="H17:H18"/>
    <mergeCell ref="H15:H16"/>
    <mergeCell ref="I15:I16"/>
  </mergeCells>
  <phoneticPr fontId="1" type="noConversion"/>
  <printOptions horizontalCentered="1"/>
  <pageMargins left="0.39370078740157483" right="0.19685039370078741" top="0.17" bottom="0.48" header="0.17" footer="0"/>
  <pageSetup paperSize="9" scale="9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2" r:id="rId4" name="Drop Down 18">
              <controlPr locked="0" defaultSize="0" autoLine="0" autoPict="0">
                <anchor moveWithCells="1">
                  <from>
                    <xdr:col>10</xdr:col>
                    <xdr:colOff>57150</xdr:colOff>
                    <xdr:row>6</xdr:row>
                    <xdr:rowOff>57150</xdr:rowOff>
                  </from>
                  <to>
                    <xdr:col>14</xdr:col>
                    <xdr:colOff>219075</xdr:colOff>
                    <xdr:row>6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BI256"/>
  <sheetViews>
    <sheetView tabSelected="1" zoomScale="120" zoomScaleNormal="12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G2" sqref="A2:BG2"/>
    </sheetView>
  </sheetViews>
  <sheetFormatPr baseColWidth="10" defaultRowHeight="12.75" x14ac:dyDescent="0.2"/>
  <cols>
    <col min="1" max="1" width="7.85546875" bestFit="1" customWidth="1"/>
    <col min="2" max="2" width="26.28515625" style="12" customWidth="1"/>
    <col min="3" max="6" width="9.7109375" customWidth="1"/>
    <col min="7" max="8" width="9.7109375" style="4" customWidth="1"/>
    <col min="9" max="56" width="9.7109375" customWidth="1"/>
    <col min="57" max="57" width="5.7109375" style="4" customWidth="1"/>
    <col min="58" max="58" width="14.140625" style="4" customWidth="1"/>
    <col min="59" max="59" width="12.7109375" customWidth="1"/>
  </cols>
  <sheetData>
    <row r="1" spans="1:61" x14ac:dyDescent="0.2">
      <c r="A1" s="22" t="s">
        <v>20</v>
      </c>
      <c r="B1" s="22">
        <v>7</v>
      </c>
      <c r="C1" s="15">
        <v>3</v>
      </c>
      <c r="D1" s="16">
        <v>4</v>
      </c>
      <c r="E1" s="16">
        <v>5</v>
      </c>
      <c r="F1" s="17">
        <v>6</v>
      </c>
      <c r="G1" s="39">
        <v>7</v>
      </c>
      <c r="H1" s="39">
        <v>8</v>
      </c>
      <c r="I1" s="17">
        <v>9</v>
      </c>
      <c r="J1" s="17">
        <v>10</v>
      </c>
      <c r="K1" s="17">
        <v>11</v>
      </c>
      <c r="L1" s="17">
        <v>12</v>
      </c>
      <c r="M1" s="17">
        <v>13</v>
      </c>
      <c r="N1" s="17">
        <v>14</v>
      </c>
      <c r="O1" s="17">
        <v>15</v>
      </c>
      <c r="P1" s="17">
        <v>16</v>
      </c>
      <c r="Q1" s="17">
        <v>17</v>
      </c>
      <c r="R1" s="17">
        <v>18</v>
      </c>
      <c r="S1" s="17">
        <v>19</v>
      </c>
      <c r="T1" s="17">
        <v>20</v>
      </c>
      <c r="U1" s="17">
        <v>21</v>
      </c>
      <c r="V1" s="17">
        <v>22</v>
      </c>
      <c r="W1" s="17">
        <v>23</v>
      </c>
      <c r="X1" s="17">
        <v>24</v>
      </c>
      <c r="Y1" s="45">
        <v>25</v>
      </c>
      <c r="Z1" s="18">
        <v>26</v>
      </c>
      <c r="AA1" s="18">
        <v>27</v>
      </c>
      <c r="AB1" s="18">
        <v>28</v>
      </c>
      <c r="AC1" s="18">
        <v>29</v>
      </c>
      <c r="AD1" s="18">
        <v>30</v>
      </c>
      <c r="AE1" s="18">
        <v>31</v>
      </c>
      <c r="AF1" s="18">
        <v>32</v>
      </c>
      <c r="AG1" s="18">
        <v>33</v>
      </c>
      <c r="AH1" s="18">
        <v>34</v>
      </c>
      <c r="AI1" s="18">
        <v>35</v>
      </c>
      <c r="AJ1" s="18">
        <v>36</v>
      </c>
      <c r="AK1" s="18">
        <v>37</v>
      </c>
      <c r="AL1" s="18">
        <v>38</v>
      </c>
      <c r="AM1" s="18">
        <v>39</v>
      </c>
      <c r="AN1" s="18">
        <v>40</v>
      </c>
      <c r="AO1" s="18">
        <v>41</v>
      </c>
      <c r="AP1" s="18">
        <v>42</v>
      </c>
      <c r="AQ1" s="18">
        <v>43</v>
      </c>
      <c r="AR1" s="18">
        <v>44</v>
      </c>
      <c r="AS1" s="18">
        <v>45</v>
      </c>
      <c r="AT1" s="18">
        <v>46</v>
      </c>
      <c r="AU1" s="18">
        <v>47</v>
      </c>
      <c r="AV1" s="18">
        <v>48</v>
      </c>
      <c r="AW1" s="18">
        <v>49</v>
      </c>
      <c r="AX1" s="18">
        <v>50</v>
      </c>
      <c r="AY1" s="18">
        <v>51</v>
      </c>
      <c r="AZ1" s="18">
        <v>52</v>
      </c>
      <c r="BA1" s="18">
        <v>53</v>
      </c>
      <c r="BB1" s="18">
        <v>54</v>
      </c>
      <c r="BC1" s="18">
        <v>55</v>
      </c>
      <c r="BD1" s="18">
        <v>56</v>
      </c>
      <c r="BE1" s="51">
        <v>57</v>
      </c>
      <c r="BF1" s="51">
        <v>58</v>
      </c>
      <c r="BG1" s="18">
        <v>59</v>
      </c>
    </row>
    <row r="2" spans="1:61" s="12" customFormat="1" ht="12.75" customHeight="1" x14ac:dyDescent="0.2">
      <c r="A2" s="12" t="s">
        <v>92</v>
      </c>
      <c r="B2" s="65" t="s">
        <v>19</v>
      </c>
      <c r="C2" s="19" t="s">
        <v>50</v>
      </c>
      <c r="D2" s="66" t="s">
        <v>65</v>
      </c>
      <c r="E2" s="66" t="s">
        <v>66</v>
      </c>
      <c r="F2" s="67" t="s">
        <v>23</v>
      </c>
      <c r="G2" s="66" t="s">
        <v>65</v>
      </c>
      <c r="H2" s="66" t="s">
        <v>66</v>
      </c>
      <c r="I2" s="67" t="s">
        <v>21</v>
      </c>
      <c r="J2" s="66" t="s">
        <v>65</v>
      </c>
      <c r="K2" s="66" t="s">
        <v>66</v>
      </c>
      <c r="L2" s="67" t="s">
        <v>22</v>
      </c>
      <c r="M2" s="66" t="s">
        <v>65</v>
      </c>
      <c r="N2" s="66" t="s">
        <v>66</v>
      </c>
      <c r="O2" s="68" t="s">
        <v>51</v>
      </c>
      <c r="P2" s="66" t="s">
        <v>65</v>
      </c>
      <c r="Q2" s="66" t="s">
        <v>66</v>
      </c>
      <c r="R2" s="68" t="s">
        <v>52</v>
      </c>
      <c r="S2" s="66" t="s">
        <v>65</v>
      </c>
      <c r="T2" s="66" t="s">
        <v>66</v>
      </c>
      <c r="U2" s="19" t="s">
        <v>53</v>
      </c>
      <c r="V2" s="66" t="s">
        <v>65</v>
      </c>
      <c r="W2" s="66" t="s">
        <v>66</v>
      </c>
      <c r="X2" s="67" t="s">
        <v>54</v>
      </c>
      <c r="Y2" s="66" t="s">
        <v>65</v>
      </c>
      <c r="Z2" s="66" t="s">
        <v>66</v>
      </c>
      <c r="AA2" s="67" t="s">
        <v>55</v>
      </c>
      <c r="AB2" s="66" t="s">
        <v>65</v>
      </c>
      <c r="AC2" s="66" t="s">
        <v>66</v>
      </c>
      <c r="AD2" s="67" t="s">
        <v>56</v>
      </c>
      <c r="AE2" s="66" t="s">
        <v>65</v>
      </c>
      <c r="AF2" s="66" t="s">
        <v>66</v>
      </c>
      <c r="AG2" s="68" t="s">
        <v>57</v>
      </c>
      <c r="AH2" s="66" t="s">
        <v>65</v>
      </c>
      <c r="AI2" s="66" t="s">
        <v>66</v>
      </c>
      <c r="AJ2" s="68" t="s">
        <v>58</v>
      </c>
      <c r="AK2" s="66" t="s">
        <v>65</v>
      </c>
      <c r="AL2" s="66" t="s">
        <v>66</v>
      </c>
      <c r="AM2" s="19" t="s">
        <v>59</v>
      </c>
      <c r="AN2" s="66" t="s">
        <v>65</v>
      </c>
      <c r="AO2" s="66" t="s">
        <v>66</v>
      </c>
      <c r="AP2" s="67" t="s">
        <v>60</v>
      </c>
      <c r="AQ2" s="66" t="s">
        <v>65</v>
      </c>
      <c r="AR2" s="66" t="s">
        <v>66</v>
      </c>
      <c r="AS2" s="67" t="s">
        <v>61</v>
      </c>
      <c r="AT2" s="66" t="s">
        <v>65</v>
      </c>
      <c r="AU2" s="66" t="s">
        <v>66</v>
      </c>
      <c r="AV2" s="67" t="s">
        <v>62</v>
      </c>
      <c r="AW2" s="66" t="s">
        <v>65</v>
      </c>
      <c r="AX2" s="66" t="s">
        <v>66</v>
      </c>
      <c r="AY2" s="68" t="s">
        <v>63</v>
      </c>
      <c r="AZ2" s="66" t="s">
        <v>65</v>
      </c>
      <c r="BA2" s="66" t="s">
        <v>66</v>
      </c>
      <c r="BB2" s="68" t="s">
        <v>64</v>
      </c>
      <c r="BC2" s="66" t="s">
        <v>65</v>
      </c>
      <c r="BD2" s="66" t="s">
        <v>66</v>
      </c>
      <c r="BE2" s="210" t="s">
        <v>48</v>
      </c>
      <c r="BF2" s="210" t="s">
        <v>49</v>
      </c>
      <c r="BG2" s="210" t="s">
        <v>93</v>
      </c>
    </row>
    <row r="3" spans="1:61" x14ac:dyDescent="0.2">
      <c r="A3" s="20">
        <v>1</v>
      </c>
      <c r="B3" s="47">
        <v>9010</v>
      </c>
      <c r="C3" s="13">
        <v>52</v>
      </c>
      <c r="D3" s="13">
        <v>0.1</v>
      </c>
      <c r="E3" s="13">
        <v>-0.1</v>
      </c>
      <c r="F3" s="13">
        <v>39.5</v>
      </c>
      <c r="G3" s="13">
        <v>0.2</v>
      </c>
      <c r="H3" s="13">
        <v>0</v>
      </c>
      <c r="I3" s="48" t="s">
        <v>42</v>
      </c>
      <c r="J3" s="13">
        <v>0.2</v>
      </c>
      <c r="K3" s="13">
        <v>0</v>
      </c>
      <c r="L3" s="48" t="s">
        <v>85</v>
      </c>
      <c r="M3" s="13">
        <v>0.1</v>
      </c>
      <c r="N3" s="13">
        <v>0</v>
      </c>
      <c r="O3" s="48" t="s">
        <v>44</v>
      </c>
      <c r="P3" s="13">
        <v>0.25</v>
      </c>
      <c r="Q3" s="13">
        <v>0</v>
      </c>
      <c r="R3" s="48" t="s">
        <v>84</v>
      </c>
      <c r="S3" s="13">
        <v>0.25</v>
      </c>
      <c r="T3" s="13">
        <v>0</v>
      </c>
      <c r="U3" s="13">
        <v>10.5</v>
      </c>
      <c r="V3" s="13">
        <v>0.1</v>
      </c>
      <c r="W3" s="13">
        <v>-0.1</v>
      </c>
      <c r="X3" s="48">
        <v>27.5</v>
      </c>
      <c r="Y3" s="13">
        <v>0.2</v>
      </c>
      <c r="Z3" s="13">
        <v>0</v>
      </c>
      <c r="AA3" s="48">
        <v>57</v>
      </c>
      <c r="AB3" s="48">
        <v>0.1</v>
      </c>
      <c r="AC3" s="13">
        <v>-0.1</v>
      </c>
      <c r="AD3" s="69">
        <v>62</v>
      </c>
      <c r="AE3" s="13">
        <v>0.1</v>
      </c>
      <c r="AF3" s="13">
        <v>0</v>
      </c>
      <c r="AG3" s="13">
        <v>39</v>
      </c>
      <c r="AH3" s="13">
        <v>0.3</v>
      </c>
      <c r="AI3" s="13">
        <v>0</v>
      </c>
      <c r="AJ3" s="48" t="s">
        <v>45</v>
      </c>
      <c r="AK3" s="70" t="s">
        <v>86</v>
      </c>
      <c r="AL3" s="83">
        <v>-0.01</v>
      </c>
      <c r="AM3" s="70">
        <v>14.5</v>
      </c>
      <c r="AN3" s="70">
        <v>0.1</v>
      </c>
      <c r="AO3" s="70">
        <v>-0.1</v>
      </c>
      <c r="AP3" s="70">
        <v>59.1</v>
      </c>
      <c r="AQ3" s="70">
        <v>0.1</v>
      </c>
      <c r="AR3" s="70">
        <v>0</v>
      </c>
      <c r="AS3" s="71" t="s">
        <v>46</v>
      </c>
      <c r="AT3" s="75">
        <v>0.2</v>
      </c>
      <c r="AU3" s="71">
        <v>0</v>
      </c>
      <c r="AV3" s="72" t="s">
        <v>47</v>
      </c>
      <c r="AW3" s="38">
        <v>0.25</v>
      </c>
      <c r="AX3" s="38">
        <v>0</v>
      </c>
      <c r="AY3" s="38"/>
      <c r="AZ3" s="1"/>
      <c r="BA3" s="1"/>
      <c r="BB3" s="1"/>
      <c r="BC3" s="1"/>
      <c r="BD3" s="1"/>
      <c r="BE3" s="4" t="s">
        <v>51</v>
      </c>
      <c r="BF3" s="76">
        <v>43038</v>
      </c>
      <c r="BH3" s="4"/>
      <c r="BI3" s="76"/>
    </row>
    <row r="4" spans="1:61" s="5" customFormat="1" x14ac:dyDescent="0.2">
      <c r="A4" s="20">
        <v>2</v>
      </c>
      <c r="B4" s="47">
        <v>9013</v>
      </c>
      <c r="C4" s="13">
        <v>52</v>
      </c>
      <c r="D4" s="13">
        <v>0.1</v>
      </c>
      <c r="E4" s="13">
        <v>-0.1</v>
      </c>
      <c r="F4" s="13">
        <v>39.5</v>
      </c>
      <c r="G4" s="13">
        <v>0.2</v>
      </c>
      <c r="H4" s="13">
        <v>0</v>
      </c>
      <c r="I4" s="48" t="s">
        <v>42</v>
      </c>
      <c r="J4" s="13">
        <v>0.2</v>
      </c>
      <c r="K4" s="13">
        <v>0</v>
      </c>
      <c r="L4" s="48" t="s">
        <v>43</v>
      </c>
      <c r="M4" s="13">
        <v>0.15</v>
      </c>
      <c r="N4" s="13">
        <v>0.1</v>
      </c>
      <c r="O4" s="48" t="s">
        <v>44</v>
      </c>
      <c r="P4" s="13">
        <v>0.25</v>
      </c>
      <c r="Q4" s="13">
        <v>0</v>
      </c>
      <c r="R4" s="48" t="s">
        <v>84</v>
      </c>
      <c r="S4" s="13">
        <v>0.25</v>
      </c>
      <c r="T4" s="13">
        <v>0</v>
      </c>
      <c r="U4" s="13">
        <v>10.5</v>
      </c>
      <c r="V4" s="13">
        <v>0.1</v>
      </c>
      <c r="W4" s="13">
        <v>-0.1</v>
      </c>
      <c r="X4" s="48">
        <v>27.5</v>
      </c>
      <c r="Y4" s="13">
        <v>0.2</v>
      </c>
      <c r="Z4" s="13">
        <v>0</v>
      </c>
      <c r="AA4" s="48">
        <v>57</v>
      </c>
      <c r="AB4" s="48">
        <v>0.1</v>
      </c>
      <c r="AC4" s="13">
        <v>-0.1</v>
      </c>
      <c r="AD4" s="69">
        <v>62</v>
      </c>
      <c r="AE4" s="13">
        <v>0.1</v>
      </c>
      <c r="AF4" s="13">
        <v>0</v>
      </c>
      <c r="AG4" s="13">
        <v>39</v>
      </c>
      <c r="AH4" s="13">
        <v>0.3</v>
      </c>
      <c r="AI4" s="13">
        <v>0</v>
      </c>
      <c r="AJ4" s="48" t="s">
        <v>45</v>
      </c>
      <c r="AK4" s="70" t="s">
        <v>86</v>
      </c>
      <c r="AL4" s="83">
        <v>-0.01</v>
      </c>
      <c r="AM4" s="70">
        <v>14.5</v>
      </c>
      <c r="AN4" s="70">
        <v>0.1</v>
      </c>
      <c r="AO4" s="70">
        <v>-0.1</v>
      </c>
      <c r="AP4" s="70">
        <v>59.1</v>
      </c>
      <c r="AQ4" s="70">
        <v>0.1</v>
      </c>
      <c r="AR4" s="70">
        <v>0</v>
      </c>
      <c r="AS4" s="71" t="s">
        <v>46</v>
      </c>
      <c r="AT4" s="75">
        <v>0.2</v>
      </c>
      <c r="AU4" s="71">
        <v>0</v>
      </c>
      <c r="AV4" s="72" t="s">
        <v>47</v>
      </c>
      <c r="AW4" s="38">
        <v>0.25</v>
      </c>
      <c r="AX4" s="38">
        <v>0</v>
      </c>
      <c r="AY4" s="38"/>
      <c r="AZ4" s="1"/>
      <c r="BA4" s="1"/>
      <c r="BB4" s="1"/>
      <c r="BC4" s="1"/>
      <c r="BD4" s="1"/>
      <c r="BE4" s="4" t="s">
        <v>50</v>
      </c>
      <c r="BF4" s="76">
        <v>43719</v>
      </c>
    </row>
    <row r="5" spans="1:61" s="5" customFormat="1" ht="12" customHeight="1" x14ac:dyDescent="0.2">
      <c r="A5" s="20">
        <v>3</v>
      </c>
      <c r="B5" s="47">
        <v>9011</v>
      </c>
      <c r="C5" s="13">
        <v>20</v>
      </c>
      <c r="D5" s="13" t="s">
        <v>72</v>
      </c>
      <c r="E5" s="13" t="s">
        <v>72</v>
      </c>
      <c r="F5" s="13" t="s">
        <v>47</v>
      </c>
      <c r="G5" s="13" t="s">
        <v>72</v>
      </c>
      <c r="H5" s="13" t="s">
        <v>72</v>
      </c>
      <c r="I5" s="13" t="s">
        <v>73</v>
      </c>
      <c r="J5" s="13">
        <v>0.1</v>
      </c>
      <c r="K5" s="13">
        <v>0</v>
      </c>
      <c r="L5" s="13">
        <v>247</v>
      </c>
      <c r="M5" s="13">
        <v>0.1</v>
      </c>
      <c r="N5" s="13">
        <v>0</v>
      </c>
      <c r="O5" s="13" t="s">
        <v>88</v>
      </c>
      <c r="P5" s="13">
        <v>0</v>
      </c>
      <c r="Q5" s="13">
        <v>-0.1</v>
      </c>
      <c r="R5" s="13" t="s">
        <v>74</v>
      </c>
      <c r="S5" s="13" t="s">
        <v>72</v>
      </c>
      <c r="T5" s="13" t="s">
        <v>72</v>
      </c>
      <c r="U5" s="13">
        <v>-1</v>
      </c>
      <c r="V5" s="13">
        <v>0.1</v>
      </c>
      <c r="W5" s="13">
        <v>0</v>
      </c>
      <c r="X5" s="13" t="s">
        <v>75</v>
      </c>
      <c r="Y5" s="13" t="s">
        <v>72</v>
      </c>
      <c r="Z5" s="13" t="s">
        <v>72</v>
      </c>
      <c r="AA5" s="48">
        <v>-10</v>
      </c>
      <c r="AB5" s="48">
        <v>0.2</v>
      </c>
      <c r="AC5" s="69">
        <v>-0.2</v>
      </c>
      <c r="AD5" s="80">
        <v>10</v>
      </c>
      <c r="AE5" s="13">
        <v>0.2</v>
      </c>
      <c r="AF5" s="13">
        <v>-0.2</v>
      </c>
      <c r="AG5" s="48" t="s">
        <v>76</v>
      </c>
      <c r="AH5" s="13">
        <v>0.25</v>
      </c>
      <c r="AI5" s="13">
        <v>0</v>
      </c>
      <c r="AJ5" s="71" t="s">
        <v>83</v>
      </c>
      <c r="AK5" s="38">
        <v>0.1</v>
      </c>
      <c r="AL5" s="38">
        <v>0</v>
      </c>
      <c r="AM5" s="71" t="s">
        <v>77</v>
      </c>
      <c r="AN5" s="71" t="s">
        <v>78</v>
      </c>
      <c r="AO5" s="71" t="s">
        <v>79</v>
      </c>
      <c r="AP5" s="71" t="s">
        <v>80</v>
      </c>
      <c r="AQ5" s="71" t="s">
        <v>81</v>
      </c>
      <c r="AR5" s="71" t="s">
        <v>82</v>
      </c>
      <c r="AS5" s="71" t="s">
        <v>81</v>
      </c>
      <c r="AT5" s="71" t="s">
        <v>82</v>
      </c>
      <c r="AU5" s="71" t="s">
        <v>77</v>
      </c>
      <c r="AV5" s="71" t="s">
        <v>82</v>
      </c>
      <c r="AW5" s="71" t="s">
        <v>81</v>
      </c>
      <c r="AX5" s="71" t="s">
        <v>81</v>
      </c>
      <c r="AY5" s="71" t="s">
        <v>80</v>
      </c>
      <c r="AZ5" s="81" t="s">
        <v>77</v>
      </c>
      <c r="BA5" s="81" t="s">
        <v>82</v>
      </c>
      <c r="BB5" s="81" t="s">
        <v>82</v>
      </c>
      <c r="BC5" s="81" t="s">
        <v>81</v>
      </c>
      <c r="BD5" s="81" t="s">
        <v>77</v>
      </c>
      <c r="BE5" s="54" t="s">
        <v>51</v>
      </c>
      <c r="BF5" s="76">
        <v>43038</v>
      </c>
      <c r="BH5" s="50"/>
      <c r="BI5" s="82"/>
    </row>
    <row r="6" spans="1:61" s="5" customFormat="1" x14ac:dyDescent="0.2">
      <c r="A6" s="20">
        <v>4</v>
      </c>
      <c r="B6" s="73">
        <v>9014</v>
      </c>
      <c r="C6" s="13">
        <v>20</v>
      </c>
      <c r="D6" s="13" t="s">
        <v>72</v>
      </c>
      <c r="E6" s="13" t="s">
        <v>72</v>
      </c>
      <c r="F6" s="13" t="s">
        <v>47</v>
      </c>
      <c r="G6" s="13" t="s">
        <v>72</v>
      </c>
      <c r="H6" s="13" t="s">
        <v>72</v>
      </c>
      <c r="I6" s="13" t="s">
        <v>73</v>
      </c>
      <c r="J6" s="13">
        <v>0.1</v>
      </c>
      <c r="K6" s="13">
        <v>0</v>
      </c>
      <c r="L6" s="13">
        <v>247</v>
      </c>
      <c r="M6" s="13">
        <v>0.1</v>
      </c>
      <c r="N6" s="13">
        <v>0</v>
      </c>
      <c r="O6" s="13" t="s">
        <v>88</v>
      </c>
      <c r="P6" s="13">
        <v>0</v>
      </c>
      <c r="Q6" s="13">
        <v>-0.1</v>
      </c>
      <c r="R6" s="13" t="s">
        <v>74</v>
      </c>
      <c r="S6" s="13" t="s">
        <v>72</v>
      </c>
      <c r="T6" s="13" t="s">
        <v>72</v>
      </c>
      <c r="U6" s="13">
        <v>-1</v>
      </c>
      <c r="V6" s="13">
        <v>0.1</v>
      </c>
      <c r="W6" s="13">
        <v>0</v>
      </c>
      <c r="X6" s="13" t="s">
        <v>75</v>
      </c>
      <c r="Y6" s="13" t="s">
        <v>72</v>
      </c>
      <c r="Z6" s="13" t="s">
        <v>72</v>
      </c>
      <c r="AA6" s="48">
        <v>-10</v>
      </c>
      <c r="AB6" s="48">
        <v>0.2</v>
      </c>
      <c r="AC6" s="13">
        <v>-0.2</v>
      </c>
      <c r="AD6" s="80">
        <v>10</v>
      </c>
      <c r="AE6" s="13">
        <v>0.2</v>
      </c>
      <c r="AF6" s="13">
        <v>-0.2</v>
      </c>
      <c r="AG6" s="48" t="s">
        <v>76</v>
      </c>
      <c r="AH6" s="13">
        <v>0.25</v>
      </c>
      <c r="AI6" s="13">
        <v>0</v>
      </c>
      <c r="AJ6" s="71" t="s">
        <v>83</v>
      </c>
      <c r="AK6" s="38">
        <v>0.1</v>
      </c>
      <c r="AL6" s="38">
        <v>0</v>
      </c>
      <c r="AM6" s="38">
        <v>13.5</v>
      </c>
      <c r="AN6" s="38">
        <v>0.1</v>
      </c>
      <c r="AO6" s="38">
        <v>0</v>
      </c>
      <c r="AP6" s="38">
        <v>7</v>
      </c>
      <c r="AQ6" s="38" t="s">
        <v>72</v>
      </c>
      <c r="AR6" s="38" t="s">
        <v>72</v>
      </c>
      <c r="AS6" s="38"/>
      <c r="AT6" s="38"/>
      <c r="AU6" s="38"/>
      <c r="AV6" s="38"/>
      <c r="AW6" s="38"/>
      <c r="AX6" s="38"/>
      <c r="AY6" s="38"/>
      <c r="AZ6" s="1"/>
      <c r="BA6" s="1"/>
      <c r="BB6" s="1"/>
      <c r="BC6" s="1"/>
      <c r="BD6" s="1"/>
      <c r="BE6" s="50">
        <v>0</v>
      </c>
      <c r="BF6" s="86">
        <v>43626</v>
      </c>
    </row>
    <row r="7" spans="1:61" s="5" customFormat="1" x14ac:dyDescent="0.2">
      <c r="A7" s="20">
        <v>5</v>
      </c>
      <c r="B7" s="47" t="s">
        <v>89</v>
      </c>
      <c r="C7" s="13">
        <v>52</v>
      </c>
      <c r="D7" s="13">
        <v>0.1</v>
      </c>
      <c r="E7" s="13">
        <v>-0.1</v>
      </c>
      <c r="F7" s="13">
        <v>39.5</v>
      </c>
      <c r="G7" s="13">
        <v>0.2</v>
      </c>
      <c r="H7" s="13">
        <v>0</v>
      </c>
      <c r="I7" s="48" t="s">
        <v>42</v>
      </c>
      <c r="J7" s="13">
        <v>0.2</v>
      </c>
      <c r="K7" s="13">
        <v>0</v>
      </c>
      <c r="L7" s="48" t="s">
        <v>85</v>
      </c>
      <c r="M7" s="13">
        <v>0.1</v>
      </c>
      <c r="N7" s="13">
        <v>0</v>
      </c>
      <c r="O7" s="48" t="s">
        <v>44</v>
      </c>
      <c r="P7" s="13">
        <v>0.25</v>
      </c>
      <c r="Q7" s="13">
        <v>0</v>
      </c>
      <c r="R7" s="48" t="s">
        <v>84</v>
      </c>
      <c r="S7" s="13">
        <v>0.25</v>
      </c>
      <c r="T7" s="13">
        <v>0</v>
      </c>
      <c r="U7" s="13">
        <v>10.5</v>
      </c>
      <c r="V7" s="13">
        <v>0.1</v>
      </c>
      <c r="W7" s="13">
        <v>-0.1</v>
      </c>
      <c r="X7" s="48">
        <v>27.5</v>
      </c>
      <c r="Y7" s="13">
        <v>0.2</v>
      </c>
      <c r="Z7" s="13">
        <v>0</v>
      </c>
      <c r="AA7" s="48">
        <v>57</v>
      </c>
      <c r="AB7" s="48">
        <v>0.1</v>
      </c>
      <c r="AC7" s="13">
        <v>-0.1</v>
      </c>
      <c r="AD7" s="69">
        <v>62</v>
      </c>
      <c r="AE7" s="13">
        <v>0.1</v>
      </c>
      <c r="AF7" s="13">
        <v>0</v>
      </c>
      <c r="AG7" s="13">
        <v>39</v>
      </c>
      <c r="AH7" s="13">
        <v>0.3</v>
      </c>
      <c r="AI7" s="13">
        <v>0</v>
      </c>
      <c r="AJ7" s="48" t="s">
        <v>45</v>
      </c>
      <c r="AK7" s="70" t="s">
        <v>86</v>
      </c>
      <c r="AL7" s="83">
        <v>-0.01</v>
      </c>
      <c r="AM7" s="70">
        <v>14.5</v>
      </c>
      <c r="AN7" s="70">
        <v>0.1</v>
      </c>
      <c r="AO7" s="70">
        <v>-0.1</v>
      </c>
      <c r="AP7" s="70">
        <v>59.1</v>
      </c>
      <c r="AQ7" s="70">
        <v>0.1</v>
      </c>
      <c r="AR7" s="70">
        <v>0</v>
      </c>
      <c r="AS7" s="71" t="s">
        <v>46</v>
      </c>
      <c r="AT7" s="75">
        <v>0.2</v>
      </c>
      <c r="AU7" s="71">
        <v>0</v>
      </c>
      <c r="AV7" s="72" t="s">
        <v>47</v>
      </c>
      <c r="AW7" s="38">
        <v>0.25</v>
      </c>
      <c r="AX7" s="38">
        <v>0</v>
      </c>
      <c r="AY7" s="38"/>
      <c r="AZ7" s="1"/>
      <c r="BA7" s="1"/>
      <c r="BB7" s="1"/>
      <c r="BC7" s="1"/>
      <c r="BD7" s="1"/>
      <c r="BE7" s="50" t="s">
        <v>52</v>
      </c>
      <c r="BF7" s="86">
        <v>43215</v>
      </c>
    </row>
    <row r="8" spans="1:61" s="5" customFormat="1" ht="15.75" customHeight="1" x14ac:dyDescent="0.2">
      <c r="A8" s="20">
        <v>6</v>
      </c>
      <c r="B8" s="73" t="s">
        <v>90</v>
      </c>
      <c r="C8" s="13">
        <v>20</v>
      </c>
      <c r="D8" s="13" t="s">
        <v>72</v>
      </c>
      <c r="E8" s="13" t="s">
        <v>72</v>
      </c>
      <c r="F8" s="13" t="s">
        <v>47</v>
      </c>
      <c r="G8" s="13" t="s">
        <v>72</v>
      </c>
      <c r="H8" s="13" t="s">
        <v>72</v>
      </c>
      <c r="I8" s="13" t="s">
        <v>73</v>
      </c>
      <c r="J8" s="13">
        <v>0.1</v>
      </c>
      <c r="K8" s="13">
        <v>0</v>
      </c>
      <c r="L8" s="13">
        <v>247</v>
      </c>
      <c r="M8" s="13">
        <v>0.1</v>
      </c>
      <c r="N8" s="13">
        <v>0</v>
      </c>
      <c r="O8" s="13" t="s">
        <v>88</v>
      </c>
      <c r="P8" s="13">
        <v>0</v>
      </c>
      <c r="Q8" s="13">
        <v>-0.1</v>
      </c>
      <c r="R8" s="13" t="s">
        <v>74</v>
      </c>
      <c r="S8" s="13" t="s">
        <v>72</v>
      </c>
      <c r="T8" s="13" t="s">
        <v>72</v>
      </c>
      <c r="U8" s="13">
        <v>-1</v>
      </c>
      <c r="V8" s="13">
        <v>0.1</v>
      </c>
      <c r="W8" s="13">
        <v>0</v>
      </c>
      <c r="X8" s="13" t="s">
        <v>75</v>
      </c>
      <c r="Y8" s="13" t="s">
        <v>72</v>
      </c>
      <c r="Z8" s="13" t="s">
        <v>72</v>
      </c>
      <c r="AA8" s="48">
        <v>-10</v>
      </c>
      <c r="AB8" s="48">
        <v>0.2</v>
      </c>
      <c r="AC8" s="69">
        <v>-0.2</v>
      </c>
      <c r="AD8" s="80">
        <v>10</v>
      </c>
      <c r="AE8" s="13">
        <v>0.2</v>
      </c>
      <c r="AF8" s="13">
        <v>-0.2</v>
      </c>
      <c r="AG8" s="48" t="s">
        <v>76</v>
      </c>
      <c r="AH8" s="13">
        <v>0.25</v>
      </c>
      <c r="AI8" s="13">
        <v>0</v>
      </c>
      <c r="AJ8" s="71" t="s">
        <v>83</v>
      </c>
      <c r="AK8" s="38">
        <v>0.1</v>
      </c>
      <c r="AL8" s="38">
        <v>0</v>
      </c>
      <c r="AM8" s="71" t="s">
        <v>77</v>
      </c>
      <c r="AN8" s="71" t="s">
        <v>78</v>
      </c>
      <c r="AO8" s="71" t="s">
        <v>79</v>
      </c>
      <c r="AP8" s="71" t="s">
        <v>80</v>
      </c>
      <c r="AQ8" s="71" t="s">
        <v>81</v>
      </c>
      <c r="AR8" s="71" t="s">
        <v>82</v>
      </c>
      <c r="AS8" s="71" t="s">
        <v>81</v>
      </c>
      <c r="AT8" s="71" t="s">
        <v>82</v>
      </c>
      <c r="AU8" s="71" t="s">
        <v>77</v>
      </c>
      <c r="AV8" s="71" t="s">
        <v>82</v>
      </c>
      <c r="AW8" s="71" t="s">
        <v>81</v>
      </c>
      <c r="AX8" s="71" t="s">
        <v>81</v>
      </c>
      <c r="AY8" s="71" t="s">
        <v>80</v>
      </c>
      <c r="AZ8" s="81" t="s">
        <v>77</v>
      </c>
      <c r="BA8" s="81" t="s">
        <v>82</v>
      </c>
      <c r="BB8" s="81" t="s">
        <v>82</v>
      </c>
      <c r="BC8" s="81" t="s">
        <v>81</v>
      </c>
      <c r="BD8" s="81" t="s">
        <v>77</v>
      </c>
      <c r="BE8" s="50" t="s">
        <v>52</v>
      </c>
      <c r="BF8" s="86">
        <v>43523</v>
      </c>
    </row>
    <row r="9" spans="1:61" s="5" customFormat="1" ht="15.75" customHeight="1" x14ac:dyDescent="0.2">
      <c r="A9" s="20">
        <v>7</v>
      </c>
      <c r="B9" s="47" t="s">
        <v>91</v>
      </c>
      <c r="C9" s="13">
        <v>20</v>
      </c>
      <c r="D9" s="13" t="s">
        <v>72</v>
      </c>
      <c r="E9" s="13" t="s">
        <v>72</v>
      </c>
      <c r="F9" s="13" t="s">
        <v>47</v>
      </c>
      <c r="G9" s="13" t="s">
        <v>72</v>
      </c>
      <c r="H9" s="13" t="s">
        <v>72</v>
      </c>
      <c r="I9" s="13" t="s">
        <v>73</v>
      </c>
      <c r="J9" s="13">
        <v>0.1</v>
      </c>
      <c r="K9" s="13">
        <v>0</v>
      </c>
      <c r="L9" s="13">
        <v>247</v>
      </c>
      <c r="M9" s="13">
        <v>0.1</v>
      </c>
      <c r="N9" s="13">
        <v>0</v>
      </c>
      <c r="O9" s="13" t="s">
        <v>88</v>
      </c>
      <c r="P9" s="13">
        <v>0</v>
      </c>
      <c r="Q9" s="13">
        <v>-0.1</v>
      </c>
      <c r="R9" s="13" t="s">
        <v>74</v>
      </c>
      <c r="S9" s="13" t="s">
        <v>72</v>
      </c>
      <c r="T9" s="13" t="s">
        <v>72</v>
      </c>
      <c r="U9" s="13">
        <v>-1</v>
      </c>
      <c r="V9" s="13">
        <v>0.1</v>
      </c>
      <c r="W9" s="13">
        <v>0</v>
      </c>
      <c r="X9" s="13" t="s">
        <v>75</v>
      </c>
      <c r="Y9" s="13" t="s">
        <v>72</v>
      </c>
      <c r="Z9" s="13" t="s">
        <v>72</v>
      </c>
      <c r="AA9" s="48">
        <v>-10</v>
      </c>
      <c r="AB9" s="48">
        <v>0.2</v>
      </c>
      <c r="AC9" s="69">
        <v>-0.2</v>
      </c>
      <c r="AD9" s="80">
        <v>10</v>
      </c>
      <c r="AE9" s="13">
        <v>0.2</v>
      </c>
      <c r="AF9" s="13">
        <v>-0.2</v>
      </c>
      <c r="AG9" s="48" t="s">
        <v>76</v>
      </c>
      <c r="AH9" s="13">
        <v>0.25</v>
      </c>
      <c r="AI9" s="13">
        <v>0</v>
      </c>
      <c r="AJ9" s="71" t="s">
        <v>83</v>
      </c>
      <c r="AK9" s="38">
        <v>0.1</v>
      </c>
      <c r="AL9" s="38">
        <v>0</v>
      </c>
      <c r="AM9" s="71" t="s">
        <v>77</v>
      </c>
      <c r="AN9" s="71" t="s">
        <v>78</v>
      </c>
      <c r="AO9" s="71" t="s">
        <v>79</v>
      </c>
      <c r="AP9" s="71" t="s">
        <v>80</v>
      </c>
      <c r="AQ9" s="71" t="s">
        <v>81</v>
      </c>
      <c r="AR9" s="71" t="s">
        <v>82</v>
      </c>
      <c r="AS9" s="71" t="s">
        <v>81</v>
      </c>
      <c r="AT9" s="71" t="s">
        <v>82</v>
      </c>
      <c r="AU9" s="71" t="s">
        <v>77</v>
      </c>
      <c r="AV9" s="71" t="s">
        <v>82</v>
      </c>
      <c r="AW9" s="71" t="s">
        <v>81</v>
      </c>
      <c r="AX9" s="71" t="s">
        <v>81</v>
      </c>
      <c r="AY9" s="71" t="s">
        <v>80</v>
      </c>
      <c r="AZ9" s="81" t="s">
        <v>77</v>
      </c>
      <c r="BA9" s="81" t="s">
        <v>82</v>
      </c>
      <c r="BB9" s="81" t="s">
        <v>82</v>
      </c>
      <c r="BC9" s="81" t="s">
        <v>81</v>
      </c>
      <c r="BD9" s="81" t="s">
        <v>77</v>
      </c>
      <c r="BE9" s="50"/>
      <c r="BF9" s="50"/>
    </row>
    <row r="10" spans="1:61" s="5" customFormat="1" x14ac:dyDescent="0.2">
      <c r="A10" s="20">
        <v>8</v>
      </c>
      <c r="B10" s="47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48"/>
      <c r="AB10" s="48"/>
      <c r="AC10" s="13"/>
      <c r="AD10" s="21"/>
      <c r="AE10" s="13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1"/>
      <c r="BA10" s="1"/>
      <c r="BB10" s="1"/>
      <c r="BC10" s="1"/>
      <c r="BD10" s="1"/>
      <c r="BE10" s="50"/>
      <c r="BF10" s="50"/>
    </row>
    <row r="11" spans="1:61" s="5" customFormat="1" x14ac:dyDescent="0.2">
      <c r="A11" s="20">
        <v>9</v>
      </c>
      <c r="B11" s="47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48"/>
      <c r="AB11" s="48"/>
      <c r="AC11" s="13"/>
      <c r="AD11" s="21"/>
      <c r="AE11" s="13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1"/>
      <c r="BA11" s="1"/>
      <c r="BB11" s="1"/>
      <c r="BC11" s="1"/>
      <c r="BD11" s="1"/>
      <c r="BE11" s="50"/>
      <c r="BF11" s="50"/>
    </row>
    <row r="12" spans="1:61" s="5" customFormat="1" x14ac:dyDescent="0.2">
      <c r="A12" s="50"/>
      <c r="B12" s="49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46"/>
      <c r="Z12" s="26"/>
      <c r="AA12" s="51"/>
      <c r="AB12" s="51"/>
      <c r="AC12" s="26"/>
      <c r="AD12" s="52"/>
      <c r="AE12" s="26"/>
      <c r="BE12" s="50"/>
      <c r="BF12" s="50"/>
    </row>
    <row r="13" spans="1:61" s="5" customFormat="1" x14ac:dyDescent="0.2">
      <c r="A13" s="50"/>
      <c r="B13" s="49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46"/>
      <c r="Z13" s="26"/>
      <c r="AA13" s="51"/>
      <c r="AB13" s="51"/>
      <c r="AC13" s="26"/>
      <c r="AD13" s="52"/>
      <c r="AE13" s="26"/>
      <c r="BE13" s="50"/>
      <c r="BF13" s="50"/>
    </row>
    <row r="14" spans="1:61" s="5" customFormat="1" x14ac:dyDescent="0.2">
      <c r="A14" s="50"/>
      <c r="B14" s="49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46"/>
      <c r="Z14" s="26"/>
      <c r="AA14" s="51"/>
      <c r="AB14" s="51"/>
      <c r="AC14" s="26"/>
      <c r="AD14" s="52"/>
      <c r="AE14" s="26"/>
      <c r="BE14" s="50"/>
      <c r="BF14" s="50"/>
    </row>
    <row r="15" spans="1:61" s="5" customFormat="1" x14ac:dyDescent="0.2">
      <c r="A15" s="50"/>
      <c r="B15" s="49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46"/>
      <c r="Z15" s="26"/>
      <c r="AA15" s="51"/>
      <c r="AB15" s="51"/>
      <c r="AC15" s="26"/>
      <c r="AD15" s="52"/>
      <c r="AE15" s="26"/>
      <c r="BE15" s="50"/>
      <c r="BF15" s="50"/>
    </row>
    <row r="16" spans="1:61" s="5" customFormat="1" x14ac:dyDescent="0.2">
      <c r="A16" s="50"/>
      <c r="B16" s="49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46"/>
      <c r="Z16" s="26"/>
      <c r="AA16" s="51"/>
      <c r="AB16" s="51"/>
      <c r="AC16" s="54"/>
      <c r="AD16" s="52"/>
      <c r="AE16" s="26"/>
      <c r="BE16" s="50"/>
      <c r="BF16" s="50"/>
    </row>
    <row r="17" spans="1:58" s="5" customFormat="1" x14ac:dyDescent="0.2">
      <c r="A17" s="50"/>
      <c r="B17" s="49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51"/>
      <c r="AB17" s="51"/>
      <c r="AC17" s="26"/>
      <c r="AD17" s="52"/>
      <c r="AE17" s="26"/>
      <c r="BE17" s="50"/>
      <c r="BF17" s="50"/>
    </row>
    <row r="18" spans="1:58" s="5" customFormat="1" x14ac:dyDescent="0.2">
      <c r="A18" s="50"/>
      <c r="B18" s="49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R18" s="26"/>
      <c r="S18" s="26"/>
      <c r="T18" s="26"/>
      <c r="U18" s="26"/>
      <c r="V18" s="26"/>
      <c r="W18" s="26"/>
      <c r="X18" s="26"/>
      <c r="Y18" s="46"/>
      <c r="Z18" s="26"/>
      <c r="AA18" s="51"/>
      <c r="AB18" s="51"/>
      <c r="AC18" s="26"/>
      <c r="AD18" s="52"/>
      <c r="AE18" s="26"/>
      <c r="BE18" s="50"/>
      <c r="BF18" s="50"/>
    </row>
    <row r="19" spans="1:58" s="5" customFormat="1" x14ac:dyDescent="0.2">
      <c r="A19" s="50"/>
      <c r="B19" s="49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51"/>
      <c r="AB19" s="51"/>
      <c r="AC19" s="26"/>
      <c r="AD19" s="52"/>
      <c r="AE19" s="26"/>
      <c r="BE19" s="50"/>
      <c r="BF19" s="50"/>
    </row>
    <row r="20" spans="1:58" s="5" customFormat="1" x14ac:dyDescent="0.2">
      <c r="A20" s="50"/>
      <c r="B20" s="49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46"/>
      <c r="Z20" s="26"/>
      <c r="AA20" s="51"/>
      <c r="AB20" s="51"/>
      <c r="AC20" s="26"/>
      <c r="AD20" s="52"/>
      <c r="AE20" s="26"/>
      <c r="BE20" s="50"/>
      <c r="BF20" s="50"/>
    </row>
    <row r="21" spans="1:58" s="5" customFormat="1" x14ac:dyDescent="0.2">
      <c r="A21" s="50"/>
      <c r="B21" s="49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46"/>
      <c r="Z21" s="26"/>
      <c r="AA21" s="51"/>
      <c r="AB21" s="51"/>
      <c r="AC21" s="26"/>
      <c r="AD21" s="52"/>
      <c r="AE21" s="26"/>
      <c r="BE21" s="50"/>
      <c r="BF21" s="50"/>
    </row>
    <row r="22" spans="1:58" s="5" customFormat="1" x14ac:dyDescent="0.2">
      <c r="A22" s="50"/>
      <c r="B22" s="49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46"/>
      <c r="Z22" s="26"/>
      <c r="AA22" s="51"/>
      <c r="AB22" s="51"/>
      <c r="AC22" s="54"/>
      <c r="AD22" s="52"/>
      <c r="AE22" s="26"/>
      <c r="BE22" s="50"/>
      <c r="BF22" s="50"/>
    </row>
    <row r="23" spans="1:58" s="5" customFormat="1" x14ac:dyDescent="0.2">
      <c r="A23" s="50"/>
      <c r="B23" s="49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46"/>
      <c r="Z23" s="26"/>
      <c r="AA23" s="51"/>
      <c r="AB23" s="51"/>
      <c r="AC23" s="26"/>
      <c r="AD23" s="52"/>
      <c r="AE23" s="26"/>
      <c r="BE23" s="50"/>
      <c r="BF23" s="50"/>
    </row>
    <row r="24" spans="1:58" s="5" customFormat="1" x14ac:dyDescent="0.2">
      <c r="A24" s="50"/>
      <c r="B24" s="49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46"/>
      <c r="Z24" s="26"/>
      <c r="AA24" s="51"/>
      <c r="AB24" s="51"/>
      <c r="AC24" s="26"/>
      <c r="AD24" s="52"/>
      <c r="AE24" s="26"/>
      <c r="BE24" s="50"/>
      <c r="BF24" s="50"/>
    </row>
    <row r="25" spans="1:58" s="5" customFormat="1" x14ac:dyDescent="0.2">
      <c r="A25" s="50"/>
      <c r="B25" s="49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52"/>
      <c r="AE25" s="26"/>
      <c r="BE25" s="50"/>
      <c r="BF25" s="50"/>
    </row>
    <row r="26" spans="1:58" s="5" customFormat="1" x14ac:dyDescent="0.2">
      <c r="A26" s="50"/>
      <c r="B26" s="53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46"/>
      <c r="Z26" s="26"/>
      <c r="AA26" s="51"/>
      <c r="AB26" s="51"/>
      <c r="AC26" s="26"/>
      <c r="AD26" s="52"/>
      <c r="AE26" s="26"/>
      <c r="BE26" s="50"/>
      <c r="BF26" s="50"/>
    </row>
    <row r="27" spans="1:58" s="5" customFormat="1" x14ac:dyDescent="0.2">
      <c r="A27" s="50"/>
      <c r="B27" s="49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46"/>
      <c r="Z27" s="26"/>
      <c r="AA27" s="51"/>
      <c r="AB27" s="51"/>
      <c r="AC27" s="26"/>
      <c r="AD27" s="52"/>
      <c r="AE27" s="26"/>
      <c r="BE27" s="50"/>
      <c r="BF27" s="50"/>
    </row>
    <row r="28" spans="1:58" s="5" customFormat="1" x14ac:dyDescent="0.2">
      <c r="A28" s="50"/>
      <c r="B28" s="49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46"/>
      <c r="Z28" s="26"/>
      <c r="AA28" s="51"/>
      <c r="AB28" s="51"/>
      <c r="AC28" s="26"/>
      <c r="AD28" s="52"/>
      <c r="AE28" s="26"/>
      <c r="BE28" s="50"/>
      <c r="BF28" s="50"/>
    </row>
    <row r="29" spans="1:58" s="5" customFormat="1" x14ac:dyDescent="0.2">
      <c r="A29" s="50"/>
      <c r="B29" s="49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46"/>
      <c r="Z29" s="26"/>
      <c r="AA29" s="51"/>
      <c r="AB29" s="51"/>
      <c r="AC29" s="26"/>
      <c r="AD29" s="52"/>
      <c r="AE29" s="26"/>
      <c r="BE29" s="50"/>
      <c r="BF29" s="50"/>
    </row>
    <row r="30" spans="1:58" s="5" customFormat="1" x14ac:dyDescent="0.2">
      <c r="A30" s="50"/>
      <c r="B30" s="55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46"/>
      <c r="Z30" s="26"/>
      <c r="AA30" s="51"/>
      <c r="AB30" s="51"/>
      <c r="AC30" s="26"/>
      <c r="AD30" s="52"/>
      <c r="AE30" s="26"/>
      <c r="BE30" s="50"/>
      <c r="BF30" s="50"/>
    </row>
    <row r="31" spans="1:58" s="5" customFormat="1" x14ac:dyDescent="0.2">
      <c r="A31" s="50"/>
      <c r="B31" s="53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46"/>
      <c r="Z31" s="26"/>
      <c r="AA31" s="51"/>
      <c r="AB31" s="51"/>
      <c r="AC31" s="26"/>
      <c r="AD31" s="52"/>
      <c r="AE31" s="26"/>
      <c r="BE31" s="50"/>
      <c r="BF31" s="50"/>
    </row>
    <row r="32" spans="1:58" s="5" customFormat="1" x14ac:dyDescent="0.2">
      <c r="A32" s="50"/>
      <c r="B32" s="53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46"/>
      <c r="Z32" s="26"/>
      <c r="AA32" s="51"/>
      <c r="AB32" s="51"/>
      <c r="AC32" s="26"/>
      <c r="AD32" s="52"/>
      <c r="AE32" s="26"/>
      <c r="BE32" s="50"/>
      <c r="BF32" s="50"/>
    </row>
    <row r="33" spans="1:58" s="5" customFormat="1" x14ac:dyDescent="0.2">
      <c r="A33" s="50"/>
      <c r="B33" s="55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46"/>
      <c r="Z33" s="26"/>
      <c r="AA33" s="51"/>
      <c r="AB33" s="51"/>
      <c r="AC33" s="26"/>
      <c r="AD33" s="52"/>
      <c r="AE33" s="26"/>
      <c r="BE33" s="50"/>
      <c r="BF33" s="50"/>
    </row>
    <row r="34" spans="1:58" s="5" customFormat="1" x14ac:dyDescent="0.2">
      <c r="A34" s="50"/>
      <c r="B34" s="49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46"/>
      <c r="Z34" s="26"/>
      <c r="AA34" s="51"/>
      <c r="AB34" s="51"/>
      <c r="AC34" s="26"/>
      <c r="AD34" s="52"/>
      <c r="AE34" s="26"/>
      <c r="BE34" s="50"/>
      <c r="BF34" s="50"/>
    </row>
    <row r="35" spans="1:58" s="5" customFormat="1" x14ac:dyDescent="0.2">
      <c r="A35" s="50"/>
      <c r="B35" s="53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46"/>
      <c r="Z35" s="26"/>
      <c r="AA35" s="51"/>
      <c r="AB35" s="51"/>
      <c r="AC35" s="26"/>
      <c r="AD35" s="52"/>
      <c r="AE35" s="26"/>
      <c r="BE35" s="50"/>
      <c r="BF35" s="50"/>
    </row>
    <row r="36" spans="1:58" s="5" customFormat="1" x14ac:dyDescent="0.2">
      <c r="A36" s="50"/>
      <c r="B36" s="49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51"/>
      <c r="AB36" s="51"/>
      <c r="AC36" s="26"/>
      <c r="AD36" s="52"/>
      <c r="AE36" s="26"/>
      <c r="BE36" s="50"/>
      <c r="BF36" s="50"/>
    </row>
    <row r="37" spans="1:58" s="5" customFormat="1" x14ac:dyDescent="0.2">
      <c r="A37" s="50"/>
      <c r="B37" s="49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51"/>
      <c r="AB37" s="51"/>
      <c r="AC37" s="26"/>
      <c r="AD37" s="52"/>
      <c r="AE37" s="26"/>
      <c r="BE37" s="50"/>
      <c r="BF37" s="50"/>
    </row>
    <row r="38" spans="1:58" s="5" customFormat="1" x14ac:dyDescent="0.2">
      <c r="A38" s="50"/>
      <c r="B38" s="49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46"/>
      <c r="Z38" s="26"/>
      <c r="AA38" s="51"/>
      <c r="AB38" s="51"/>
      <c r="AC38" s="26"/>
      <c r="AD38" s="52"/>
      <c r="AE38" s="26"/>
      <c r="BE38" s="50"/>
      <c r="BF38" s="50"/>
    </row>
    <row r="39" spans="1:58" s="5" customFormat="1" x14ac:dyDescent="0.2">
      <c r="A39" s="50"/>
      <c r="B39" s="49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46"/>
      <c r="Z39" s="26"/>
      <c r="AA39" s="51"/>
      <c r="AB39" s="51"/>
      <c r="AC39" s="26"/>
      <c r="AD39" s="52"/>
      <c r="AE39" s="26"/>
      <c r="BE39" s="50"/>
      <c r="BF39" s="50"/>
    </row>
    <row r="40" spans="1:58" s="5" customFormat="1" x14ac:dyDescent="0.2">
      <c r="A40" s="50"/>
      <c r="B40" s="49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51"/>
      <c r="AB40" s="51"/>
      <c r="AC40" s="26"/>
      <c r="AD40" s="52"/>
      <c r="AE40" s="26"/>
      <c r="BE40" s="50"/>
      <c r="BF40" s="50"/>
    </row>
    <row r="41" spans="1:58" s="5" customFormat="1" x14ac:dyDescent="0.2">
      <c r="A41" s="50"/>
      <c r="B41" s="49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51"/>
      <c r="AB41" s="51"/>
      <c r="AC41" s="26"/>
      <c r="AD41" s="52"/>
      <c r="AE41" s="26"/>
      <c r="BE41" s="50"/>
      <c r="BF41" s="50"/>
    </row>
    <row r="42" spans="1:58" s="5" customFormat="1" x14ac:dyDescent="0.2">
      <c r="A42" s="50"/>
      <c r="B42" s="49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46"/>
      <c r="Z42" s="26"/>
      <c r="AA42" s="51"/>
      <c r="AB42" s="51"/>
      <c r="AC42" s="26"/>
      <c r="AD42" s="52"/>
      <c r="AE42" s="26"/>
      <c r="BE42" s="50"/>
      <c r="BF42" s="50"/>
    </row>
    <row r="43" spans="1:58" s="5" customFormat="1" x14ac:dyDescent="0.2">
      <c r="A43" s="50"/>
      <c r="B43" s="49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51"/>
      <c r="AB43" s="51"/>
      <c r="AC43" s="26"/>
      <c r="AD43" s="52"/>
      <c r="AE43" s="26"/>
      <c r="BE43" s="50"/>
      <c r="BF43" s="50"/>
    </row>
    <row r="44" spans="1:58" s="5" customFormat="1" x14ac:dyDescent="0.2">
      <c r="A44" s="50"/>
      <c r="B44" s="49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46"/>
      <c r="Z44" s="26"/>
      <c r="AA44" s="51"/>
      <c r="AB44" s="51"/>
      <c r="AC44" s="26"/>
      <c r="AD44" s="52"/>
      <c r="AE44" s="26"/>
      <c r="BE44" s="50"/>
      <c r="BF44" s="50"/>
    </row>
    <row r="45" spans="1:58" s="5" customFormat="1" x14ac:dyDescent="0.2">
      <c r="A45" s="50"/>
      <c r="B45" s="49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46"/>
      <c r="Z45" s="26"/>
      <c r="AA45" s="51"/>
      <c r="AB45" s="51"/>
      <c r="AC45" s="26"/>
      <c r="AD45" s="52"/>
      <c r="AE45" s="26"/>
      <c r="BE45" s="50"/>
      <c r="BF45" s="50"/>
    </row>
    <row r="46" spans="1:58" s="5" customFormat="1" x14ac:dyDescent="0.2">
      <c r="A46" s="50"/>
      <c r="B46" s="49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46"/>
      <c r="Z46" s="26"/>
      <c r="AA46" s="51"/>
      <c r="AB46" s="51"/>
      <c r="AC46" s="26"/>
      <c r="AD46" s="52"/>
      <c r="AE46" s="26"/>
      <c r="BE46" s="50"/>
      <c r="BF46" s="50"/>
    </row>
    <row r="47" spans="1:58" s="5" customFormat="1" x14ac:dyDescent="0.2">
      <c r="A47" s="50"/>
      <c r="B47" s="49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51"/>
      <c r="AB47" s="51"/>
      <c r="AC47" s="26"/>
      <c r="AD47" s="52"/>
      <c r="AE47" s="26"/>
      <c r="BE47" s="50"/>
      <c r="BF47" s="50"/>
    </row>
    <row r="48" spans="1:58" s="5" customFormat="1" x14ac:dyDescent="0.2">
      <c r="A48" s="50"/>
      <c r="B48" s="49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51"/>
      <c r="AB48" s="51"/>
      <c r="AC48" s="26"/>
      <c r="AD48" s="52"/>
      <c r="AE48" s="26"/>
      <c r="BE48" s="50"/>
      <c r="BF48" s="50"/>
    </row>
    <row r="49" spans="1:58" s="5" customFormat="1" x14ac:dyDescent="0.2">
      <c r="A49" s="50"/>
      <c r="B49" s="53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46"/>
      <c r="Z49" s="26"/>
      <c r="AA49" s="51"/>
      <c r="AB49" s="51"/>
      <c r="AC49" s="26"/>
      <c r="AD49" s="52"/>
      <c r="AE49" s="26"/>
      <c r="BE49" s="50"/>
      <c r="BF49" s="50"/>
    </row>
    <row r="50" spans="1:58" s="5" customFormat="1" x14ac:dyDescent="0.2">
      <c r="A50" s="50"/>
      <c r="B50" s="49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46"/>
      <c r="Z50" s="26"/>
      <c r="AA50" s="51"/>
      <c r="AB50" s="51"/>
      <c r="AC50" s="26"/>
      <c r="AD50" s="52"/>
      <c r="AE50" s="26"/>
      <c r="BE50" s="50"/>
      <c r="BF50" s="50"/>
    </row>
    <row r="51" spans="1:58" s="5" customFormat="1" x14ac:dyDescent="0.2">
      <c r="A51" s="50"/>
      <c r="B51" s="53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46"/>
      <c r="Z51" s="26"/>
      <c r="AA51" s="51"/>
      <c r="AB51" s="51"/>
      <c r="AC51" s="26"/>
      <c r="AD51" s="52"/>
      <c r="AE51" s="26"/>
      <c r="BE51" s="50"/>
      <c r="BF51" s="50"/>
    </row>
    <row r="52" spans="1:58" s="5" customFormat="1" x14ac:dyDescent="0.2">
      <c r="A52" s="50"/>
      <c r="B52" s="53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46"/>
      <c r="Z52" s="26"/>
      <c r="AA52" s="51"/>
      <c r="AB52" s="51"/>
      <c r="AC52" s="26"/>
      <c r="AD52" s="52"/>
      <c r="AE52" s="26"/>
      <c r="BE52" s="50"/>
      <c r="BF52" s="50"/>
    </row>
    <row r="53" spans="1:58" s="5" customFormat="1" x14ac:dyDescent="0.2">
      <c r="A53" s="50"/>
      <c r="B53" s="49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R53" s="26"/>
      <c r="S53" s="26"/>
      <c r="T53" s="26"/>
      <c r="U53" s="26"/>
      <c r="V53" s="26"/>
      <c r="W53" s="26"/>
      <c r="X53" s="26"/>
      <c r="Y53" s="46"/>
      <c r="Z53" s="26"/>
      <c r="AA53" s="51"/>
      <c r="AB53" s="51"/>
      <c r="AC53" s="26"/>
      <c r="AD53" s="52"/>
      <c r="AE53" s="26"/>
      <c r="BE53" s="50"/>
      <c r="BF53" s="50"/>
    </row>
    <row r="54" spans="1:58" s="5" customFormat="1" x14ac:dyDescent="0.2">
      <c r="A54" s="50"/>
      <c r="B54" s="49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46"/>
      <c r="Z54" s="26"/>
      <c r="AA54" s="51"/>
      <c r="AB54" s="51"/>
      <c r="AC54" s="26"/>
      <c r="AD54" s="52"/>
      <c r="AE54" s="26"/>
      <c r="BE54" s="50"/>
      <c r="BF54" s="50"/>
    </row>
    <row r="55" spans="1:58" s="5" customFormat="1" x14ac:dyDescent="0.2">
      <c r="A55" s="50"/>
      <c r="B55" s="49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46"/>
      <c r="Z55" s="26"/>
      <c r="AA55" s="51"/>
      <c r="AB55" s="51"/>
      <c r="AC55" s="26"/>
      <c r="AD55" s="52"/>
      <c r="AE55" s="26"/>
      <c r="BE55" s="50"/>
      <c r="BF55" s="50"/>
    </row>
    <row r="56" spans="1:58" s="5" customFormat="1" x14ac:dyDescent="0.2">
      <c r="A56" s="50"/>
      <c r="B56" s="49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46"/>
      <c r="Z56" s="26"/>
      <c r="AA56" s="51"/>
      <c r="AB56" s="51"/>
      <c r="AC56" s="26"/>
      <c r="AD56" s="52"/>
      <c r="AE56" s="26"/>
      <c r="BE56" s="50"/>
      <c r="BF56" s="50"/>
    </row>
    <row r="57" spans="1:58" s="5" customFormat="1" x14ac:dyDescent="0.2">
      <c r="A57" s="50"/>
      <c r="B57" s="53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46"/>
      <c r="Z57" s="26"/>
      <c r="AA57" s="51"/>
      <c r="AB57" s="51"/>
      <c r="AC57" s="26"/>
      <c r="AD57" s="52"/>
      <c r="AE57" s="26"/>
      <c r="BE57" s="50"/>
      <c r="BF57" s="50"/>
    </row>
    <row r="58" spans="1:58" s="5" customFormat="1" x14ac:dyDescent="0.2">
      <c r="A58" s="50"/>
      <c r="B58" s="49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46"/>
      <c r="Z58" s="26"/>
      <c r="AA58" s="51"/>
      <c r="AB58" s="51"/>
      <c r="AC58" s="26"/>
      <c r="AD58" s="52"/>
      <c r="AE58" s="26"/>
      <c r="BE58" s="50"/>
      <c r="BF58" s="50"/>
    </row>
    <row r="59" spans="1:58" s="5" customFormat="1" x14ac:dyDescent="0.2">
      <c r="A59" s="50"/>
      <c r="B59" s="49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46"/>
      <c r="Z59" s="26"/>
      <c r="AA59" s="51"/>
      <c r="AB59" s="51"/>
      <c r="AC59" s="26"/>
      <c r="AD59" s="52"/>
      <c r="AE59" s="26"/>
      <c r="BE59" s="50"/>
      <c r="BF59" s="50"/>
    </row>
    <row r="60" spans="1:58" s="5" customFormat="1" x14ac:dyDescent="0.2">
      <c r="A60" s="50"/>
      <c r="B60" s="53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46"/>
      <c r="Z60" s="26"/>
      <c r="AA60" s="51"/>
      <c r="AB60" s="51"/>
      <c r="AC60" s="26"/>
      <c r="AD60" s="52"/>
      <c r="AE60" s="26"/>
      <c r="BE60" s="50"/>
      <c r="BF60" s="50"/>
    </row>
    <row r="61" spans="1:58" s="5" customFormat="1" x14ac:dyDescent="0.2">
      <c r="A61" s="50"/>
      <c r="B61" s="53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46"/>
      <c r="Z61" s="26"/>
      <c r="AA61" s="51"/>
      <c r="AB61" s="51"/>
      <c r="AC61" s="26"/>
      <c r="AD61" s="52"/>
      <c r="AE61" s="26"/>
      <c r="BE61" s="50"/>
      <c r="BF61" s="50"/>
    </row>
    <row r="62" spans="1:58" s="5" customFormat="1" x14ac:dyDescent="0.2">
      <c r="A62" s="50"/>
      <c r="B62" s="49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46"/>
      <c r="Z62" s="26"/>
      <c r="AA62" s="51"/>
      <c r="AB62" s="51"/>
      <c r="AC62" s="26"/>
      <c r="AD62" s="52"/>
      <c r="AE62" s="26"/>
      <c r="BE62" s="50"/>
      <c r="BF62" s="50"/>
    </row>
    <row r="63" spans="1:58" s="5" customFormat="1" x14ac:dyDescent="0.2">
      <c r="A63" s="50"/>
      <c r="B63" s="49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46"/>
      <c r="Z63" s="26"/>
      <c r="AA63" s="51"/>
      <c r="AB63" s="51"/>
      <c r="AC63" s="26"/>
      <c r="AD63" s="52"/>
      <c r="AE63" s="26"/>
      <c r="BE63" s="50"/>
      <c r="BF63" s="50"/>
    </row>
    <row r="64" spans="1:58" s="5" customFormat="1" x14ac:dyDescent="0.2">
      <c r="A64" s="50"/>
      <c r="B64" s="49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46"/>
      <c r="Z64" s="26"/>
      <c r="AA64" s="51"/>
      <c r="AB64" s="51"/>
      <c r="AC64" s="26"/>
      <c r="AD64" s="52"/>
      <c r="AE64" s="26"/>
      <c r="BE64" s="50"/>
      <c r="BF64" s="50"/>
    </row>
    <row r="65" spans="1:58" s="5" customFormat="1" x14ac:dyDescent="0.2">
      <c r="A65" s="50"/>
      <c r="B65" s="49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46"/>
      <c r="Z65" s="26"/>
      <c r="AA65" s="51"/>
      <c r="AB65" s="51"/>
      <c r="AC65" s="26"/>
      <c r="AD65" s="52"/>
      <c r="AE65" s="26"/>
      <c r="BE65" s="50"/>
      <c r="BF65" s="50"/>
    </row>
    <row r="66" spans="1:58" s="5" customFormat="1" x14ac:dyDescent="0.2">
      <c r="A66" s="50"/>
      <c r="B66" s="49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46"/>
      <c r="Z66" s="26"/>
      <c r="AA66" s="51"/>
      <c r="AB66" s="51"/>
      <c r="AC66" s="26"/>
      <c r="AD66" s="52"/>
      <c r="AE66" s="26"/>
      <c r="BE66" s="50"/>
      <c r="BF66" s="50"/>
    </row>
    <row r="67" spans="1:58" s="5" customFormat="1" x14ac:dyDescent="0.2">
      <c r="A67" s="50"/>
      <c r="B67" s="49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52"/>
      <c r="AE67" s="26"/>
      <c r="BE67" s="50"/>
      <c r="BF67" s="50"/>
    </row>
    <row r="68" spans="1:58" s="5" customFormat="1" x14ac:dyDescent="0.2">
      <c r="A68" s="50"/>
      <c r="B68" s="49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46"/>
      <c r="Z68" s="26"/>
      <c r="AA68" s="51"/>
      <c r="AB68" s="51"/>
      <c r="AC68" s="54"/>
      <c r="AD68" s="52"/>
      <c r="AE68" s="26"/>
      <c r="BE68" s="50"/>
      <c r="BF68" s="50"/>
    </row>
    <row r="69" spans="1:58" s="5" customFormat="1" x14ac:dyDescent="0.2">
      <c r="A69" s="50"/>
      <c r="B69" s="53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46"/>
      <c r="Z69" s="26"/>
      <c r="AA69" s="51"/>
      <c r="AB69" s="51"/>
      <c r="AC69" s="26"/>
      <c r="AD69" s="52"/>
      <c r="AE69" s="26"/>
      <c r="BE69" s="50"/>
      <c r="BF69" s="50"/>
    </row>
    <row r="70" spans="1:58" s="5" customFormat="1" x14ac:dyDescent="0.2">
      <c r="A70" s="50"/>
      <c r="B70" s="53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46"/>
      <c r="Z70" s="26"/>
      <c r="AA70" s="51"/>
      <c r="AB70" s="51"/>
      <c r="AC70" s="26"/>
      <c r="AD70" s="52"/>
      <c r="AE70" s="26"/>
      <c r="BE70" s="50"/>
      <c r="BF70" s="50"/>
    </row>
    <row r="71" spans="1:58" s="5" customFormat="1" x14ac:dyDescent="0.2">
      <c r="A71" s="50"/>
      <c r="B71" s="49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46"/>
      <c r="Z71" s="26"/>
      <c r="AA71" s="51"/>
      <c r="AB71" s="51"/>
      <c r="AC71" s="26"/>
      <c r="AD71" s="52"/>
      <c r="AE71" s="26"/>
      <c r="BE71" s="50"/>
      <c r="BF71" s="50"/>
    </row>
    <row r="72" spans="1:58" s="5" customFormat="1" x14ac:dyDescent="0.2">
      <c r="A72" s="50"/>
      <c r="B72" s="49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46"/>
      <c r="Z72" s="26"/>
      <c r="AA72" s="51"/>
      <c r="AB72" s="51"/>
      <c r="AC72" s="26"/>
      <c r="AD72" s="52"/>
      <c r="AE72" s="26"/>
      <c r="BE72" s="50"/>
      <c r="BF72" s="50"/>
    </row>
    <row r="73" spans="1:58" s="5" customFormat="1" x14ac:dyDescent="0.2">
      <c r="A73" s="50"/>
      <c r="B73" s="49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46"/>
      <c r="Z73" s="26"/>
      <c r="AA73" s="51"/>
      <c r="AB73" s="51"/>
      <c r="AC73" s="26"/>
      <c r="AD73" s="52"/>
      <c r="AE73" s="26"/>
      <c r="BE73" s="50"/>
      <c r="BF73" s="50"/>
    </row>
    <row r="74" spans="1:58" s="5" customFormat="1" x14ac:dyDescent="0.2">
      <c r="A74" s="50"/>
      <c r="B74" s="53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46"/>
      <c r="Z74" s="26"/>
      <c r="AA74" s="51"/>
      <c r="AB74" s="51"/>
      <c r="AC74" s="26"/>
      <c r="AD74" s="52"/>
      <c r="AE74" s="26"/>
      <c r="BE74" s="50"/>
      <c r="BF74" s="50"/>
    </row>
    <row r="75" spans="1:58" s="5" customFormat="1" x14ac:dyDescent="0.2">
      <c r="A75" s="50"/>
      <c r="B75" s="49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46"/>
      <c r="Z75" s="26"/>
      <c r="AA75" s="51"/>
      <c r="AB75" s="51"/>
      <c r="AC75" s="26"/>
      <c r="AD75" s="52"/>
      <c r="AE75" s="26"/>
      <c r="BE75" s="50"/>
      <c r="BF75" s="50"/>
    </row>
    <row r="76" spans="1:58" s="5" customFormat="1" x14ac:dyDescent="0.2">
      <c r="A76" s="50"/>
      <c r="B76" s="53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46"/>
      <c r="Z76" s="26"/>
      <c r="AA76" s="51"/>
      <c r="AB76" s="51"/>
      <c r="AC76" s="26"/>
      <c r="AD76" s="52"/>
      <c r="AE76" s="26"/>
      <c r="BE76" s="50"/>
      <c r="BF76" s="50"/>
    </row>
    <row r="77" spans="1:58" s="5" customFormat="1" x14ac:dyDescent="0.2">
      <c r="A77" s="50"/>
      <c r="B77" s="53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46"/>
      <c r="Z77" s="26"/>
      <c r="AA77" s="51"/>
      <c r="AB77" s="51"/>
      <c r="AC77" s="26"/>
      <c r="AD77" s="52"/>
      <c r="AE77" s="26"/>
      <c r="BE77" s="50"/>
      <c r="BF77" s="50"/>
    </row>
    <row r="78" spans="1:58" s="5" customFormat="1" x14ac:dyDescent="0.2">
      <c r="A78" s="50"/>
      <c r="B78" s="53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46"/>
      <c r="Z78" s="26"/>
      <c r="AA78" s="51"/>
      <c r="AB78" s="51"/>
      <c r="AC78" s="26"/>
      <c r="AD78" s="52"/>
      <c r="AE78" s="26"/>
      <c r="BE78" s="50"/>
      <c r="BF78" s="50"/>
    </row>
    <row r="79" spans="1:58" s="5" customFormat="1" x14ac:dyDescent="0.2">
      <c r="A79" s="50"/>
      <c r="B79" s="49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46"/>
      <c r="Z79" s="26"/>
      <c r="AA79" s="51"/>
      <c r="AB79" s="51"/>
      <c r="AC79" s="26"/>
      <c r="AD79" s="52"/>
      <c r="AE79" s="26"/>
      <c r="BE79" s="50"/>
      <c r="BF79" s="50"/>
    </row>
    <row r="80" spans="1:58" s="5" customFormat="1" x14ac:dyDescent="0.2">
      <c r="A80" s="50"/>
      <c r="B80" s="49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46"/>
      <c r="Z80" s="26"/>
      <c r="AA80" s="51"/>
      <c r="AB80" s="51"/>
      <c r="AC80" s="26"/>
      <c r="AD80" s="52"/>
      <c r="AE80" s="26"/>
      <c r="BE80" s="50"/>
      <c r="BF80" s="50"/>
    </row>
    <row r="81" spans="1:58" s="5" customFormat="1" x14ac:dyDescent="0.2">
      <c r="A81" s="50"/>
      <c r="B81" s="49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46"/>
      <c r="Z81" s="26"/>
      <c r="AA81" s="51"/>
      <c r="AB81" s="51"/>
      <c r="AC81" s="26"/>
      <c r="AD81" s="52"/>
      <c r="AE81" s="26"/>
      <c r="BE81" s="50"/>
      <c r="BF81" s="50"/>
    </row>
    <row r="82" spans="1:58" s="5" customFormat="1" x14ac:dyDescent="0.2">
      <c r="A82" s="50"/>
      <c r="B82" s="49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46"/>
      <c r="Z82" s="26"/>
      <c r="AA82" s="51"/>
      <c r="AB82" s="51"/>
      <c r="AC82" s="26"/>
      <c r="AD82" s="52"/>
      <c r="AE82" s="26"/>
      <c r="BE82" s="50"/>
      <c r="BF82" s="50"/>
    </row>
    <row r="83" spans="1:58" s="5" customFormat="1" x14ac:dyDescent="0.2">
      <c r="A83" s="50"/>
      <c r="B83" s="49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46"/>
      <c r="Z83" s="26"/>
      <c r="AA83" s="51"/>
      <c r="AB83" s="51"/>
      <c r="AC83" s="26"/>
      <c r="AD83" s="52"/>
      <c r="AE83" s="26"/>
      <c r="BE83" s="50"/>
      <c r="BF83" s="50"/>
    </row>
    <row r="84" spans="1:58" s="5" customFormat="1" x14ac:dyDescent="0.2">
      <c r="A84" s="50"/>
      <c r="B84" s="49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52"/>
      <c r="AE84" s="26"/>
      <c r="BE84" s="50"/>
      <c r="BF84" s="50"/>
    </row>
    <row r="85" spans="1:58" s="5" customFormat="1" x14ac:dyDescent="0.2">
      <c r="A85" s="50"/>
      <c r="B85" s="49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46"/>
      <c r="Z85" s="26"/>
      <c r="AA85" s="51"/>
      <c r="AB85" s="51"/>
      <c r="AC85" s="26"/>
      <c r="AD85" s="52"/>
      <c r="AE85" s="26"/>
      <c r="BE85" s="50"/>
      <c r="BF85" s="50"/>
    </row>
    <row r="86" spans="1:58" s="5" customFormat="1" x14ac:dyDescent="0.2">
      <c r="A86" s="50"/>
      <c r="B86" s="53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46"/>
      <c r="Z86" s="26"/>
      <c r="AA86" s="51"/>
      <c r="AB86" s="51"/>
      <c r="AC86" s="26"/>
      <c r="AD86" s="52"/>
      <c r="AE86" s="26"/>
      <c r="BE86" s="50"/>
      <c r="BF86" s="50"/>
    </row>
    <row r="87" spans="1:58" s="5" customFormat="1" x14ac:dyDescent="0.2">
      <c r="A87" s="50"/>
      <c r="B87" s="53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46"/>
      <c r="Z87" s="26"/>
      <c r="AA87" s="51"/>
      <c r="AB87" s="51"/>
      <c r="AC87" s="26"/>
      <c r="AD87" s="52"/>
      <c r="AE87" s="26"/>
      <c r="BE87" s="50"/>
      <c r="BF87" s="50"/>
    </row>
    <row r="88" spans="1:58" s="5" customFormat="1" x14ac:dyDescent="0.2">
      <c r="A88" s="50"/>
      <c r="B88" s="49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46"/>
      <c r="Z88" s="26"/>
      <c r="AA88" s="51"/>
      <c r="AB88" s="51"/>
      <c r="AC88" s="26"/>
      <c r="AD88" s="52"/>
      <c r="AE88" s="26"/>
      <c r="BE88" s="50"/>
      <c r="BF88" s="50"/>
    </row>
    <row r="89" spans="1:58" s="5" customFormat="1" x14ac:dyDescent="0.2">
      <c r="A89" s="50"/>
      <c r="B89" s="49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46"/>
      <c r="Z89" s="26"/>
      <c r="AA89" s="51"/>
      <c r="AB89" s="51"/>
      <c r="AC89" s="26"/>
      <c r="AD89" s="52"/>
      <c r="AE89" s="26"/>
      <c r="BE89" s="50"/>
      <c r="BF89" s="50"/>
    </row>
    <row r="90" spans="1:58" s="5" customFormat="1" x14ac:dyDescent="0.2">
      <c r="A90" s="50"/>
      <c r="B90" s="53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46"/>
      <c r="Z90" s="26"/>
      <c r="AA90" s="51"/>
      <c r="AB90" s="51"/>
      <c r="AC90" s="26"/>
      <c r="AD90" s="52"/>
      <c r="AE90" s="26"/>
      <c r="BE90" s="50"/>
      <c r="BF90" s="50"/>
    </row>
    <row r="91" spans="1:58" s="5" customFormat="1" x14ac:dyDescent="0.2">
      <c r="A91" s="50"/>
      <c r="B91" s="53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46"/>
      <c r="Z91" s="26"/>
      <c r="AA91" s="51"/>
      <c r="AB91" s="51"/>
      <c r="AC91" s="26"/>
      <c r="AD91" s="52"/>
      <c r="AE91" s="26"/>
      <c r="BE91" s="50"/>
      <c r="BF91" s="50"/>
    </row>
    <row r="92" spans="1:58" s="5" customFormat="1" x14ac:dyDescent="0.2">
      <c r="A92" s="50"/>
      <c r="B92" s="53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46"/>
      <c r="Z92" s="26"/>
      <c r="AA92" s="51"/>
      <c r="AB92" s="51"/>
      <c r="AC92" s="26"/>
      <c r="AD92" s="52"/>
      <c r="AE92" s="26"/>
      <c r="BE92" s="50"/>
      <c r="BF92" s="50"/>
    </row>
    <row r="93" spans="1:58" s="5" customFormat="1" x14ac:dyDescent="0.2">
      <c r="A93" s="50"/>
      <c r="B93" s="49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46"/>
      <c r="Z93" s="26"/>
      <c r="AA93" s="51"/>
      <c r="AB93" s="51"/>
      <c r="AC93" s="26"/>
      <c r="AD93" s="52"/>
      <c r="AE93" s="26"/>
      <c r="BE93" s="50"/>
      <c r="BF93" s="50"/>
    </row>
    <row r="94" spans="1:58" s="5" customFormat="1" x14ac:dyDescent="0.2">
      <c r="A94" s="50"/>
      <c r="B94" s="49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46"/>
      <c r="Z94" s="26"/>
      <c r="AA94" s="51"/>
      <c r="AB94" s="51"/>
      <c r="AC94" s="26"/>
      <c r="AD94" s="52"/>
      <c r="AE94" s="26"/>
      <c r="BE94" s="50"/>
      <c r="BF94" s="50"/>
    </row>
    <row r="95" spans="1:58" s="5" customFormat="1" x14ac:dyDescent="0.2">
      <c r="A95" s="50"/>
      <c r="B95" s="53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46"/>
      <c r="Z95" s="26"/>
      <c r="AA95" s="51"/>
      <c r="AB95" s="51"/>
      <c r="AC95" s="26"/>
      <c r="AD95" s="52"/>
      <c r="AE95" s="26"/>
      <c r="BE95" s="50"/>
      <c r="BF95" s="50"/>
    </row>
    <row r="96" spans="1:58" s="5" customFormat="1" x14ac:dyDescent="0.2">
      <c r="A96" s="50"/>
      <c r="B96" s="49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46"/>
      <c r="Z96" s="26"/>
      <c r="AA96" s="51"/>
      <c r="AB96" s="51"/>
      <c r="AC96" s="26"/>
      <c r="AD96" s="52"/>
      <c r="AE96" s="26"/>
      <c r="BE96" s="50"/>
      <c r="BF96" s="50"/>
    </row>
    <row r="97" spans="1:58" s="5" customFormat="1" x14ac:dyDescent="0.2">
      <c r="A97" s="50"/>
      <c r="B97" s="49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46"/>
      <c r="Z97" s="26"/>
      <c r="AA97" s="51"/>
      <c r="AB97" s="51"/>
      <c r="AC97" s="26"/>
      <c r="AD97" s="52"/>
      <c r="AE97" s="26"/>
      <c r="BE97" s="50"/>
      <c r="BF97" s="50"/>
    </row>
    <row r="98" spans="1:58" s="5" customFormat="1" x14ac:dyDescent="0.2">
      <c r="A98" s="50"/>
      <c r="B98" s="49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51"/>
      <c r="S98" s="51"/>
      <c r="T98" s="51"/>
      <c r="U98" s="51"/>
      <c r="V98" s="26"/>
      <c r="W98" s="26"/>
      <c r="X98" s="26"/>
      <c r="Y98" s="51"/>
      <c r="Z98" s="51"/>
      <c r="AA98" s="51"/>
      <c r="AB98" s="51"/>
      <c r="AC98" s="51"/>
      <c r="AD98" s="52"/>
      <c r="AE98" s="26"/>
      <c r="BE98" s="50"/>
      <c r="BF98" s="50"/>
    </row>
    <row r="99" spans="1:58" s="5" customFormat="1" x14ac:dyDescent="0.2">
      <c r="A99" s="50"/>
      <c r="B99" s="49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46"/>
      <c r="Z99" s="26"/>
      <c r="AA99" s="51"/>
      <c r="AB99" s="51"/>
      <c r="AC99" s="26"/>
      <c r="AD99" s="52"/>
      <c r="AE99" s="26"/>
      <c r="BE99" s="50"/>
      <c r="BF99" s="50"/>
    </row>
    <row r="100" spans="1:58" s="5" customFormat="1" x14ac:dyDescent="0.2">
      <c r="A100" s="50"/>
      <c r="B100" s="49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46"/>
      <c r="Z100" s="26"/>
      <c r="AA100" s="51"/>
      <c r="AB100" s="51"/>
      <c r="AC100" s="26"/>
      <c r="AD100" s="52"/>
      <c r="AE100" s="26"/>
      <c r="BE100" s="50"/>
      <c r="BF100" s="50"/>
    </row>
    <row r="101" spans="1:58" s="5" customFormat="1" x14ac:dyDescent="0.2">
      <c r="A101" s="50"/>
      <c r="B101" s="49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46"/>
      <c r="Z101" s="26"/>
      <c r="AA101" s="51"/>
      <c r="AB101" s="51"/>
      <c r="AC101" s="26"/>
      <c r="AD101" s="52"/>
      <c r="AE101" s="26"/>
      <c r="BE101" s="50"/>
      <c r="BF101" s="50"/>
    </row>
    <row r="102" spans="1:58" s="5" customFormat="1" x14ac:dyDescent="0.2">
      <c r="A102" s="50"/>
      <c r="B102" s="49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46"/>
      <c r="Z102" s="26"/>
      <c r="AA102" s="51"/>
      <c r="AB102" s="51"/>
      <c r="AC102" s="26"/>
      <c r="AD102" s="52"/>
      <c r="AE102" s="26"/>
      <c r="BE102" s="50"/>
      <c r="BF102" s="50"/>
    </row>
    <row r="103" spans="1:58" s="5" customFormat="1" x14ac:dyDescent="0.2">
      <c r="A103" s="50"/>
      <c r="B103" s="49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46"/>
      <c r="Z103" s="26"/>
      <c r="AA103" s="51"/>
      <c r="AB103" s="51"/>
      <c r="AC103" s="26"/>
      <c r="AD103" s="52"/>
      <c r="AE103" s="26"/>
      <c r="BE103" s="50"/>
      <c r="BF103" s="50"/>
    </row>
    <row r="104" spans="1:58" s="5" customFormat="1" x14ac:dyDescent="0.2">
      <c r="A104" s="50"/>
      <c r="B104" s="49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46"/>
      <c r="Z104" s="26"/>
      <c r="AA104" s="51"/>
      <c r="AB104" s="51"/>
      <c r="AC104" s="26"/>
      <c r="AD104" s="52"/>
      <c r="AE104" s="26"/>
      <c r="BE104" s="50"/>
      <c r="BF104" s="50"/>
    </row>
    <row r="105" spans="1:58" s="5" customFormat="1" x14ac:dyDescent="0.2">
      <c r="A105" s="50"/>
      <c r="B105" s="5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46"/>
      <c r="Z105" s="26"/>
      <c r="AA105" s="51"/>
      <c r="AB105" s="51"/>
      <c r="AC105" s="57"/>
      <c r="AD105" s="52"/>
      <c r="AE105" s="26"/>
      <c r="BE105" s="50"/>
      <c r="BF105" s="50"/>
    </row>
    <row r="106" spans="1:58" s="5" customFormat="1" x14ac:dyDescent="0.2">
      <c r="A106" s="50"/>
      <c r="B106" s="53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46"/>
      <c r="Z106" s="26"/>
      <c r="AA106" s="51"/>
      <c r="AB106" s="51"/>
      <c r="AC106" s="26"/>
      <c r="AD106" s="52"/>
      <c r="AE106" s="26"/>
      <c r="BE106" s="50"/>
      <c r="BF106" s="50"/>
    </row>
    <row r="107" spans="1:58" s="5" customFormat="1" x14ac:dyDescent="0.2">
      <c r="A107" s="50"/>
      <c r="B107" s="53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51"/>
      <c r="AB107" s="51"/>
      <c r="AC107" s="26"/>
      <c r="AD107" s="52"/>
      <c r="AE107" s="26"/>
      <c r="BE107" s="50"/>
      <c r="BF107" s="50"/>
    </row>
    <row r="108" spans="1:58" s="5" customFormat="1" x14ac:dyDescent="0.2">
      <c r="A108" s="50"/>
      <c r="B108" s="53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46"/>
      <c r="Z108" s="26"/>
      <c r="AA108" s="51"/>
      <c r="AB108" s="51"/>
      <c r="AC108" s="26"/>
      <c r="AD108" s="52"/>
      <c r="AE108" s="26"/>
      <c r="BE108" s="50"/>
      <c r="BF108" s="50"/>
    </row>
    <row r="109" spans="1:58" s="5" customFormat="1" x14ac:dyDescent="0.2">
      <c r="A109" s="50"/>
      <c r="B109" s="49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52"/>
      <c r="AE109" s="26"/>
      <c r="BE109" s="50"/>
      <c r="BF109" s="50"/>
    </row>
    <row r="110" spans="1:58" s="5" customFormat="1" x14ac:dyDescent="0.2">
      <c r="A110" s="50"/>
      <c r="B110" s="49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46"/>
      <c r="Z110" s="26"/>
      <c r="AA110" s="51"/>
      <c r="AB110" s="51"/>
      <c r="AC110" s="26"/>
      <c r="AD110" s="52"/>
      <c r="AE110" s="26"/>
      <c r="BE110" s="50"/>
      <c r="BF110" s="50"/>
    </row>
    <row r="111" spans="1:58" s="5" customFormat="1" x14ac:dyDescent="0.2">
      <c r="A111" s="50"/>
      <c r="B111" s="53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46"/>
      <c r="Z111" s="26"/>
      <c r="AA111" s="51"/>
      <c r="AB111" s="51"/>
      <c r="AC111" s="26"/>
      <c r="AD111" s="52"/>
      <c r="AE111" s="26"/>
      <c r="BE111" s="50"/>
      <c r="BF111" s="50"/>
    </row>
    <row r="112" spans="1:58" s="5" customFormat="1" x14ac:dyDescent="0.2">
      <c r="A112" s="50"/>
      <c r="B112" s="53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46"/>
      <c r="Z112" s="26"/>
      <c r="AA112" s="51"/>
      <c r="AB112" s="51"/>
      <c r="AC112" s="26"/>
      <c r="AD112" s="52"/>
      <c r="AE112" s="26"/>
      <c r="BE112" s="50"/>
      <c r="BF112" s="50"/>
    </row>
    <row r="113" spans="1:58" s="5" customFormat="1" x14ac:dyDescent="0.2">
      <c r="A113" s="50"/>
      <c r="B113" s="49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52"/>
      <c r="AE113" s="26"/>
      <c r="BE113" s="50"/>
      <c r="BF113" s="50"/>
    </row>
    <row r="114" spans="1:58" s="5" customFormat="1" x14ac:dyDescent="0.2">
      <c r="A114" s="50"/>
      <c r="B114" s="49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51"/>
      <c r="AB114" s="51"/>
      <c r="AC114" s="26"/>
      <c r="AD114" s="52"/>
      <c r="AE114" s="26"/>
      <c r="BE114" s="50"/>
      <c r="BF114" s="50"/>
    </row>
    <row r="115" spans="1:58" s="5" customFormat="1" x14ac:dyDescent="0.2">
      <c r="A115" s="50"/>
      <c r="B115" s="49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51"/>
      <c r="AB115" s="51"/>
      <c r="AC115" s="26"/>
      <c r="AD115" s="52"/>
      <c r="AE115" s="26"/>
      <c r="BE115" s="50"/>
      <c r="BF115" s="50"/>
    </row>
    <row r="116" spans="1:58" s="5" customFormat="1" x14ac:dyDescent="0.2">
      <c r="A116" s="50"/>
      <c r="B116" s="53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46"/>
      <c r="Z116" s="26"/>
      <c r="AA116" s="51"/>
      <c r="AB116" s="51"/>
      <c r="AC116" s="26"/>
      <c r="AD116" s="52"/>
      <c r="AE116" s="26"/>
      <c r="BE116" s="50"/>
      <c r="BF116" s="50"/>
    </row>
    <row r="117" spans="1:58" s="5" customFormat="1" x14ac:dyDescent="0.2">
      <c r="A117" s="50"/>
      <c r="B117" s="53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46"/>
      <c r="Z117" s="26"/>
      <c r="AA117" s="51"/>
      <c r="AB117" s="51"/>
      <c r="AC117" s="26"/>
      <c r="AD117" s="52"/>
      <c r="AE117" s="26"/>
      <c r="BE117" s="50"/>
      <c r="BF117" s="50"/>
    </row>
    <row r="118" spans="1:58" s="5" customFormat="1" x14ac:dyDescent="0.2">
      <c r="A118" s="50"/>
      <c r="B118" s="49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46"/>
      <c r="Z118" s="26"/>
      <c r="AA118" s="51"/>
      <c r="AB118" s="51"/>
      <c r="AC118" s="26"/>
      <c r="AD118" s="52"/>
      <c r="AE118" s="26"/>
      <c r="BE118" s="50"/>
      <c r="BF118" s="50"/>
    </row>
    <row r="119" spans="1:58" s="5" customFormat="1" x14ac:dyDescent="0.2">
      <c r="A119" s="50"/>
      <c r="B119" s="49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46"/>
      <c r="Z119" s="26"/>
      <c r="AA119" s="51"/>
      <c r="AB119" s="51"/>
      <c r="AC119" s="26"/>
      <c r="AD119" s="52"/>
      <c r="AE119" s="26"/>
      <c r="BE119" s="50"/>
      <c r="BF119" s="50"/>
    </row>
    <row r="120" spans="1:58" s="5" customFormat="1" x14ac:dyDescent="0.2">
      <c r="A120" s="50"/>
      <c r="B120" s="49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46"/>
      <c r="Z120" s="26"/>
      <c r="AA120" s="51"/>
      <c r="AB120" s="51"/>
      <c r="AC120" s="26"/>
      <c r="AD120" s="52"/>
      <c r="AE120" s="26"/>
      <c r="BE120" s="50"/>
      <c r="BF120" s="50"/>
    </row>
    <row r="121" spans="1:58" s="5" customFormat="1" x14ac:dyDescent="0.2">
      <c r="A121" s="50"/>
      <c r="B121" s="49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46"/>
      <c r="Z121" s="26"/>
      <c r="AA121" s="51"/>
      <c r="AB121" s="51"/>
      <c r="AC121" s="26"/>
      <c r="AD121" s="52"/>
      <c r="AE121" s="26"/>
      <c r="BE121" s="50"/>
      <c r="BF121" s="50"/>
    </row>
    <row r="122" spans="1:58" s="5" customFormat="1" x14ac:dyDescent="0.2">
      <c r="A122" s="50"/>
      <c r="B122" s="49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46"/>
      <c r="Z122" s="26"/>
      <c r="AA122" s="51"/>
      <c r="AB122" s="51"/>
      <c r="AC122" s="26"/>
      <c r="AD122" s="52"/>
      <c r="AE122" s="26"/>
      <c r="BE122" s="50"/>
      <c r="BF122" s="50"/>
    </row>
    <row r="123" spans="1:58" s="5" customFormat="1" x14ac:dyDescent="0.2">
      <c r="A123" s="50"/>
      <c r="B123" s="49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46"/>
      <c r="Z123" s="26"/>
      <c r="AA123" s="51"/>
      <c r="AB123" s="51"/>
      <c r="AC123" s="26"/>
      <c r="AD123" s="52"/>
      <c r="AE123" s="26"/>
      <c r="BE123" s="50"/>
      <c r="BF123" s="50"/>
    </row>
    <row r="124" spans="1:58" s="5" customFormat="1" x14ac:dyDescent="0.2">
      <c r="A124" s="50"/>
      <c r="B124" s="49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46"/>
      <c r="Z124" s="26"/>
      <c r="AA124" s="51"/>
      <c r="AB124" s="51"/>
      <c r="AC124" s="26"/>
      <c r="AD124" s="52"/>
      <c r="AE124" s="26"/>
      <c r="BE124" s="50"/>
      <c r="BF124" s="50"/>
    </row>
    <row r="125" spans="1:58" s="5" customFormat="1" x14ac:dyDescent="0.2">
      <c r="A125" s="50"/>
      <c r="B125" s="49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46"/>
      <c r="Z125" s="26"/>
      <c r="AA125" s="51"/>
      <c r="AB125" s="51"/>
      <c r="AC125" s="26"/>
      <c r="AD125" s="52"/>
      <c r="AE125" s="26"/>
      <c r="BE125" s="50"/>
      <c r="BF125" s="50"/>
    </row>
    <row r="126" spans="1:58" s="5" customFormat="1" x14ac:dyDescent="0.2">
      <c r="A126" s="50"/>
      <c r="B126" s="49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52"/>
      <c r="AE126" s="26"/>
      <c r="BE126" s="50"/>
      <c r="BF126" s="50"/>
    </row>
    <row r="127" spans="1:58" s="5" customFormat="1" x14ac:dyDescent="0.2">
      <c r="A127" s="50"/>
      <c r="B127" s="49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46"/>
      <c r="Z127" s="26"/>
      <c r="AA127" s="51"/>
      <c r="AB127" s="51"/>
      <c r="AC127" s="26"/>
      <c r="AD127" s="52"/>
      <c r="AE127" s="26"/>
      <c r="BE127" s="50"/>
      <c r="BF127" s="50"/>
    </row>
    <row r="128" spans="1:58" s="5" customFormat="1" x14ac:dyDescent="0.2">
      <c r="A128" s="50"/>
      <c r="B128" s="49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46"/>
      <c r="Z128" s="26"/>
      <c r="AA128" s="51"/>
      <c r="AB128" s="51"/>
      <c r="AC128" s="26"/>
      <c r="AD128" s="52"/>
      <c r="AE128" s="26"/>
      <c r="BE128" s="50"/>
      <c r="BF128" s="50"/>
    </row>
    <row r="129" spans="1:58" s="5" customFormat="1" x14ac:dyDescent="0.2">
      <c r="A129" s="50"/>
      <c r="B129" s="49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46"/>
      <c r="Z129" s="26"/>
      <c r="AA129" s="51"/>
      <c r="AB129" s="51"/>
      <c r="AC129" s="26"/>
      <c r="AD129" s="52"/>
      <c r="AE129" s="26"/>
      <c r="BE129" s="50"/>
      <c r="BF129" s="50"/>
    </row>
    <row r="130" spans="1:58" s="5" customFormat="1" x14ac:dyDescent="0.2">
      <c r="A130" s="50"/>
      <c r="B130" s="49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46"/>
      <c r="Z130" s="26"/>
      <c r="AA130" s="51"/>
      <c r="AB130" s="51"/>
      <c r="AC130" s="26"/>
      <c r="AD130" s="52"/>
      <c r="AE130" s="26"/>
      <c r="BE130" s="50"/>
      <c r="BF130" s="50"/>
    </row>
    <row r="131" spans="1:58" s="5" customFormat="1" x14ac:dyDescent="0.2">
      <c r="A131" s="50"/>
      <c r="B131" s="49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51"/>
      <c r="AB131" s="51"/>
      <c r="AC131" s="26"/>
      <c r="AD131" s="52"/>
      <c r="AE131" s="26"/>
      <c r="BE131" s="50"/>
      <c r="BF131" s="50"/>
    </row>
    <row r="132" spans="1:58" s="5" customFormat="1" x14ac:dyDescent="0.2">
      <c r="A132" s="50"/>
      <c r="B132" s="58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46"/>
      <c r="Z132" s="26"/>
      <c r="AA132" s="51"/>
      <c r="AB132" s="51"/>
      <c r="AC132" s="26"/>
      <c r="AD132" s="52"/>
      <c r="AE132" s="26"/>
      <c r="BE132" s="50"/>
      <c r="BF132" s="50"/>
    </row>
    <row r="133" spans="1:58" s="5" customFormat="1" x14ac:dyDescent="0.2">
      <c r="A133" s="50"/>
      <c r="B133" s="49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46"/>
      <c r="Z133" s="26"/>
      <c r="AA133" s="51"/>
      <c r="AB133" s="51"/>
      <c r="AC133" s="26"/>
      <c r="AD133" s="52"/>
      <c r="AE133" s="26"/>
      <c r="BE133" s="50"/>
      <c r="BF133" s="50"/>
    </row>
    <row r="134" spans="1:58" s="5" customFormat="1" x14ac:dyDescent="0.2">
      <c r="A134" s="50"/>
      <c r="B134" s="49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46"/>
      <c r="Z134" s="26"/>
      <c r="AA134" s="51"/>
      <c r="AB134" s="51"/>
      <c r="AC134" s="26"/>
      <c r="AD134" s="52"/>
      <c r="AE134" s="26"/>
      <c r="BE134" s="50"/>
      <c r="BF134" s="50"/>
    </row>
    <row r="135" spans="1:58" s="5" customFormat="1" x14ac:dyDescent="0.2">
      <c r="A135" s="50"/>
      <c r="B135" s="53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46"/>
      <c r="Z135" s="26"/>
      <c r="AA135" s="51"/>
      <c r="AB135" s="51"/>
      <c r="AC135" s="26"/>
      <c r="AD135" s="52"/>
      <c r="AE135" s="26"/>
      <c r="BE135" s="50"/>
      <c r="BF135" s="50"/>
    </row>
    <row r="136" spans="1:58" s="5" customFormat="1" x14ac:dyDescent="0.2">
      <c r="A136" s="50"/>
      <c r="B136" s="49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51"/>
      <c r="AB136" s="51"/>
      <c r="AC136" s="26"/>
      <c r="AD136" s="52"/>
      <c r="AE136" s="26"/>
      <c r="BE136" s="50"/>
      <c r="BF136" s="50"/>
    </row>
    <row r="137" spans="1:58" s="5" customFormat="1" x14ac:dyDescent="0.2">
      <c r="A137" s="50"/>
      <c r="B137" s="49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52"/>
      <c r="AE137" s="26"/>
      <c r="BE137" s="50"/>
      <c r="BF137" s="50"/>
    </row>
    <row r="138" spans="1:58" s="5" customFormat="1" x14ac:dyDescent="0.2">
      <c r="A138" s="50"/>
      <c r="B138" s="49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52"/>
      <c r="AE138" s="26"/>
      <c r="BE138" s="50"/>
      <c r="BF138" s="50"/>
    </row>
    <row r="139" spans="1:58" s="5" customFormat="1" x14ac:dyDescent="0.2">
      <c r="A139" s="50"/>
      <c r="B139" s="49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46"/>
      <c r="Z139" s="26"/>
      <c r="AA139" s="51"/>
      <c r="AB139" s="51"/>
      <c r="AC139" s="26"/>
      <c r="AD139" s="52"/>
      <c r="AE139" s="26"/>
      <c r="BE139" s="50"/>
      <c r="BF139" s="50"/>
    </row>
    <row r="140" spans="1:58" s="5" customFormat="1" x14ac:dyDescent="0.2">
      <c r="A140" s="50"/>
      <c r="B140" s="49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59"/>
      <c r="Z140" s="26"/>
      <c r="AA140" s="51"/>
      <c r="AB140" s="51"/>
      <c r="AC140" s="26"/>
      <c r="AD140" s="52"/>
      <c r="AE140" s="26"/>
      <c r="BE140" s="50"/>
      <c r="BF140" s="50"/>
    </row>
    <row r="141" spans="1:58" s="5" customFormat="1" x14ac:dyDescent="0.2">
      <c r="A141" s="50"/>
      <c r="B141" s="53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46"/>
      <c r="Z141" s="51"/>
      <c r="AA141" s="51"/>
      <c r="AB141" s="51"/>
      <c r="AC141" s="26"/>
      <c r="AD141" s="52"/>
      <c r="AE141" s="26"/>
      <c r="BE141" s="50"/>
      <c r="BF141" s="50"/>
    </row>
    <row r="142" spans="1:58" s="5" customFormat="1" x14ac:dyDescent="0.2">
      <c r="A142" s="50"/>
      <c r="B142" s="49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46"/>
      <c r="Z142" s="26"/>
      <c r="AA142" s="51"/>
      <c r="AB142" s="51"/>
      <c r="AC142" s="26"/>
      <c r="AD142" s="52"/>
      <c r="AE142" s="26"/>
      <c r="BE142" s="50"/>
      <c r="BF142" s="50"/>
    </row>
    <row r="143" spans="1:58" s="5" customFormat="1" x14ac:dyDescent="0.2">
      <c r="A143" s="50"/>
      <c r="B143" s="49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46"/>
      <c r="Z143" s="26"/>
      <c r="AA143" s="51"/>
      <c r="AB143" s="51"/>
      <c r="AC143" s="26"/>
      <c r="AD143" s="52"/>
      <c r="AE143" s="26"/>
      <c r="BE143" s="50"/>
      <c r="BF143" s="50"/>
    </row>
    <row r="144" spans="1:58" s="5" customFormat="1" x14ac:dyDescent="0.2">
      <c r="A144" s="50"/>
      <c r="B144" s="49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46"/>
      <c r="Z144" s="26"/>
      <c r="AA144" s="51"/>
      <c r="AB144" s="51"/>
      <c r="AC144" s="26"/>
      <c r="AD144" s="52"/>
      <c r="AE144" s="26"/>
      <c r="BE144" s="50"/>
      <c r="BF144" s="50"/>
    </row>
    <row r="145" spans="1:58" s="5" customFormat="1" x14ac:dyDescent="0.2">
      <c r="A145" s="50"/>
      <c r="B145" s="49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46"/>
      <c r="Z145" s="26"/>
      <c r="AA145" s="51"/>
      <c r="AB145" s="51"/>
      <c r="AC145" s="26"/>
      <c r="AD145" s="52"/>
      <c r="AE145" s="26"/>
      <c r="BE145" s="50"/>
      <c r="BF145" s="50"/>
    </row>
    <row r="146" spans="1:58" s="5" customFormat="1" x14ac:dyDescent="0.2">
      <c r="A146" s="50"/>
      <c r="B146" s="49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51"/>
      <c r="AB146" s="51"/>
      <c r="AC146" s="26"/>
      <c r="AD146" s="52"/>
      <c r="AE146" s="26"/>
      <c r="BE146" s="50"/>
      <c r="BF146" s="50"/>
    </row>
    <row r="147" spans="1:58" s="5" customFormat="1" x14ac:dyDescent="0.2">
      <c r="A147" s="50"/>
      <c r="B147" s="49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46"/>
      <c r="Z147" s="26"/>
      <c r="AA147" s="51"/>
      <c r="AB147" s="51"/>
      <c r="AC147" s="26"/>
      <c r="AD147" s="52"/>
      <c r="AE147" s="26"/>
      <c r="BE147" s="50"/>
      <c r="BF147" s="50"/>
    </row>
    <row r="148" spans="1:58" s="5" customFormat="1" x14ac:dyDescent="0.2">
      <c r="A148" s="50"/>
      <c r="B148" s="49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46"/>
      <c r="Z148" s="26"/>
      <c r="AA148" s="51"/>
      <c r="AB148" s="51"/>
      <c r="AC148" s="26"/>
      <c r="AD148" s="52"/>
      <c r="AE148" s="26"/>
      <c r="BE148" s="50"/>
      <c r="BF148" s="50"/>
    </row>
    <row r="149" spans="1:58" s="5" customFormat="1" x14ac:dyDescent="0.2">
      <c r="A149" s="50"/>
      <c r="B149" s="49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51"/>
      <c r="AB149" s="51"/>
      <c r="AC149" s="26"/>
      <c r="AD149" s="52"/>
      <c r="AE149" s="26"/>
      <c r="BE149" s="50"/>
      <c r="BF149" s="50"/>
    </row>
    <row r="150" spans="1:58" s="5" customFormat="1" x14ac:dyDescent="0.2">
      <c r="A150" s="50"/>
      <c r="B150" s="49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46"/>
      <c r="Z150" s="26"/>
      <c r="AA150" s="51"/>
      <c r="AB150" s="51"/>
      <c r="AC150" s="26"/>
      <c r="AD150" s="52"/>
      <c r="AE150" s="26"/>
      <c r="BE150" s="50"/>
      <c r="BF150" s="50"/>
    </row>
    <row r="151" spans="1:58" s="5" customFormat="1" x14ac:dyDescent="0.2">
      <c r="A151" s="50"/>
      <c r="B151" s="49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46"/>
      <c r="Z151" s="26"/>
      <c r="AA151" s="51"/>
      <c r="AB151" s="51"/>
      <c r="AC151" s="26"/>
      <c r="AD151" s="52"/>
      <c r="AE151" s="26"/>
      <c r="BE151" s="50"/>
      <c r="BF151" s="50"/>
    </row>
    <row r="152" spans="1:58" s="5" customFormat="1" x14ac:dyDescent="0.2">
      <c r="A152" s="50"/>
      <c r="B152" s="49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46"/>
      <c r="Z152" s="26"/>
      <c r="AA152" s="51"/>
      <c r="AB152" s="51"/>
      <c r="AC152" s="26"/>
      <c r="AD152" s="52"/>
      <c r="AE152" s="26"/>
      <c r="BE152" s="50"/>
      <c r="BF152" s="50"/>
    </row>
    <row r="153" spans="1:58" s="5" customFormat="1" x14ac:dyDescent="0.2">
      <c r="A153" s="50"/>
      <c r="B153" s="49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46"/>
      <c r="Z153" s="26"/>
      <c r="AA153" s="51"/>
      <c r="AB153" s="51"/>
      <c r="AC153" s="26"/>
      <c r="AD153" s="52"/>
      <c r="AE153" s="26"/>
      <c r="BE153" s="50"/>
      <c r="BF153" s="50"/>
    </row>
    <row r="154" spans="1:58" s="5" customFormat="1" x14ac:dyDescent="0.2">
      <c r="A154" s="50"/>
      <c r="B154" s="49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52"/>
      <c r="AE154" s="26"/>
      <c r="BE154" s="50"/>
      <c r="BF154" s="50"/>
    </row>
    <row r="155" spans="1:58" s="5" customFormat="1" x14ac:dyDescent="0.2">
      <c r="A155" s="50"/>
      <c r="B155" s="49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46"/>
      <c r="Z155" s="26"/>
      <c r="AA155" s="51"/>
      <c r="AB155" s="51"/>
      <c r="AC155" s="26"/>
      <c r="AD155" s="52"/>
      <c r="AE155" s="26"/>
      <c r="BE155" s="50"/>
      <c r="BF155" s="50"/>
    </row>
    <row r="156" spans="1:58" s="5" customFormat="1" x14ac:dyDescent="0.2">
      <c r="A156" s="50"/>
      <c r="B156" s="49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51"/>
      <c r="AB156" s="51"/>
      <c r="AC156" s="26"/>
      <c r="AD156" s="52"/>
      <c r="AE156" s="26"/>
      <c r="BE156" s="50"/>
      <c r="BF156" s="50"/>
    </row>
    <row r="157" spans="1:58" s="5" customFormat="1" x14ac:dyDescent="0.2">
      <c r="A157" s="50"/>
      <c r="B157" s="49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46"/>
      <c r="Z157" s="26"/>
      <c r="AA157" s="51"/>
      <c r="AB157" s="51"/>
      <c r="AC157" s="26"/>
      <c r="AD157" s="52"/>
      <c r="AE157" s="26"/>
      <c r="BE157" s="50"/>
      <c r="BF157" s="50"/>
    </row>
    <row r="158" spans="1:58" s="5" customFormat="1" x14ac:dyDescent="0.2">
      <c r="A158" s="50"/>
      <c r="B158" s="49"/>
      <c r="C158" s="51"/>
      <c r="D158" s="51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51"/>
      <c r="AB158" s="51"/>
      <c r="AC158" s="26"/>
      <c r="AD158" s="52"/>
      <c r="AE158" s="26"/>
      <c r="BE158" s="50"/>
      <c r="BF158" s="50"/>
    </row>
    <row r="159" spans="1:58" s="5" customFormat="1" x14ac:dyDescent="0.2">
      <c r="A159" s="50"/>
      <c r="B159" s="49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51"/>
      <c r="AB159" s="51"/>
      <c r="AC159" s="26"/>
      <c r="AD159" s="52"/>
      <c r="AE159" s="26"/>
      <c r="BE159" s="50"/>
      <c r="BF159" s="50"/>
    </row>
    <row r="160" spans="1:58" s="5" customFormat="1" x14ac:dyDescent="0.2">
      <c r="A160" s="50"/>
      <c r="B160" s="49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51"/>
      <c r="AB160" s="51"/>
      <c r="AC160" s="26"/>
      <c r="AD160" s="52"/>
      <c r="AE160" s="26"/>
      <c r="BE160" s="50"/>
      <c r="BF160" s="50"/>
    </row>
    <row r="161" spans="1:58" s="5" customFormat="1" x14ac:dyDescent="0.2">
      <c r="A161" s="50"/>
      <c r="B161" s="49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51"/>
      <c r="AB161" s="51"/>
      <c r="AC161" s="26"/>
      <c r="AD161" s="52"/>
      <c r="AE161" s="26"/>
      <c r="BE161" s="50"/>
      <c r="BF161" s="50"/>
    </row>
    <row r="162" spans="1:58" s="5" customFormat="1" x14ac:dyDescent="0.2">
      <c r="A162" s="50"/>
      <c r="B162" s="49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51"/>
      <c r="AB162" s="51"/>
      <c r="AC162" s="26"/>
      <c r="AD162" s="52"/>
      <c r="AE162" s="26"/>
      <c r="BE162" s="50"/>
      <c r="BF162" s="50"/>
    </row>
    <row r="163" spans="1:58" s="5" customFormat="1" x14ac:dyDescent="0.2">
      <c r="A163" s="50"/>
      <c r="B163" s="49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51"/>
      <c r="AB163" s="51"/>
      <c r="AC163" s="26"/>
      <c r="AD163" s="52"/>
      <c r="AE163" s="26"/>
      <c r="BE163" s="50"/>
      <c r="BF163" s="50"/>
    </row>
    <row r="164" spans="1:58" s="5" customFormat="1" x14ac:dyDescent="0.2">
      <c r="A164" s="50"/>
      <c r="B164" s="49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51"/>
      <c r="AB164" s="51"/>
      <c r="AC164" s="26"/>
      <c r="AD164" s="52"/>
      <c r="AE164" s="26"/>
      <c r="BE164" s="50"/>
      <c r="BF164" s="50"/>
    </row>
    <row r="165" spans="1:58" s="5" customFormat="1" x14ac:dyDescent="0.2">
      <c r="A165" s="50"/>
      <c r="B165" s="53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46"/>
      <c r="Z165" s="26"/>
      <c r="AA165" s="51"/>
      <c r="AB165" s="51"/>
      <c r="AC165" s="26"/>
      <c r="AD165" s="52"/>
      <c r="AE165" s="26"/>
      <c r="BE165" s="50"/>
      <c r="BF165" s="50"/>
    </row>
    <row r="166" spans="1:58" s="5" customFormat="1" x14ac:dyDescent="0.2">
      <c r="A166" s="50"/>
      <c r="B166" s="49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50"/>
      <c r="Z166" s="26"/>
      <c r="AA166" s="26"/>
      <c r="AB166" s="26"/>
      <c r="AC166" s="26"/>
      <c r="AD166" s="52"/>
      <c r="AE166" s="26"/>
      <c r="BE166" s="50"/>
      <c r="BF166" s="50"/>
    </row>
    <row r="167" spans="1:58" s="5" customFormat="1" x14ac:dyDescent="0.2">
      <c r="A167" s="50"/>
      <c r="B167" s="49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46"/>
      <c r="Z167" s="26"/>
      <c r="AA167" s="51"/>
      <c r="AB167" s="51"/>
      <c r="AC167" s="26"/>
      <c r="AD167" s="52"/>
      <c r="AE167" s="26"/>
      <c r="BE167" s="50"/>
      <c r="BF167" s="50"/>
    </row>
    <row r="168" spans="1:58" s="5" customFormat="1" x14ac:dyDescent="0.2">
      <c r="A168" s="50"/>
      <c r="B168" s="49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50"/>
      <c r="Z168" s="26"/>
      <c r="AA168" s="51"/>
      <c r="AB168" s="51"/>
      <c r="AC168" s="26"/>
      <c r="AD168" s="52"/>
      <c r="AE168" s="26"/>
      <c r="BE168" s="50"/>
      <c r="BF168" s="50"/>
    </row>
    <row r="169" spans="1:58" s="5" customFormat="1" x14ac:dyDescent="0.2">
      <c r="A169" s="50"/>
      <c r="B169" s="49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46"/>
      <c r="Z169" s="26"/>
      <c r="AA169" s="51"/>
      <c r="AB169" s="51"/>
      <c r="AC169" s="26"/>
      <c r="AD169" s="52"/>
      <c r="AE169" s="26"/>
      <c r="BE169" s="50"/>
      <c r="BF169" s="50"/>
    </row>
    <row r="170" spans="1:58" s="5" customFormat="1" x14ac:dyDescent="0.2">
      <c r="A170" s="50"/>
      <c r="B170" s="49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50"/>
      <c r="Z170" s="26"/>
      <c r="AA170" s="51"/>
      <c r="AB170" s="51"/>
      <c r="AC170" s="26"/>
      <c r="AD170" s="52"/>
      <c r="AE170" s="26"/>
      <c r="BE170" s="50"/>
      <c r="BF170" s="50"/>
    </row>
    <row r="171" spans="1:58" s="5" customFormat="1" x14ac:dyDescent="0.2">
      <c r="A171" s="50"/>
      <c r="B171" s="49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50"/>
      <c r="Z171" s="26"/>
      <c r="AA171" s="51"/>
      <c r="AB171" s="51"/>
      <c r="AC171" s="26"/>
      <c r="AD171" s="52"/>
      <c r="AE171" s="26"/>
      <c r="BE171" s="50"/>
      <c r="BF171" s="50"/>
    </row>
    <row r="172" spans="1:58" s="5" customFormat="1" x14ac:dyDescent="0.2">
      <c r="A172" s="50"/>
      <c r="B172" s="49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50"/>
      <c r="Z172" s="26"/>
      <c r="AA172" s="51"/>
      <c r="AB172" s="51"/>
      <c r="AC172" s="26"/>
      <c r="AD172" s="52"/>
      <c r="AE172" s="26"/>
      <c r="BE172" s="50"/>
      <c r="BF172" s="50"/>
    </row>
    <row r="173" spans="1:58" s="5" customFormat="1" x14ac:dyDescent="0.2">
      <c r="A173" s="50"/>
      <c r="B173" s="49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51"/>
      <c r="P173" s="26"/>
      <c r="Q173" s="26"/>
      <c r="R173" s="51"/>
      <c r="S173" s="51"/>
      <c r="T173" s="51"/>
      <c r="U173" s="26"/>
      <c r="V173" s="26"/>
      <c r="W173" s="26"/>
      <c r="X173" s="26"/>
      <c r="Y173" s="51"/>
      <c r="Z173" s="51"/>
      <c r="AA173" s="51"/>
      <c r="AB173" s="51"/>
      <c r="AC173" s="51"/>
      <c r="AD173" s="52"/>
      <c r="AE173" s="26"/>
      <c r="BE173" s="50"/>
      <c r="BF173" s="50"/>
    </row>
    <row r="174" spans="1:58" s="5" customFormat="1" x14ac:dyDescent="0.2">
      <c r="A174" s="50"/>
      <c r="B174" s="49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51"/>
      <c r="AB174" s="51"/>
      <c r="AC174" s="26"/>
      <c r="AD174" s="52"/>
      <c r="AE174" s="26"/>
      <c r="BE174" s="50"/>
      <c r="BF174" s="50"/>
    </row>
    <row r="175" spans="1:58" s="5" customFormat="1" x14ac:dyDescent="0.2">
      <c r="A175" s="50"/>
      <c r="B175" s="49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51"/>
      <c r="AB175" s="51"/>
      <c r="AC175" s="26"/>
      <c r="AD175" s="52"/>
      <c r="AE175" s="26"/>
      <c r="BE175" s="50"/>
      <c r="BF175" s="50"/>
    </row>
    <row r="176" spans="1:58" s="5" customFormat="1" x14ac:dyDescent="0.2">
      <c r="A176" s="50"/>
      <c r="B176" s="49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46"/>
      <c r="Z176" s="26"/>
      <c r="AA176" s="51"/>
      <c r="AB176" s="51"/>
      <c r="AC176" s="26"/>
      <c r="AD176" s="52"/>
      <c r="AE176" s="26"/>
      <c r="BE176" s="50"/>
      <c r="BF176" s="50"/>
    </row>
    <row r="177" spans="1:58" s="5" customFormat="1" x14ac:dyDescent="0.2">
      <c r="A177" s="50"/>
      <c r="B177" s="49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46"/>
      <c r="Z177" s="26"/>
      <c r="AA177" s="51"/>
      <c r="AB177" s="51"/>
      <c r="AC177" s="26"/>
      <c r="AD177" s="52"/>
      <c r="AE177" s="26"/>
      <c r="BE177" s="50"/>
      <c r="BF177" s="50"/>
    </row>
    <row r="178" spans="1:58" s="5" customFormat="1" x14ac:dyDescent="0.2">
      <c r="A178" s="50"/>
      <c r="B178" s="53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46"/>
      <c r="Z178" s="26"/>
      <c r="AA178" s="51"/>
      <c r="AB178" s="51"/>
      <c r="AC178" s="26"/>
      <c r="AD178" s="52"/>
      <c r="AE178" s="26"/>
      <c r="BE178" s="50"/>
      <c r="BF178" s="50"/>
    </row>
    <row r="179" spans="1:58" s="5" customFormat="1" x14ac:dyDescent="0.2">
      <c r="A179" s="50"/>
      <c r="B179" s="49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51"/>
      <c r="AB179" s="51"/>
      <c r="AC179" s="26"/>
      <c r="AD179" s="52"/>
      <c r="AE179" s="26"/>
      <c r="BE179" s="50"/>
      <c r="BF179" s="50"/>
    </row>
    <row r="180" spans="1:58" s="5" customFormat="1" x14ac:dyDescent="0.2">
      <c r="A180" s="50"/>
      <c r="B180" s="49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60"/>
      <c r="Z180" s="26"/>
      <c r="AA180" s="51"/>
      <c r="AB180" s="51"/>
      <c r="AC180" s="26"/>
      <c r="AD180" s="52"/>
      <c r="AE180" s="26"/>
      <c r="BE180" s="50"/>
      <c r="BF180" s="50"/>
    </row>
    <row r="181" spans="1:58" s="5" customFormat="1" x14ac:dyDescent="0.2">
      <c r="A181" s="50"/>
      <c r="B181" s="49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46"/>
      <c r="Z181" s="26"/>
      <c r="AA181" s="51"/>
      <c r="AB181" s="51"/>
      <c r="AC181" s="26"/>
      <c r="AD181" s="52"/>
      <c r="AE181" s="26"/>
      <c r="BE181" s="50"/>
      <c r="BF181" s="50"/>
    </row>
    <row r="182" spans="1:58" s="5" customFormat="1" x14ac:dyDescent="0.2">
      <c r="A182" s="50"/>
      <c r="B182" s="49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52"/>
      <c r="AE182" s="26"/>
      <c r="BE182" s="50"/>
      <c r="BF182" s="50"/>
    </row>
    <row r="183" spans="1:58" s="5" customFormat="1" x14ac:dyDescent="0.2">
      <c r="A183" s="50"/>
      <c r="B183" s="49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52"/>
      <c r="AE183" s="26"/>
      <c r="BE183" s="50"/>
      <c r="BF183" s="50"/>
    </row>
    <row r="184" spans="1:58" s="5" customFormat="1" x14ac:dyDescent="0.2">
      <c r="A184" s="50"/>
      <c r="B184" s="49"/>
      <c r="G184" s="50"/>
      <c r="H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1"/>
      <c r="AB184" s="51"/>
      <c r="AC184" s="50"/>
      <c r="AD184" s="52"/>
      <c r="AE184" s="26"/>
      <c r="BE184" s="50"/>
      <c r="BF184" s="50"/>
    </row>
    <row r="185" spans="1:58" s="5" customFormat="1" x14ac:dyDescent="0.2">
      <c r="A185" s="50"/>
      <c r="B185" s="49"/>
      <c r="G185" s="50"/>
      <c r="H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1"/>
      <c r="AB185" s="51"/>
      <c r="AC185" s="50"/>
      <c r="AD185" s="52"/>
      <c r="AE185" s="26"/>
      <c r="BE185" s="50"/>
      <c r="BF185" s="50"/>
    </row>
    <row r="186" spans="1:58" s="5" customFormat="1" x14ac:dyDescent="0.2">
      <c r="A186" s="50"/>
      <c r="B186" s="49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51"/>
      <c r="AB186" s="51"/>
      <c r="AC186" s="26"/>
      <c r="AD186" s="52"/>
      <c r="AE186" s="26"/>
      <c r="BE186" s="50"/>
      <c r="BF186" s="50"/>
    </row>
    <row r="187" spans="1:58" s="5" customFormat="1" x14ac:dyDescent="0.2">
      <c r="A187" s="50"/>
      <c r="B187" s="49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52"/>
      <c r="AE187" s="26"/>
      <c r="BE187" s="50"/>
      <c r="BF187" s="50"/>
    </row>
    <row r="188" spans="1:58" s="5" customFormat="1" x14ac:dyDescent="0.2">
      <c r="A188" s="50"/>
      <c r="B188" s="53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51"/>
      <c r="AB188" s="51"/>
      <c r="AC188" s="26"/>
      <c r="AD188" s="52"/>
      <c r="AE188" s="26"/>
      <c r="BE188" s="50"/>
      <c r="BF188" s="50"/>
    </row>
    <row r="189" spans="1:58" s="5" customFormat="1" x14ac:dyDescent="0.2">
      <c r="A189" s="50"/>
      <c r="B189" s="49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51"/>
      <c r="P189" s="26"/>
      <c r="Q189" s="26"/>
      <c r="R189" s="26"/>
      <c r="S189" s="26"/>
      <c r="T189" s="26"/>
      <c r="U189" s="26"/>
      <c r="V189" s="26"/>
      <c r="W189" s="26"/>
      <c r="X189" s="26"/>
      <c r="Y189" s="46"/>
      <c r="Z189" s="26"/>
      <c r="AA189" s="51"/>
      <c r="AB189" s="51"/>
      <c r="AC189" s="26"/>
      <c r="AD189" s="52"/>
      <c r="AE189" s="26"/>
      <c r="BE189" s="50"/>
      <c r="BF189" s="50"/>
    </row>
    <row r="190" spans="1:58" s="5" customFormat="1" x14ac:dyDescent="0.2">
      <c r="A190" s="50"/>
      <c r="B190" s="49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46"/>
      <c r="Z190" s="26"/>
      <c r="AA190" s="51"/>
      <c r="AB190" s="51"/>
      <c r="AC190" s="26"/>
      <c r="AD190" s="52"/>
      <c r="AE190" s="26"/>
      <c r="BE190" s="50"/>
      <c r="BF190" s="50"/>
    </row>
    <row r="191" spans="1:58" s="5" customFormat="1" x14ac:dyDescent="0.2">
      <c r="A191" s="50"/>
      <c r="B191" s="49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46"/>
      <c r="Z191" s="26"/>
      <c r="AA191" s="51"/>
      <c r="AB191" s="51"/>
      <c r="AC191" s="26"/>
      <c r="AD191" s="52"/>
      <c r="AE191" s="26"/>
      <c r="BE191" s="50"/>
      <c r="BF191" s="50"/>
    </row>
    <row r="192" spans="1:58" s="5" customFormat="1" x14ac:dyDescent="0.2">
      <c r="A192" s="50"/>
      <c r="B192" s="61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62"/>
      <c r="Z192" s="51"/>
      <c r="AA192" s="51"/>
      <c r="AB192" s="51"/>
      <c r="AC192" s="26"/>
      <c r="AD192" s="52"/>
      <c r="AE192" s="26"/>
      <c r="BE192" s="50"/>
      <c r="BF192" s="50"/>
    </row>
    <row r="193" spans="1:58" s="5" customFormat="1" x14ac:dyDescent="0.2">
      <c r="A193" s="50"/>
      <c r="B193" s="61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62"/>
      <c r="Z193" s="51"/>
      <c r="AA193" s="51"/>
      <c r="AB193" s="51"/>
      <c r="AC193" s="26"/>
      <c r="AD193" s="52"/>
      <c r="AE193" s="26"/>
      <c r="BE193" s="50"/>
      <c r="BF193" s="50"/>
    </row>
    <row r="194" spans="1:58" s="5" customFormat="1" x14ac:dyDescent="0.2">
      <c r="A194" s="50"/>
      <c r="B194" s="49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51"/>
      <c r="P194" s="26"/>
      <c r="Q194" s="26"/>
      <c r="R194" s="26"/>
      <c r="S194" s="26"/>
      <c r="T194" s="26"/>
      <c r="U194" s="26"/>
      <c r="V194" s="26"/>
      <c r="W194" s="26"/>
      <c r="X194" s="26"/>
      <c r="Y194" s="46"/>
      <c r="Z194" s="26"/>
      <c r="AA194" s="51"/>
      <c r="AB194" s="51"/>
      <c r="AC194" s="26"/>
      <c r="AD194" s="52"/>
      <c r="AE194" s="26"/>
      <c r="BE194" s="50"/>
      <c r="BF194" s="50"/>
    </row>
    <row r="195" spans="1:58" s="5" customFormat="1" x14ac:dyDescent="0.2">
      <c r="A195" s="50"/>
      <c r="B195" s="49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51"/>
      <c r="AB195" s="51"/>
      <c r="AC195" s="26"/>
      <c r="AD195" s="52"/>
      <c r="AE195" s="26"/>
      <c r="BE195" s="50"/>
      <c r="BF195" s="50"/>
    </row>
    <row r="196" spans="1:58" s="5" customFormat="1" x14ac:dyDescent="0.2">
      <c r="A196" s="50"/>
      <c r="B196" s="49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51"/>
      <c r="AB196" s="51"/>
      <c r="AC196" s="26"/>
      <c r="AD196" s="52"/>
      <c r="AE196" s="26"/>
      <c r="BE196" s="50"/>
      <c r="BF196" s="50"/>
    </row>
    <row r="197" spans="1:58" s="5" customFormat="1" x14ac:dyDescent="0.2">
      <c r="A197" s="50"/>
      <c r="B197" s="49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46"/>
      <c r="Z197" s="26"/>
      <c r="AA197" s="51"/>
      <c r="AB197" s="51"/>
      <c r="AC197" s="26"/>
      <c r="AD197" s="52"/>
      <c r="AE197" s="26"/>
      <c r="BE197" s="50"/>
      <c r="BF197" s="50"/>
    </row>
    <row r="198" spans="1:58" s="5" customFormat="1" x14ac:dyDescent="0.2">
      <c r="A198" s="50"/>
      <c r="B198" s="49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46"/>
      <c r="Z198" s="26"/>
      <c r="AA198" s="51"/>
      <c r="AB198" s="51"/>
      <c r="AC198" s="26"/>
      <c r="AD198" s="52"/>
      <c r="AE198" s="26"/>
      <c r="BE198" s="50"/>
      <c r="BF198" s="50"/>
    </row>
    <row r="199" spans="1:58" s="5" customFormat="1" x14ac:dyDescent="0.2">
      <c r="A199" s="50"/>
      <c r="B199" s="49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51"/>
      <c r="AB199" s="51"/>
      <c r="AC199" s="26"/>
      <c r="AD199" s="52"/>
      <c r="AE199" s="26"/>
      <c r="BE199" s="50"/>
      <c r="BF199" s="50"/>
    </row>
    <row r="200" spans="1:58" s="5" customFormat="1" x14ac:dyDescent="0.2">
      <c r="A200" s="50"/>
      <c r="B200" s="49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51"/>
      <c r="AB200" s="51"/>
      <c r="AC200" s="26"/>
      <c r="AD200" s="52"/>
      <c r="AE200" s="26"/>
      <c r="BE200" s="50"/>
      <c r="BF200" s="50"/>
    </row>
    <row r="201" spans="1:58" s="5" customFormat="1" x14ac:dyDescent="0.2">
      <c r="A201" s="50"/>
      <c r="B201" s="49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51"/>
      <c r="AB201" s="51"/>
      <c r="AC201" s="26"/>
      <c r="AD201" s="52"/>
      <c r="AE201" s="26"/>
      <c r="BE201" s="50"/>
      <c r="BF201" s="50"/>
    </row>
    <row r="202" spans="1:58" s="5" customFormat="1" x14ac:dyDescent="0.2">
      <c r="A202" s="50"/>
      <c r="B202" s="49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46"/>
      <c r="Z202" s="26"/>
      <c r="AA202" s="51"/>
      <c r="AB202" s="51"/>
      <c r="AC202" s="26"/>
      <c r="AD202" s="52"/>
      <c r="AE202" s="26"/>
      <c r="BE202" s="50"/>
      <c r="BF202" s="50"/>
    </row>
    <row r="203" spans="1:58" s="5" customFormat="1" x14ac:dyDescent="0.2">
      <c r="A203" s="50"/>
      <c r="B203" s="49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46"/>
      <c r="Z203" s="26"/>
      <c r="AA203" s="51"/>
      <c r="AB203" s="51"/>
      <c r="AC203" s="26"/>
      <c r="AD203" s="52"/>
      <c r="AE203" s="26"/>
      <c r="BE203" s="50"/>
      <c r="BF203" s="50"/>
    </row>
    <row r="204" spans="1:58" s="5" customFormat="1" x14ac:dyDescent="0.2">
      <c r="A204" s="50"/>
      <c r="B204" s="49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51"/>
      <c r="AB204" s="51"/>
      <c r="AC204" s="26"/>
      <c r="AD204" s="52"/>
      <c r="AE204" s="26"/>
      <c r="BE204" s="50"/>
      <c r="BF204" s="50"/>
    </row>
    <row r="205" spans="1:58" s="5" customFormat="1" x14ac:dyDescent="0.2">
      <c r="A205" s="50"/>
      <c r="B205" s="49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51"/>
      <c r="AB205" s="51"/>
      <c r="AC205" s="26"/>
      <c r="AD205" s="52"/>
      <c r="AE205" s="26"/>
      <c r="BE205" s="50"/>
      <c r="BF205" s="50"/>
    </row>
    <row r="206" spans="1:58" s="5" customFormat="1" x14ac:dyDescent="0.2">
      <c r="A206" s="50"/>
      <c r="B206" s="49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51"/>
      <c r="AB206" s="51"/>
      <c r="AC206" s="26"/>
      <c r="AD206" s="52"/>
      <c r="AE206" s="26"/>
      <c r="BE206" s="50"/>
      <c r="BF206" s="50"/>
    </row>
    <row r="207" spans="1:58" s="5" customFormat="1" x14ac:dyDescent="0.2">
      <c r="A207" s="50"/>
      <c r="B207" s="49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46"/>
      <c r="Z207" s="26"/>
      <c r="AA207" s="51"/>
      <c r="AB207" s="51"/>
      <c r="AC207" s="26"/>
      <c r="AD207" s="52"/>
      <c r="AE207" s="26"/>
      <c r="BE207" s="50"/>
      <c r="BF207" s="50"/>
    </row>
    <row r="208" spans="1:58" s="5" customFormat="1" x14ac:dyDescent="0.2">
      <c r="A208" s="50"/>
      <c r="B208" s="49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46"/>
      <c r="Z208" s="26"/>
      <c r="AA208" s="51"/>
      <c r="AB208" s="51"/>
      <c r="AC208" s="26"/>
      <c r="AD208" s="52"/>
      <c r="AE208" s="26"/>
      <c r="BE208" s="50"/>
      <c r="BF208" s="50"/>
    </row>
    <row r="209" spans="1:58" s="5" customFormat="1" x14ac:dyDescent="0.2">
      <c r="A209" s="50"/>
      <c r="B209" s="53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46"/>
      <c r="Z209" s="26"/>
      <c r="AA209" s="51"/>
      <c r="AB209" s="51"/>
      <c r="AC209" s="26"/>
      <c r="AD209" s="52"/>
      <c r="AE209" s="26"/>
      <c r="BE209" s="50"/>
      <c r="BF209" s="50"/>
    </row>
    <row r="210" spans="1:58" s="5" customFormat="1" x14ac:dyDescent="0.2">
      <c r="A210" s="50"/>
      <c r="B210" s="53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46"/>
      <c r="Z210" s="26"/>
      <c r="AA210" s="51"/>
      <c r="AB210" s="51"/>
      <c r="AC210" s="26"/>
      <c r="AD210" s="52"/>
      <c r="AE210" s="26"/>
      <c r="BE210" s="50"/>
      <c r="BF210" s="50"/>
    </row>
    <row r="211" spans="1:58" s="5" customFormat="1" x14ac:dyDescent="0.2">
      <c r="A211" s="50"/>
      <c r="B211" s="53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46"/>
      <c r="Z211" s="26"/>
      <c r="AA211" s="51"/>
      <c r="AB211" s="51"/>
      <c r="AC211" s="26"/>
      <c r="AD211" s="52"/>
      <c r="AE211" s="26"/>
      <c r="BE211" s="50"/>
      <c r="BF211" s="50"/>
    </row>
    <row r="212" spans="1:58" s="5" customFormat="1" x14ac:dyDescent="0.2">
      <c r="A212" s="50"/>
      <c r="B212" s="49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51"/>
      <c r="S212" s="51"/>
      <c r="T212" s="51"/>
      <c r="U212" s="51"/>
      <c r="V212" s="26"/>
      <c r="W212" s="26"/>
      <c r="X212" s="26"/>
      <c r="Y212" s="51"/>
      <c r="Z212" s="51"/>
      <c r="AA212" s="51"/>
      <c r="AB212" s="51"/>
      <c r="AC212" s="51"/>
      <c r="AD212" s="52"/>
      <c r="AE212" s="26"/>
      <c r="BE212" s="50"/>
      <c r="BF212" s="50"/>
    </row>
    <row r="213" spans="1:58" s="5" customFormat="1" x14ac:dyDescent="0.2">
      <c r="A213" s="50"/>
      <c r="B213" s="49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51"/>
      <c r="AB213" s="51"/>
      <c r="AC213" s="26"/>
      <c r="AD213" s="52"/>
      <c r="AE213" s="26"/>
      <c r="BE213" s="50"/>
      <c r="BF213" s="50"/>
    </row>
    <row r="214" spans="1:58" s="5" customFormat="1" x14ac:dyDescent="0.2">
      <c r="A214" s="50"/>
      <c r="B214" s="49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51"/>
      <c r="AB214" s="51"/>
      <c r="AC214" s="26"/>
      <c r="AD214" s="52"/>
      <c r="AE214" s="26"/>
      <c r="BE214" s="50"/>
      <c r="BF214" s="50"/>
    </row>
    <row r="215" spans="1:58" s="5" customFormat="1" x14ac:dyDescent="0.2">
      <c r="A215" s="50"/>
      <c r="B215" s="49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51"/>
      <c r="AB215" s="51"/>
      <c r="AC215" s="26"/>
      <c r="AD215" s="52"/>
      <c r="AE215" s="26"/>
      <c r="BE215" s="50"/>
      <c r="BF215" s="50"/>
    </row>
    <row r="216" spans="1:58" s="5" customFormat="1" x14ac:dyDescent="0.2">
      <c r="A216" s="50"/>
      <c r="B216" s="49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51"/>
      <c r="AB216" s="51"/>
      <c r="AC216" s="26"/>
      <c r="AD216" s="52"/>
      <c r="AE216" s="26"/>
      <c r="BE216" s="50"/>
      <c r="BF216" s="50"/>
    </row>
    <row r="217" spans="1:58" s="5" customFormat="1" x14ac:dyDescent="0.2">
      <c r="A217" s="50"/>
      <c r="B217" s="49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51"/>
      <c r="AB217" s="51"/>
      <c r="AC217" s="26"/>
      <c r="AD217" s="52"/>
      <c r="AE217" s="26"/>
      <c r="BE217" s="50"/>
      <c r="BF217" s="50"/>
    </row>
    <row r="218" spans="1:58" s="5" customFormat="1" x14ac:dyDescent="0.2">
      <c r="A218" s="50"/>
      <c r="B218" s="49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51"/>
      <c r="AB218" s="51"/>
      <c r="AC218" s="26"/>
      <c r="AD218" s="52"/>
      <c r="AE218" s="26"/>
      <c r="BE218" s="50"/>
      <c r="BF218" s="50"/>
    </row>
    <row r="219" spans="1:58" s="5" customFormat="1" x14ac:dyDescent="0.2">
      <c r="A219" s="50"/>
      <c r="B219" s="49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46"/>
      <c r="Z219" s="26"/>
      <c r="AA219" s="51"/>
      <c r="AB219" s="51"/>
      <c r="AC219" s="26"/>
      <c r="AD219" s="52"/>
      <c r="AE219" s="26"/>
      <c r="BE219" s="50"/>
      <c r="BF219" s="50"/>
    </row>
    <row r="220" spans="1:58" s="5" customFormat="1" x14ac:dyDescent="0.2">
      <c r="A220" s="50"/>
      <c r="B220" s="49"/>
      <c r="C220" s="26"/>
      <c r="D220" s="26"/>
      <c r="E220" s="26"/>
      <c r="F220" s="50"/>
      <c r="G220" s="50"/>
      <c r="H220" s="50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46"/>
      <c r="Z220" s="26"/>
      <c r="AA220" s="51"/>
      <c r="AB220" s="51"/>
      <c r="AC220" s="26"/>
      <c r="AD220" s="52"/>
      <c r="AE220" s="26"/>
      <c r="BE220" s="50"/>
      <c r="BF220" s="50"/>
    </row>
    <row r="221" spans="1:58" s="5" customFormat="1" x14ac:dyDescent="0.2">
      <c r="A221" s="50"/>
      <c r="B221" s="49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51"/>
      <c r="AB221" s="51"/>
      <c r="AC221" s="26"/>
      <c r="AD221" s="52"/>
      <c r="AE221" s="26"/>
      <c r="BE221" s="50"/>
      <c r="BF221" s="50"/>
    </row>
    <row r="222" spans="1:58" s="5" customFormat="1" x14ac:dyDescent="0.2">
      <c r="A222" s="50"/>
      <c r="B222" s="53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46"/>
      <c r="Z222" s="26"/>
      <c r="AA222" s="51"/>
      <c r="AB222" s="51"/>
      <c r="AC222" s="26"/>
      <c r="AD222" s="52"/>
      <c r="AE222" s="26"/>
      <c r="BE222" s="50"/>
      <c r="BF222" s="50"/>
    </row>
    <row r="223" spans="1:58" s="5" customFormat="1" x14ac:dyDescent="0.2">
      <c r="A223" s="50"/>
      <c r="B223" s="49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46"/>
      <c r="Z223" s="26"/>
      <c r="AA223" s="51"/>
      <c r="AB223" s="51"/>
      <c r="AC223" s="26"/>
      <c r="AD223" s="52"/>
      <c r="AE223" s="26"/>
      <c r="BE223" s="50"/>
      <c r="BF223" s="50"/>
    </row>
    <row r="224" spans="1:58" s="5" customFormat="1" x14ac:dyDescent="0.2">
      <c r="A224" s="50"/>
      <c r="B224" s="53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46"/>
      <c r="Z224" s="26"/>
      <c r="AA224" s="51"/>
      <c r="AB224" s="51"/>
      <c r="AC224" s="26"/>
      <c r="AD224" s="52"/>
      <c r="AE224" s="26"/>
      <c r="BE224" s="50"/>
      <c r="BF224" s="50"/>
    </row>
    <row r="225" spans="1:58" s="5" customFormat="1" x14ac:dyDescent="0.2">
      <c r="A225" s="50"/>
      <c r="B225" s="53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46"/>
      <c r="Z225" s="26"/>
      <c r="AA225" s="51"/>
      <c r="AB225" s="51"/>
      <c r="AC225" s="26"/>
      <c r="AD225" s="52"/>
      <c r="AE225" s="26"/>
      <c r="BE225" s="50"/>
      <c r="BF225" s="50"/>
    </row>
    <row r="226" spans="1:58" s="5" customFormat="1" x14ac:dyDescent="0.2">
      <c r="A226" s="50"/>
      <c r="B226" s="49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46"/>
      <c r="Z226" s="26"/>
      <c r="AA226" s="51"/>
      <c r="AB226" s="51"/>
      <c r="AC226" s="26"/>
      <c r="AD226" s="52"/>
      <c r="AE226" s="26"/>
      <c r="BE226" s="50"/>
      <c r="BF226" s="50"/>
    </row>
    <row r="227" spans="1:58" s="5" customFormat="1" x14ac:dyDescent="0.2">
      <c r="A227" s="50"/>
      <c r="B227" s="53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46"/>
      <c r="Z227" s="26"/>
      <c r="AA227" s="51"/>
      <c r="AB227" s="51"/>
      <c r="AC227" s="26"/>
      <c r="AD227" s="52"/>
      <c r="AE227" s="26"/>
      <c r="BE227" s="50"/>
      <c r="BF227" s="50"/>
    </row>
    <row r="228" spans="1:58" s="5" customFormat="1" x14ac:dyDescent="0.2">
      <c r="A228" s="50"/>
      <c r="B228" s="49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46"/>
      <c r="Z228" s="26"/>
      <c r="AA228" s="51"/>
      <c r="AB228" s="51"/>
      <c r="AC228" s="26"/>
      <c r="AD228" s="52"/>
      <c r="AE228" s="26"/>
      <c r="BE228" s="50"/>
      <c r="BF228" s="50"/>
    </row>
    <row r="229" spans="1:58" s="5" customFormat="1" x14ac:dyDescent="0.2">
      <c r="A229" s="50"/>
      <c r="B229" s="49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46"/>
      <c r="Z229" s="26"/>
      <c r="AA229" s="51"/>
      <c r="AB229" s="51"/>
      <c r="AC229" s="26"/>
      <c r="AD229" s="52"/>
      <c r="AE229" s="26"/>
      <c r="BE229" s="50"/>
      <c r="BF229" s="50"/>
    </row>
    <row r="230" spans="1:58" s="5" customFormat="1" x14ac:dyDescent="0.2">
      <c r="A230" s="50"/>
      <c r="B230" s="49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46"/>
      <c r="Z230" s="26"/>
      <c r="AA230" s="51"/>
      <c r="AB230" s="51"/>
      <c r="AC230" s="26"/>
      <c r="AD230" s="52"/>
      <c r="AE230" s="26"/>
      <c r="BE230" s="50"/>
      <c r="BF230" s="50"/>
    </row>
    <row r="231" spans="1:58" s="5" customFormat="1" x14ac:dyDescent="0.2">
      <c r="A231" s="50"/>
      <c r="B231" s="49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51"/>
      <c r="AB231" s="51"/>
      <c r="AC231" s="26"/>
      <c r="AD231" s="52"/>
      <c r="AE231" s="26"/>
      <c r="BE231" s="50"/>
      <c r="BF231" s="50"/>
    </row>
    <row r="232" spans="1:58" s="5" customFormat="1" x14ac:dyDescent="0.2">
      <c r="A232" s="50"/>
      <c r="B232" s="49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51"/>
      <c r="AB232" s="51"/>
      <c r="AC232" s="26"/>
      <c r="AD232" s="52"/>
      <c r="AE232" s="26"/>
      <c r="BE232" s="50"/>
      <c r="BF232" s="50"/>
    </row>
    <row r="233" spans="1:58" s="5" customFormat="1" x14ac:dyDescent="0.2">
      <c r="A233" s="50"/>
      <c r="B233" s="49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46"/>
      <c r="Z233" s="26"/>
      <c r="AA233" s="51"/>
      <c r="AB233" s="51"/>
      <c r="AC233" s="26"/>
      <c r="AD233" s="52"/>
      <c r="AE233" s="26"/>
      <c r="BE233" s="50"/>
      <c r="BF233" s="50"/>
    </row>
    <row r="234" spans="1:58" s="5" customFormat="1" x14ac:dyDescent="0.2">
      <c r="A234" s="50"/>
      <c r="B234" s="49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51"/>
      <c r="AB234" s="51"/>
      <c r="AC234" s="26"/>
      <c r="AD234" s="52"/>
      <c r="AE234" s="26"/>
      <c r="BE234" s="50"/>
      <c r="BF234" s="50"/>
    </row>
    <row r="235" spans="1:58" s="5" customFormat="1" x14ac:dyDescent="0.2">
      <c r="A235" s="50"/>
      <c r="B235" s="49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51"/>
      <c r="AB235" s="51"/>
      <c r="AC235" s="26"/>
      <c r="AD235" s="52"/>
      <c r="AE235" s="26"/>
      <c r="BE235" s="50"/>
      <c r="BF235" s="50"/>
    </row>
    <row r="236" spans="1:58" s="5" customFormat="1" x14ac:dyDescent="0.2">
      <c r="A236" s="50"/>
      <c r="B236" s="49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51"/>
      <c r="AB236" s="51"/>
      <c r="AC236" s="26"/>
      <c r="AD236" s="52"/>
      <c r="AE236" s="26"/>
      <c r="BE236" s="50"/>
      <c r="BF236" s="50"/>
    </row>
    <row r="237" spans="1:58" s="5" customFormat="1" x14ac:dyDescent="0.2">
      <c r="A237" s="50"/>
      <c r="B237" s="49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51"/>
      <c r="AB237" s="51"/>
      <c r="AC237" s="26"/>
      <c r="AD237" s="52"/>
      <c r="AE237" s="26"/>
      <c r="BE237" s="50"/>
      <c r="BF237" s="50"/>
    </row>
    <row r="238" spans="1:58" s="5" customFormat="1" x14ac:dyDescent="0.2">
      <c r="A238" s="50"/>
      <c r="B238" s="49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60"/>
      <c r="Z238" s="26"/>
      <c r="AA238" s="51"/>
      <c r="AB238" s="51"/>
      <c r="AC238" s="26"/>
      <c r="AD238" s="52"/>
      <c r="AE238" s="26"/>
      <c r="BE238" s="50"/>
      <c r="BF238" s="50"/>
    </row>
    <row r="239" spans="1:58" s="5" customFormat="1" x14ac:dyDescent="0.2">
      <c r="A239" s="50"/>
      <c r="B239" s="49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60"/>
      <c r="Z239" s="26"/>
      <c r="AA239" s="51"/>
      <c r="AB239" s="51"/>
      <c r="AC239" s="26"/>
      <c r="AD239" s="52"/>
      <c r="AE239" s="26"/>
      <c r="BE239" s="50"/>
      <c r="BF239" s="50"/>
    </row>
    <row r="240" spans="1:58" s="5" customFormat="1" x14ac:dyDescent="0.2">
      <c r="A240" s="50"/>
      <c r="B240" s="63"/>
      <c r="C240" s="64"/>
      <c r="D240" s="64"/>
      <c r="E240" s="64"/>
      <c r="F240" s="64"/>
      <c r="G240" s="26"/>
      <c r="H240" s="26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52"/>
      <c r="AE240" s="26"/>
      <c r="BE240" s="50"/>
      <c r="BF240" s="50"/>
    </row>
    <row r="241" spans="1:58" s="5" customFormat="1" x14ac:dyDescent="0.2">
      <c r="A241" s="50"/>
      <c r="B241" s="63"/>
      <c r="C241" s="64"/>
      <c r="D241" s="64"/>
      <c r="E241" s="64"/>
      <c r="F241" s="64"/>
      <c r="G241" s="26"/>
      <c r="H241" s="26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52"/>
      <c r="AE241" s="26"/>
      <c r="BE241" s="50"/>
      <c r="BF241" s="50"/>
    </row>
    <row r="242" spans="1:58" s="5" customFormat="1" x14ac:dyDescent="0.2">
      <c r="A242" s="50"/>
      <c r="B242" s="63"/>
      <c r="C242" s="64"/>
      <c r="D242" s="64"/>
      <c r="E242" s="64"/>
      <c r="F242" s="64"/>
      <c r="G242" s="26"/>
      <c r="H242" s="26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52"/>
      <c r="AE242" s="26"/>
      <c r="BE242" s="50"/>
      <c r="BF242" s="50"/>
    </row>
    <row r="243" spans="1:58" s="5" customFormat="1" x14ac:dyDescent="0.2">
      <c r="A243" s="50"/>
      <c r="B243" s="63"/>
      <c r="C243" s="64"/>
      <c r="D243" s="64"/>
      <c r="E243" s="64"/>
      <c r="F243" s="64"/>
      <c r="G243" s="26"/>
      <c r="H243" s="26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52"/>
      <c r="AE243" s="26"/>
      <c r="BE243" s="50"/>
      <c r="BF243" s="50"/>
    </row>
    <row r="244" spans="1:58" s="5" customFormat="1" x14ac:dyDescent="0.2">
      <c r="A244" s="50"/>
      <c r="B244" s="63"/>
      <c r="C244" s="64"/>
      <c r="D244" s="64"/>
      <c r="E244" s="64"/>
      <c r="F244" s="64"/>
      <c r="G244" s="26"/>
      <c r="H244" s="26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BE244" s="50"/>
      <c r="BF244" s="50"/>
    </row>
    <row r="245" spans="1:58" s="5" customFormat="1" x14ac:dyDescent="0.2">
      <c r="A245" s="50"/>
      <c r="B245" s="63"/>
      <c r="C245" s="64"/>
      <c r="D245" s="64"/>
      <c r="E245" s="64"/>
      <c r="F245" s="64"/>
      <c r="G245" s="26"/>
      <c r="H245" s="26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BE245" s="50"/>
      <c r="BF245" s="50"/>
    </row>
    <row r="246" spans="1:58" s="5" customFormat="1" x14ac:dyDescent="0.2">
      <c r="A246" s="50"/>
      <c r="B246" s="63"/>
      <c r="C246" s="64"/>
      <c r="D246" s="64"/>
      <c r="E246" s="64"/>
      <c r="F246" s="64"/>
      <c r="G246" s="26"/>
      <c r="H246" s="26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BE246" s="50"/>
      <c r="BF246" s="50"/>
    </row>
    <row r="247" spans="1:58" s="5" customFormat="1" x14ac:dyDescent="0.2">
      <c r="A247" s="50"/>
      <c r="B247" s="63"/>
      <c r="C247" s="64"/>
      <c r="D247" s="64"/>
      <c r="E247" s="64"/>
      <c r="F247" s="64"/>
      <c r="G247" s="26"/>
      <c r="H247" s="26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BE247" s="50"/>
      <c r="BF247" s="50"/>
    </row>
    <row r="248" spans="1:58" s="5" customFormat="1" x14ac:dyDescent="0.2">
      <c r="A248" s="50"/>
      <c r="B248" s="63"/>
      <c r="C248" s="64"/>
      <c r="D248" s="64"/>
      <c r="E248" s="64"/>
      <c r="F248" s="64"/>
      <c r="G248" s="26"/>
      <c r="H248" s="26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BE248" s="50"/>
      <c r="BF248" s="50"/>
    </row>
    <row r="249" spans="1:58" s="5" customFormat="1" x14ac:dyDescent="0.2">
      <c r="A249" s="50"/>
      <c r="B249" s="63"/>
      <c r="C249" s="64"/>
      <c r="D249" s="64"/>
      <c r="E249" s="64"/>
      <c r="F249" s="64"/>
      <c r="G249" s="26"/>
      <c r="H249" s="26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BE249" s="50"/>
      <c r="BF249" s="50"/>
    </row>
    <row r="250" spans="1:58" s="5" customFormat="1" x14ac:dyDescent="0.2">
      <c r="A250" s="50"/>
      <c r="B250" s="63"/>
      <c r="C250" s="64"/>
      <c r="D250" s="64"/>
      <c r="E250" s="64"/>
      <c r="F250" s="64"/>
      <c r="G250" s="26"/>
      <c r="H250" s="26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BE250" s="50"/>
      <c r="BF250" s="50"/>
    </row>
    <row r="251" spans="1:58" s="5" customFormat="1" x14ac:dyDescent="0.2">
      <c r="A251" s="50"/>
      <c r="B251" s="63"/>
      <c r="C251" s="64"/>
      <c r="D251" s="64"/>
      <c r="E251" s="64"/>
      <c r="F251" s="64"/>
      <c r="G251" s="26"/>
      <c r="H251" s="26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BE251" s="50"/>
      <c r="BF251" s="50"/>
    </row>
    <row r="252" spans="1:58" x14ac:dyDescent="0.2">
      <c r="C252" s="14"/>
      <c r="D252" s="14"/>
      <c r="E252" s="14"/>
      <c r="F252" s="14"/>
      <c r="G252" s="40"/>
      <c r="H252" s="40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 spans="1:58" x14ac:dyDescent="0.2">
      <c r="C253" s="14"/>
      <c r="D253" s="14"/>
      <c r="E253" s="14"/>
      <c r="F253" s="14"/>
      <c r="G253" s="40"/>
      <c r="H253" s="40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 spans="1:58" x14ac:dyDescent="0.2">
      <c r="C254" s="14"/>
      <c r="D254" s="14"/>
      <c r="E254" s="14"/>
      <c r="F254" s="14"/>
      <c r="G254" s="40"/>
      <c r="H254" s="40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 spans="1:58" x14ac:dyDescent="0.2">
      <c r="C255" s="14"/>
      <c r="D255" s="14"/>
      <c r="E255" s="14"/>
      <c r="F255" s="14"/>
      <c r="G255" s="40"/>
      <c r="H255" s="40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 spans="1:58" x14ac:dyDescent="0.2">
      <c r="C256" s="14"/>
      <c r="D256" s="14"/>
      <c r="E256" s="14"/>
      <c r="F256" s="14"/>
      <c r="G256" s="40"/>
      <c r="H256" s="40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</sheetData>
  <sheetProtection selectLockedCells="1" selectUnlockedCells="1"/>
  <phoneticPr fontId="1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R016-01</vt:lpstr>
      <vt:lpstr>Auxiliar</vt:lpstr>
    </vt:vector>
  </TitlesOfParts>
  <Company>Usuario Final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Bettio</dc:creator>
  <cp:lastModifiedBy>Lorenzo Contigiani</cp:lastModifiedBy>
  <cp:lastPrinted>2021-01-29T18:46:36Z</cp:lastPrinted>
  <dcterms:created xsi:type="dcterms:W3CDTF">2008-05-02T14:04:52Z</dcterms:created>
  <dcterms:modified xsi:type="dcterms:W3CDTF">2026-01-12T20:03:44Z</dcterms:modified>
</cp:coreProperties>
</file>