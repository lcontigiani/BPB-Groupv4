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0.55\utn\REGISTROS\R016-01\"/>
    </mc:Choice>
  </mc:AlternateContent>
  <bookViews>
    <workbookView xWindow="0" yWindow="0" windowWidth="28800" windowHeight="12330" activeTab="2"/>
  </bookViews>
  <sheets>
    <sheet name="R016-04" sheetId="1" r:id="rId1"/>
    <sheet name="SIMBOLOGIA" sheetId="2" r:id="rId2"/>
    <sheet name="Auxiliar" sheetId="3" r:id="rId3"/>
  </sheets>
  <definedNames>
    <definedName name="_xlnm._FilterDatabase" localSheetId="2" hidden="1">Auxiliar!$A$2:$T$2</definedName>
    <definedName name="_xlnm.Print_Area" localSheetId="0">'R016-04'!$A$1:$P$39,'R016-04'!$Q$1:$AF$40</definedName>
  </definedNames>
  <calcPr calcId="162913"/>
</workbook>
</file>

<file path=xl/calcChain.xml><?xml version="1.0" encoding="utf-8"?>
<calcChain xmlns="http://schemas.openxmlformats.org/spreadsheetml/2006/main">
  <c r="AD8" i="1" l="1"/>
  <c r="X8" i="1"/>
  <c r="N8" i="1"/>
  <c r="H8" i="1"/>
  <c r="S23" i="1" l="1"/>
  <c r="S22" i="1"/>
  <c r="S21" i="1"/>
  <c r="S20" i="1"/>
  <c r="S19" i="1"/>
  <c r="S18" i="1"/>
  <c r="S17" i="1"/>
  <c r="S16" i="1"/>
  <c r="S15" i="1"/>
  <c r="S14" i="1"/>
  <c r="R22" i="1"/>
  <c r="R20" i="1"/>
  <c r="R18" i="1"/>
  <c r="R16" i="1"/>
  <c r="R14" i="1"/>
  <c r="C16" i="1" l="1"/>
  <c r="C23" i="1"/>
  <c r="C22" i="1"/>
  <c r="C21" i="1"/>
  <c r="C20" i="1"/>
  <c r="C19" i="1"/>
  <c r="C18" i="1"/>
  <c r="C17" i="1"/>
  <c r="B22" i="1"/>
  <c r="B20" i="1"/>
  <c r="B18" i="1"/>
  <c r="B16" i="1"/>
  <c r="B14" i="1"/>
  <c r="C15" i="1" l="1"/>
  <c r="C14" i="1"/>
  <c r="H56" i="3" l="1"/>
</calcChain>
</file>

<file path=xl/sharedStrings.xml><?xml version="1.0" encoding="utf-8"?>
<sst xmlns="http://schemas.openxmlformats.org/spreadsheetml/2006/main" count="722" uniqueCount="148">
  <si>
    <t>ITEM</t>
  </si>
  <si>
    <t>Nº 1</t>
  </si>
  <si>
    <t>Nº 2</t>
  </si>
  <si>
    <t>Nº 3</t>
  </si>
  <si>
    <t>Nº 4</t>
  </si>
  <si>
    <t>Nº 5</t>
  </si>
  <si>
    <t>Nº 6</t>
  </si>
  <si>
    <t>Nº 7</t>
  </si>
  <si>
    <t>Nº 8</t>
  </si>
  <si>
    <t>Nº 10</t>
  </si>
  <si>
    <t xml:space="preserve">                                        </t>
  </si>
  <si>
    <t>Nº 9</t>
  </si>
  <si>
    <r>
      <t>MEDICIONES /</t>
    </r>
    <r>
      <rPr>
        <sz val="7"/>
        <rFont val="Arial"/>
        <family val="2"/>
      </rPr>
      <t>ACTUAL READINGS</t>
    </r>
    <r>
      <rPr>
        <sz val="8"/>
        <rFont val="Arial"/>
        <family val="2"/>
      </rPr>
      <t xml:space="preserve"> (µm)</t>
    </r>
  </si>
  <si>
    <t>PERMANENTE</t>
  </si>
  <si>
    <r>
      <t xml:space="preserve">D.NOMINAL / </t>
    </r>
    <r>
      <rPr>
        <sz val="5"/>
        <rFont val="Arial"/>
        <family val="2"/>
      </rPr>
      <t>NOMINAL DIM.</t>
    </r>
    <r>
      <rPr>
        <sz val="7"/>
        <rFont val="Arial"/>
        <family val="2"/>
      </rPr>
      <t xml:space="preserve">   (mm)</t>
    </r>
  </si>
  <si>
    <t xml:space="preserve"> C:</t>
  </si>
  <si>
    <t>D:</t>
  </si>
  <si>
    <t>d:</t>
  </si>
  <si>
    <t>Diámetro exterior del rodamiento / Bearing outside diameter</t>
  </si>
  <si>
    <t>Diámetro del agujero del aro interior del rodamiento / Bearing bore diameter</t>
  </si>
  <si>
    <r>
      <t xml:space="preserve">UBIC. EN DEPOSITO / </t>
    </r>
    <r>
      <rPr>
        <sz val="6"/>
        <rFont val="Arial"/>
        <family val="2"/>
      </rPr>
      <t>LOCATION IN DEPOSITS</t>
    </r>
    <r>
      <rPr>
        <sz val="8"/>
        <rFont val="Arial"/>
        <family val="2"/>
      </rPr>
      <t>:</t>
    </r>
  </si>
  <si>
    <r>
      <t xml:space="preserve">PROVEEDOR / </t>
    </r>
    <r>
      <rPr>
        <sz val="6"/>
        <rFont val="Arial"/>
        <family val="2"/>
      </rPr>
      <t>SUPPLIER</t>
    </r>
    <r>
      <rPr>
        <sz val="8"/>
        <rFont val="Arial"/>
        <family val="2"/>
      </rPr>
      <t>:</t>
    </r>
  </si>
  <si>
    <r>
      <t xml:space="preserve">CRITERIO DE MUESTRA / </t>
    </r>
    <r>
      <rPr>
        <sz val="6"/>
        <rFont val="Arial"/>
        <family val="2"/>
      </rPr>
      <t>SAMPLE DISCRETION</t>
    </r>
    <r>
      <rPr>
        <sz val="8"/>
        <rFont val="Arial"/>
        <family val="2"/>
      </rPr>
      <t>:</t>
    </r>
  </si>
  <si>
    <r>
      <t xml:space="preserve">        SIGNIFICADO DE LA SIMBOLOGIA            </t>
    </r>
    <r>
      <rPr>
        <sz val="12"/>
        <rFont val="Arial"/>
        <family val="2"/>
      </rPr>
      <t>Symbol Meaning</t>
    </r>
  </si>
  <si>
    <t>Codigo</t>
  </si>
  <si>
    <t>Elegido</t>
  </si>
  <si>
    <t>d</t>
  </si>
  <si>
    <t>d+</t>
  </si>
  <si>
    <t>d-</t>
  </si>
  <si>
    <r>
      <t>LUGAR DE INSPEC.</t>
    </r>
    <r>
      <rPr>
        <sz val="8"/>
        <rFont val="Arial"/>
        <family val="2"/>
      </rPr>
      <t xml:space="preserve"> /    </t>
    </r>
    <r>
      <rPr>
        <sz val="5"/>
        <rFont val="Arial"/>
        <family val="2"/>
      </rPr>
      <t>NAME OF INSPECTION FACILITY</t>
    </r>
    <r>
      <rPr>
        <sz val="8"/>
        <rFont val="Arial"/>
        <family val="2"/>
      </rPr>
      <t xml:space="preserve">: </t>
    </r>
  </si>
  <si>
    <t>Rev.</t>
  </si>
  <si>
    <t>REV.</t>
  </si>
  <si>
    <t>D</t>
  </si>
  <si>
    <t>C</t>
  </si>
  <si>
    <t>D+</t>
  </si>
  <si>
    <t>D-</t>
  </si>
  <si>
    <r>
      <t>TOLERANCIA /</t>
    </r>
    <r>
      <rPr>
        <sz val="5"/>
        <rFont val="Arial"/>
        <family val="2"/>
      </rPr>
      <t>TOLERANCE</t>
    </r>
    <r>
      <rPr>
        <sz val="7"/>
        <rFont val="Arial"/>
        <family val="2"/>
      </rPr>
      <t xml:space="preserve"> (µm)</t>
    </r>
  </si>
  <si>
    <t>LABORATORIO BPB</t>
  </si>
  <si>
    <t>Dimensión axial del chaflán en el aro exterior / Outer ring axial chamfer dimension</t>
  </si>
  <si>
    <t>Dimensión radial del chaflán en el aro exterior / Outer ring radial chamfer dimension</t>
  </si>
  <si>
    <r>
      <t>Re</t>
    </r>
    <r>
      <rPr>
        <vertAlign val="subscript"/>
        <sz val="12"/>
        <rFont val="Arial"/>
        <family val="2"/>
      </rPr>
      <t>A</t>
    </r>
    <r>
      <rPr>
        <sz val="12"/>
        <rFont val="Arial"/>
        <family val="2"/>
      </rPr>
      <t>:</t>
    </r>
  </si>
  <si>
    <r>
      <t>Re</t>
    </r>
    <r>
      <rPr>
        <vertAlign val="subscript"/>
        <sz val="12"/>
        <rFont val="Arial"/>
        <family val="2"/>
      </rPr>
      <t>R</t>
    </r>
    <r>
      <rPr>
        <sz val="12"/>
        <rFont val="Arial"/>
        <family val="2"/>
      </rPr>
      <t>:</t>
    </r>
  </si>
  <si>
    <r>
      <t xml:space="preserve">PRODUCTO / </t>
    </r>
    <r>
      <rPr>
        <sz val="6"/>
        <rFont val="Arial"/>
        <family val="2"/>
      </rPr>
      <t>PRODUCT</t>
    </r>
    <r>
      <rPr>
        <sz val="8"/>
        <rFont val="Arial"/>
        <family val="2"/>
      </rPr>
      <t>:</t>
    </r>
  </si>
  <si>
    <r>
      <t>GRABADO</t>
    </r>
    <r>
      <rPr>
        <sz val="6"/>
        <rFont val="Arial"/>
        <family val="2"/>
      </rPr>
      <t xml:space="preserve"> / </t>
    </r>
    <r>
      <rPr>
        <sz val="5"/>
        <rFont val="Arial"/>
        <family val="2"/>
      </rPr>
      <t>MARKING</t>
    </r>
  </si>
  <si>
    <t>ASPECTO</t>
  </si>
  <si>
    <t>PAG. 01 - 01</t>
  </si>
  <si>
    <t>OBSERVACION:</t>
  </si>
  <si>
    <t>* IDENTIFICAR EL TIPO DE DEFECTO CON LETRA INICIAL RESALTADA</t>
  </si>
  <si>
    <r>
      <t>*</t>
    </r>
    <r>
      <rPr>
        <b/>
        <sz val="7"/>
        <rFont val="Arial"/>
        <family val="2"/>
      </rPr>
      <t>R</t>
    </r>
    <r>
      <rPr>
        <sz val="7"/>
        <rFont val="Arial"/>
        <family val="2"/>
      </rPr>
      <t xml:space="preserve">ayas, </t>
    </r>
    <r>
      <rPr>
        <b/>
        <sz val="7"/>
        <rFont val="Arial"/>
        <family val="2"/>
      </rPr>
      <t>G</t>
    </r>
    <r>
      <rPr>
        <sz val="7"/>
        <rFont val="Arial"/>
        <family val="2"/>
      </rPr>
      <t xml:space="preserve">olpes, </t>
    </r>
    <r>
      <rPr>
        <b/>
        <sz val="7"/>
        <rFont val="Arial"/>
        <family val="2"/>
      </rPr>
      <t>O</t>
    </r>
    <r>
      <rPr>
        <sz val="7"/>
        <rFont val="Arial"/>
        <family val="2"/>
      </rPr>
      <t xml:space="preserve">xido, </t>
    </r>
    <r>
      <rPr>
        <b/>
        <sz val="7"/>
        <rFont val="Arial"/>
        <family val="2"/>
      </rPr>
      <t>D</t>
    </r>
    <r>
      <rPr>
        <sz val="7"/>
        <rFont val="Arial"/>
        <family val="2"/>
      </rPr>
      <t>esprendimiento de material</t>
    </r>
  </si>
  <si>
    <t>R016 - 01</t>
  </si>
  <si>
    <t>REGISTRO DE INSPECCION DE PRODUCTO ROD. RODILLO AGUJA</t>
  </si>
  <si>
    <t>NEEDLE ROLLER BEARING INSPECTION RECORD</t>
  </si>
  <si>
    <t>Ancho exterior del rodamiento / width outside the bearing</t>
  </si>
  <si>
    <t>C+</t>
  </si>
  <si>
    <t>C-</t>
  </si>
  <si>
    <t>HK-3016</t>
  </si>
  <si>
    <t>RNA-6905</t>
  </si>
  <si>
    <t>RNA-6904</t>
  </si>
  <si>
    <t>TA-3820</t>
  </si>
  <si>
    <t>NKI-2520</t>
  </si>
  <si>
    <t>NAV-4009</t>
  </si>
  <si>
    <t>YB-3216</t>
  </si>
  <si>
    <t>NAV-4011</t>
  </si>
  <si>
    <t>NKI-2020</t>
  </si>
  <si>
    <t>NA4906-2RS</t>
  </si>
  <si>
    <t>Total Lote</t>
  </si>
  <si>
    <t>Aprobado</t>
  </si>
  <si>
    <t>Scrap</t>
  </si>
  <si>
    <t>2º Calidad</t>
  </si>
  <si>
    <t>Retrabajar</t>
  </si>
  <si>
    <t>NK-3820</t>
  </si>
  <si>
    <t>BHA-1612-ZO</t>
  </si>
  <si>
    <t xml:space="preserve">    FIRMA DEL INSPECTOR DE CALIDAD Y FECHA   /   NAME AND SIGNATURE OF THE INSPECTOR QUALITY</t>
  </si>
  <si>
    <t xml:space="preserve"> </t>
  </si>
  <si>
    <t>RNA 69/28</t>
  </si>
  <si>
    <t>NK2920</t>
  </si>
  <si>
    <t xml:space="preserve">      DOC. DE REF.
        (PO#/PI#):</t>
  </si>
  <si>
    <r>
      <t xml:space="preserve">   PARTIDA/
     </t>
    </r>
    <r>
      <rPr>
        <sz val="6"/>
        <rFont val="Arial"/>
        <family val="2"/>
      </rPr>
      <t>BATCH:</t>
    </r>
  </si>
  <si>
    <t>NO</t>
  </si>
  <si>
    <t>RESULTADO/
RESULT</t>
  </si>
  <si>
    <t>BA3616-ZOH</t>
  </si>
  <si>
    <t>…………………..</t>
  </si>
  <si>
    <t>Prod.Armado 
           Partes</t>
  </si>
  <si>
    <t>REV.
PRINT</t>
  </si>
  <si>
    <t>Fecha Rev. Plano</t>
  </si>
  <si>
    <t>…..</t>
  </si>
  <si>
    <t>A</t>
  </si>
  <si>
    <t>NK-3220</t>
  </si>
  <si>
    <t>NK-3230</t>
  </si>
  <si>
    <t>Fw</t>
  </si>
  <si>
    <t>B</t>
  </si>
  <si>
    <t>B+</t>
  </si>
  <si>
    <t>B-</t>
  </si>
  <si>
    <t xml:space="preserve">Fw </t>
  </si>
  <si>
    <t>Fw+</t>
  </si>
  <si>
    <t>Fw-</t>
  </si>
  <si>
    <t>NA4907</t>
  </si>
  <si>
    <t>Cantidad de rodillos</t>
  </si>
  <si>
    <t>S1720</t>
  </si>
  <si>
    <t>NA4905</t>
  </si>
  <si>
    <t>HK-3020</t>
  </si>
  <si>
    <t>HK-5520</t>
  </si>
  <si>
    <t>BPB-035-YB-3216 - CWN</t>
  </si>
  <si>
    <t>B&amp;P-035-BA-3616-ZOH - CWN</t>
  </si>
  <si>
    <t>BPB-035-BA-1816-ZOH - CWN</t>
  </si>
  <si>
    <t>BPB-035-HK-3038 - CWN</t>
  </si>
  <si>
    <t>BPB-035-NK-2830 - CWN</t>
  </si>
  <si>
    <t>BPB-035-RNA-4910 - BPB</t>
  </si>
  <si>
    <t>BPB-035-NK-5025 - CWN</t>
  </si>
  <si>
    <t>BPB-035-NK-2520 - CWN</t>
  </si>
  <si>
    <t>BPB-035-NK-3230-JSGY</t>
  </si>
  <si>
    <t>BPB-035-HK-3016-CWN</t>
  </si>
  <si>
    <t>BPB-035-NK-2930-JSGY</t>
  </si>
  <si>
    <t>BPB-035-NK-4520-JSGY</t>
  </si>
  <si>
    <t>BPB-035-K25X33X20-CWN</t>
  </si>
  <si>
    <t>BPB-035-HK-1412-JSGY</t>
  </si>
  <si>
    <t>BPB-035-BA-3616-ZOH-CWN</t>
  </si>
  <si>
    <t>E</t>
  </si>
  <si>
    <t>BPB-035-BHA-1612-ZO-CWN</t>
  </si>
  <si>
    <t>BPB-035-YB-1816-CWN</t>
  </si>
  <si>
    <t>BPB-035-NK-3820-JSGY</t>
  </si>
  <si>
    <t>BPB-035-HN-2820-CWN</t>
  </si>
  <si>
    <t>BPB-035-TA-3820-CWN</t>
  </si>
  <si>
    <t>BPB-035-NK-2520-JSGY</t>
  </si>
  <si>
    <t>BPB-035-NK-2830-JSGY</t>
  </si>
  <si>
    <t>BPB-035-NK-5025-JSGY</t>
  </si>
  <si>
    <t>F</t>
  </si>
  <si>
    <t>B&amp;P-035-YB-1816-CWN</t>
  </si>
  <si>
    <t>B&amp;P-035-BHA-1616-ZOH - CWN</t>
  </si>
  <si>
    <t>B&amp;P-035-BHA-2020-ZO - CWN</t>
  </si>
  <si>
    <t>B&amp;P-035-NK-2830-JSGY</t>
  </si>
  <si>
    <t>B&amp;B-035-NK-2520-JSGY</t>
  </si>
  <si>
    <t>B&amp;P-035-NK-4520-JSGY</t>
  </si>
  <si>
    <t>B&amp;P-035-HK-1412-JSGY</t>
  </si>
  <si>
    <t>B&amp;P-035-NK-5025-JSGY</t>
  </si>
  <si>
    <t>B&amp;P-035-BHA-1612-ZO-CWN</t>
  </si>
  <si>
    <t>B&amp;P-035-NK-2930-JSGY</t>
  </si>
  <si>
    <t>B&amp;P-035-TA-3820-Z-CZDT</t>
  </si>
  <si>
    <t>B&amp;P-035-NKIS-15-JSGY</t>
  </si>
  <si>
    <t>BPB-035-HK-2526-JSGY</t>
  </si>
  <si>
    <t>B&amp;P-035-HK-2830-JSGY</t>
  </si>
  <si>
    <t>B&amp;P-035-IR-25-29-30-JSGY</t>
  </si>
  <si>
    <t>BPB-048-NAT-V30-PPX-ESUN</t>
  </si>
  <si>
    <t>BPB-035-HK-3038-JSGY</t>
  </si>
  <si>
    <t>B&amp;P-035-NK-2520-JSGY</t>
  </si>
  <si>
    <t>BPB-035-NKI-2020-JSGY</t>
  </si>
  <si>
    <t>Observaciones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</si>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</sst>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5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4"/>
      <name val="Arial"/>
      <family val="2"/>
    </font>
    <font>
      <vertAlign val="subscript"/>
      <sz val="12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9"/>
      <color indexed="9"/>
      <name val="Arial"/>
      <family val="2"/>
    </font>
    <font>
      <i/>
      <sz val="9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7" fillId="0" borderId="0" xfId="0" applyFont="1"/>
    <xf numFmtId="0" fontId="0" fillId="0" borderId="0" xfId="0" applyFill="1"/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7" xfId="0" applyBorder="1"/>
    <xf numFmtId="0" fontId="8" fillId="0" borderId="1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/>
    <xf numFmtId="0" fontId="3" fillId="3" borderId="0" xfId="0" applyFont="1" applyFill="1" applyBorder="1" applyAlignment="1"/>
    <xf numFmtId="0" fontId="3" fillId="4" borderId="2" xfId="0" applyFont="1" applyFill="1" applyBorder="1" applyAlignment="1"/>
    <xf numFmtId="0" fontId="3" fillId="4" borderId="0" xfId="0" applyFont="1" applyFill="1" applyAlignment="1"/>
    <xf numFmtId="0" fontId="23" fillId="0" borderId="0" xfId="0" applyFont="1" applyBorder="1" applyAlignment="1">
      <alignment vertical="center" wrapText="1" shrinkToFit="1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14" fontId="8" fillId="0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left" vertical="top"/>
    </xf>
    <xf numFmtId="0" fontId="3" fillId="6" borderId="1" xfId="0" applyFont="1" applyFill="1" applyBorder="1" applyAlignment="1" applyProtection="1">
      <alignment horizontal="left"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2" xfId="0" applyFont="1" applyFill="1" applyBorder="1" applyAlignment="1">
      <alignment horizontal="right" vertical="center"/>
    </xf>
    <xf numFmtId="0" fontId="8" fillId="0" borderId="7" xfId="0" applyFont="1" applyFill="1" applyBorder="1" applyAlignment="1">
      <alignment horizontal="right" vertical="center"/>
    </xf>
    <xf numFmtId="0" fontId="8" fillId="0" borderId="9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10" xfId="0" applyFill="1" applyBorder="1" applyAlignment="1">
      <alignment horizontal="right" vertical="center"/>
    </xf>
    <xf numFmtId="0" fontId="8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wrapText="1"/>
    </xf>
    <xf numFmtId="0" fontId="2" fillId="10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4" fontId="8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7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left" vertical="top"/>
    </xf>
    <xf numFmtId="14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19" fillId="0" borderId="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3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right"/>
    </xf>
    <xf numFmtId="0" fontId="12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49" fontId="14" fillId="8" borderId="20" xfId="0" applyNumberFormat="1" applyFont="1" applyFill="1" applyBorder="1" applyAlignment="1">
      <alignment horizontal="center" vertical="distributed"/>
    </xf>
    <xf numFmtId="49" fontId="14" fillId="8" borderId="21" xfId="0" applyNumberFormat="1" applyFont="1" applyFill="1" applyBorder="1" applyAlignment="1">
      <alignment horizontal="center" vertical="distributed"/>
    </xf>
    <xf numFmtId="49" fontId="14" fillId="8" borderId="22" xfId="0" applyNumberFormat="1" applyFont="1" applyFill="1" applyBorder="1" applyAlignment="1">
      <alignment horizontal="center" vertical="distributed"/>
    </xf>
    <xf numFmtId="49" fontId="14" fillId="8" borderId="23" xfId="0" applyNumberFormat="1" applyFont="1" applyFill="1" applyBorder="1" applyAlignment="1">
      <alignment horizontal="center" vertical="distributed"/>
    </xf>
    <xf numFmtId="0" fontId="21" fillId="5" borderId="18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 shrinkToFit="1"/>
    </xf>
    <xf numFmtId="0" fontId="0" fillId="0" borderId="2" xfId="0" applyBorder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4" fillId="8" borderId="11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14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Auxiliar!$B$1" fmlaRange="Auxiliar!$B$3:$S$89" sel="66" val="59"/>
</file>

<file path=xl/ctrlProps/ctrlProp2.xml><?xml version="1.0" encoding="utf-8"?>
<formControlPr xmlns="http://schemas.microsoft.com/office/spreadsheetml/2009/9/main" objectType="Drop" dropStyle="combo" dx="16" fmlaLink="Auxiliar!$B$1" fmlaRange="Auxiliar!$B$3:$S$89" sel="66" val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142875</xdr:rowOff>
    </xdr:from>
    <xdr:to>
      <xdr:col>2</xdr:col>
      <xdr:colOff>638175</xdr:colOff>
      <xdr:row>5</xdr:row>
      <xdr:rowOff>19050</xdr:rowOff>
    </xdr:to>
    <xdr:pic>
      <xdr:nvPicPr>
        <xdr:cNvPr id="1129" name="Picture 15" descr="SOL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875"/>
          <a:ext cx="17430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133350</xdr:colOff>
      <xdr:row>7</xdr:row>
      <xdr:rowOff>57150</xdr:rowOff>
    </xdr:from>
    <xdr:to>
      <xdr:col>15</xdr:col>
      <xdr:colOff>819150</xdr:colOff>
      <xdr:row>14</xdr:row>
      <xdr:rowOff>47625</xdr:rowOff>
    </xdr:to>
    <xdr:pic>
      <xdr:nvPicPr>
        <xdr:cNvPr id="1130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1343025"/>
          <a:ext cx="6858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6</xdr:row>
          <xdr:rowOff>47625</xdr:rowOff>
        </xdr:from>
        <xdr:to>
          <xdr:col>13</xdr:col>
          <xdr:colOff>495300</xdr:colOff>
          <xdr:row>6</xdr:row>
          <xdr:rowOff>257175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119228</xdr:colOff>
      <xdr:row>8</xdr:row>
      <xdr:rowOff>34487</xdr:rowOff>
    </xdr:from>
    <xdr:to>
      <xdr:col>14</xdr:col>
      <xdr:colOff>230900</xdr:colOff>
      <xdr:row>8</xdr:row>
      <xdr:rowOff>139590</xdr:rowOff>
    </xdr:to>
    <xdr:sp macro="" textlink="">
      <xdr:nvSpPr>
        <xdr:cNvPr id="15" name="14 Rectángulo"/>
        <xdr:cNvSpPr/>
      </xdr:nvSpPr>
      <xdr:spPr>
        <a:xfrm>
          <a:off x="6050019" y="1793328"/>
          <a:ext cx="111672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14</xdr:col>
      <xdr:colOff>119228</xdr:colOff>
      <xdr:row>8</xdr:row>
      <xdr:rowOff>167837</xdr:rowOff>
    </xdr:from>
    <xdr:to>
      <xdr:col>14</xdr:col>
      <xdr:colOff>230900</xdr:colOff>
      <xdr:row>8</xdr:row>
      <xdr:rowOff>272940</xdr:rowOff>
    </xdr:to>
    <xdr:sp macro="" textlink="">
      <xdr:nvSpPr>
        <xdr:cNvPr id="2" name="14 Rectángulo"/>
        <xdr:cNvSpPr/>
      </xdr:nvSpPr>
      <xdr:spPr>
        <a:xfrm>
          <a:off x="6050019" y="1793328"/>
          <a:ext cx="111672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oneCellAnchor>
    <xdr:from>
      <xdr:col>16</xdr:col>
      <xdr:colOff>19050</xdr:colOff>
      <xdr:row>0</xdr:row>
      <xdr:rowOff>142875</xdr:rowOff>
    </xdr:from>
    <xdr:ext cx="1730375" cy="669925"/>
    <xdr:pic>
      <xdr:nvPicPr>
        <xdr:cNvPr id="7" name="Picture 15" descr="SOL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875"/>
          <a:ext cx="1730375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31</xdr:col>
      <xdr:colOff>133350</xdr:colOff>
      <xdr:row>7</xdr:row>
      <xdr:rowOff>57150</xdr:rowOff>
    </xdr:from>
    <xdr:ext cx="685800" cy="1530350"/>
    <xdr:pic>
      <xdr:nvPicPr>
        <xdr:cNvPr id="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1327150"/>
          <a:ext cx="685800" cy="153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</xdr:colOff>
          <xdr:row>6</xdr:row>
          <xdr:rowOff>47625</xdr:rowOff>
        </xdr:from>
        <xdr:to>
          <xdr:col>29</xdr:col>
          <xdr:colOff>495300</xdr:colOff>
          <xdr:row>6</xdr:row>
          <xdr:rowOff>257175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30</xdr:col>
      <xdr:colOff>119228</xdr:colOff>
      <xdr:row>8</xdr:row>
      <xdr:rowOff>34487</xdr:rowOff>
    </xdr:from>
    <xdr:to>
      <xdr:col>30</xdr:col>
      <xdr:colOff>230900</xdr:colOff>
      <xdr:row>8</xdr:row>
      <xdr:rowOff>139590</xdr:rowOff>
    </xdr:to>
    <xdr:sp macro="" textlink="">
      <xdr:nvSpPr>
        <xdr:cNvPr id="10" name="14 Rectángulo"/>
        <xdr:cNvSpPr/>
      </xdr:nvSpPr>
      <xdr:spPr>
        <a:xfrm>
          <a:off x="6310478" y="1621987"/>
          <a:ext cx="111672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30</xdr:col>
      <xdr:colOff>119228</xdr:colOff>
      <xdr:row>8</xdr:row>
      <xdr:rowOff>167837</xdr:rowOff>
    </xdr:from>
    <xdr:to>
      <xdr:col>30</xdr:col>
      <xdr:colOff>230900</xdr:colOff>
      <xdr:row>8</xdr:row>
      <xdr:rowOff>272940</xdr:rowOff>
    </xdr:to>
    <xdr:sp macro="" textlink="">
      <xdr:nvSpPr>
        <xdr:cNvPr id="11" name="14 Rectángulo"/>
        <xdr:cNvSpPr/>
      </xdr:nvSpPr>
      <xdr:spPr>
        <a:xfrm>
          <a:off x="6310478" y="1755337"/>
          <a:ext cx="111672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9525</xdr:rowOff>
    </xdr:from>
    <xdr:to>
      <xdr:col>2</xdr:col>
      <xdr:colOff>342900</xdr:colOff>
      <xdr:row>4</xdr:row>
      <xdr:rowOff>142875</xdr:rowOff>
    </xdr:to>
    <xdr:pic>
      <xdr:nvPicPr>
        <xdr:cNvPr id="2068" name="Picture 1" descr="SOL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33375"/>
          <a:ext cx="16478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AF39"/>
  <sheetViews>
    <sheetView showGridLines="0" zoomScale="115" zoomScaleNormal="115" workbookViewId="0">
      <selection activeCell="C15" sqref="C15"/>
    </sheetView>
  </sheetViews>
  <sheetFormatPr baseColWidth="10" defaultRowHeight="12.75" x14ac:dyDescent="0.2"/>
  <cols>
    <col min="1" max="2" width="8.42578125" customWidth="1"/>
    <col min="3" max="3" width="9.7109375" customWidth="1"/>
    <col min="4" max="13" width="5.7109375" customWidth="1"/>
    <col min="14" max="14" width="9.28515625" customWidth="1"/>
    <col min="15" max="15" width="4.28515625" customWidth="1"/>
    <col min="16" max="16" width="12.7109375" customWidth="1"/>
    <col min="17" max="18" width="8.42578125" customWidth="1"/>
    <col min="19" max="19" width="9.7109375" customWidth="1"/>
    <col min="20" max="29" width="5.7109375" customWidth="1"/>
    <col min="30" max="30" width="9.28515625" customWidth="1"/>
    <col min="31" max="31" width="4.28515625" customWidth="1"/>
    <col min="32" max="32" width="25.140625" customWidth="1"/>
  </cols>
  <sheetData>
    <row r="1" spans="1:32" ht="12.75" customHeight="1" x14ac:dyDescent="0.2">
      <c r="A1" s="166" t="s">
        <v>10</v>
      </c>
      <c r="B1" s="167"/>
      <c r="C1" s="168"/>
      <c r="D1" s="175" t="s">
        <v>50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7"/>
      <c r="Q1" s="166" t="s">
        <v>10</v>
      </c>
      <c r="R1" s="167"/>
      <c r="S1" s="168"/>
      <c r="T1" s="175" t="s">
        <v>50</v>
      </c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7"/>
    </row>
    <row r="2" spans="1:32" ht="12.75" customHeight="1" x14ac:dyDescent="0.2">
      <c r="A2" s="169"/>
      <c r="B2" s="170"/>
      <c r="C2" s="171"/>
      <c r="D2" s="178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80"/>
      <c r="Q2" s="169"/>
      <c r="R2" s="170"/>
      <c r="S2" s="171"/>
      <c r="T2" s="178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80"/>
    </row>
    <row r="3" spans="1:32" ht="12.75" customHeight="1" x14ac:dyDescent="0.2">
      <c r="A3" s="169"/>
      <c r="B3" s="170"/>
      <c r="C3" s="171"/>
      <c r="D3" s="181" t="s">
        <v>51</v>
      </c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3"/>
      <c r="Q3" s="169"/>
      <c r="R3" s="170"/>
      <c r="S3" s="171"/>
      <c r="T3" s="181" t="s">
        <v>51</v>
      </c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3"/>
    </row>
    <row r="4" spans="1:32" ht="12.75" customHeight="1" x14ac:dyDescent="0.2">
      <c r="A4" s="169"/>
      <c r="B4" s="170"/>
      <c r="C4" s="171"/>
      <c r="D4" s="184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6"/>
      <c r="Q4" s="169"/>
      <c r="R4" s="170"/>
      <c r="S4" s="171"/>
      <c r="T4" s="184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6"/>
    </row>
    <row r="5" spans="1:32" ht="12.75" customHeight="1" x14ac:dyDescent="0.2">
      <c r="A5" s="169"/>
      <c r="B5" s="170"/>
      <c r="C5" s="171"/>
      <c r="D5" s="166" t="s">
        <v>49</v>
      </c>
      <c r="E5" s="167"/>
      <c r="F5" s="167"/>
      <c r="G5" s="168"/>
      <c r="H5" s="187">
        <v>42828</v>
      </c>
      <c r="I5" s="188"/>
      <c r="J5" s="188" t="s">
        <v>31</v>
      </c>
      <c r="K5" s="191">
        <v>9</v>
      </c>
      <c r="L5" s="193" t="s">
        <v>45</v>
      </c>
      <c r="M5" s="188"/>
      <c r="N5" s="188"/>
      <c r="O5" s="191"/>
      <c r="Q5" s="169"/>
      <c r="R5" s="170"/>
      <c r="S5" s="171"/>
      <c r="T5" s="166" t="s">
        <v>49</v>
      </c>
      <c r="U5" s="167"/>
      <c r="V5" s="167"/>
      <c r="W5" s="168"/>
      <c r="X5" s="187">
        <v>42828</v>
      </c>
      <c r="Y5" s="188"/>
      <c r="Z5" s="188" t="s">
        <v>31</v>
      </c>
      <c r="AA5" s="191">
        <v>9</v>
      </c>
      <c r="AB5" s="193" t="s">
        <v>45</v>
      </c>
      <c r="AC5" s="188"/>
      <c r="AD5" s="188"/>
      <c r="AE5" s="191"/>
    </row>
    <row r="6" spans="1:32" ht="12.75" customHeight="1" x14ac:dyDescent="0.2">
      <c r="A6" s="172"/>
      <c r="B6" s="173"/>
      <c r="C6" s="174"/>
      <c r="D6" s="172"/>
      <c r="E6" s="173"/>
      <c r="F6" s="173"/>
      <c r="G6" s="174"/>
      <c r="H6" s="189"/>
      <c r="I6" s="190"/>
      <c r="J6" s="190"/>
      <c r="K6" s="192"/>
      <c r="L6" s="189"/>
      <c r="M6" s="190"/>
      <c r="N6" s="190"/>
      <c r="O6" s="192"/>
      <c r="Q6" s="172"/>
      <c r="R6" s="173"/>
      <c r="S6" s="174"/>
      <c r="T6" s="172"/>
      <c r="U6" s="173"/>
      <c r="V6" s="173"/>
      <c r="W6" s="174"/>
      <c r="X6" s="189"/>
      <c r="Y6" s="190"/>
      <c r="Z6" s="190"/>
      <c r="AA6" s="192"/>
      <c r="AB6" s="189"/>
      <c r="AC6" s="190"/>
      <c r="AD6" s="190"/>
      <c r="AE6" s="192"/>
    </row>
    <row r="7" spans="1:32" ht="24.95" customHeight="1" x14ac:dyDescent="0.2">
      <c r="A7" s="128" t="s">
        <v>20</v>
      </c>
      <c r="B7" s="129"/>
      <c r="C7" s="194"/>
      <c r="D7" s="194"/>
      <c r="E7" s="194"/>
      <c r="F7" s="194"/>
      <c r="G7" s="195"/>
      <c r="H7" s="128" t="s">
        <v>42</v>
      </c>
      <c r="I7" s="129"/>
      <c r="J7" s="129"/>
      <c r="K7" s="196"/>
      <c r="L7" s="196"/>
      <c r="M7" s="196"/>
      <c r="N7" s="196"/>
      <c r="O7" s="197"/>
      <c r="Q7" s="128" t="s">
        <v>20</v>
      </c>
      <c r="R7" s="129"/>
      <c r="S7" s="194"/>
      <c r="T7" s="194"/>
      <c r="U7" s="194"/>
      <c r="V7" s="194"/>
      <c r="W7" s="195"/>
      <c r="X7" s="128" t="s">
        <v>42</v>
      </c>
      <c r="Y7" s="129"/>
      <c r="Z7" s="129"/>
      <c r="AA7" s="196"/>
      <c r="AB7" s="196"/>
      <c r="AC7" s="196"/>
      <c r="AD7" s="196"/>
      <c r="AE7" s="197"/>
    </row>
    <row r="8" spans="1:32" ht="24.95" customHeight="1" x14ac:dyDescent="0.2">
      <c r="A8" s="128" t="s">
        <v>21</v>
      </c>
      <c r="B8" s="129"/>
      <c r="C8" s="130"/>
      <c r="D8" s="130"/>
      <c r="E8" s="130"/>
      <c r="F8" s="130"/>
      <c r="G8" s="131"/>
      <c r="H8" s="132">
        <f>VLOOKUP(Auxiliar!B1,Auxiliar!A3:AH560,18,FALSE)</f>
        <v>45657</v>
      </c>
      <c r="I8" s="133"/>
      <c r="J8" s="133"/>
      <c r="K8" s="134" t="s">
        <v>83</v>
      </c>
      <c r="L8" s="134"/>
      <c r="M8" s="134"/>
      <c r="N8" s="135">
        <f>VLOOKUP(Auxiliar!B1,Auxiliar!A3:AH560,19,FALSE)</f>
        <v>0</v>
      </c>
      <c r="O8" s="136"/>
      <c r="P8" s="3"/>
      <c r="Q8" s="128" t="s">
        <v>21</v>
      </c>
      <c r="R8" s="129"/>
      <c r="S8" s="130"/>
      <c r="T8" s="130"/>
      <c r="U8" s="130"/>
      <c r="V8" s="130"/>
      <c r="W8" s="131"/>
      <c r="X8" s="132">
        <f>VLOOKUP(Auxiliar!B1,Auxiliar!A3:AH560,18,FALSE)</f>
        <v>45657</v>
      </c>
      <c r="Y8" s="133"/>
      <c r="Z8" s="133"/>
      <c r="AA8" s="134" t="s">
        <v>83</v>
      </c>
      <c r="AB8" s="134"/>
      <c r="AC8" s="134"/>
      <c r="AD8" s="135">
        <f>VLOOKUP(Auxiliar!B1,Auxiliar!A3:AH560,19,FALSE)</f>
        <v>0</v>
      </c>
      <c r="AE8" s="136"/>
      <c r="AF8" s="3"/>
    </row>
    <row r="9" spans="1:32" ht="24.95" customHeight="1" x14ac:dyDescent="0.2">
      <c r="A9" s="137" t="s">
        <v>29</v>
      </c>
      <c r="B9" s="129"/>
      <c r="C9" s="138" t="s">
        <v>37</v>
      </c>
      <c r="D9" s="138"/>
      <c r="E9" s="138"/>
      <c r="F9" s="138"/>
      <c r="G9" s="139"/>
      <c r="H9" s="137" t="s">
        <v>22</v>
      </c>
      <c r="I9" s="129"/>
      <c r="J9" s="129"/>
      <c r="K9" s="35"/>
      <c r="L9" s="35"/>
      <c r="M9" s="140" t="s">
        <v>82</v>
      </c>
      <c r="N9" s="130"/>
      <c r="O9" s="36"/>
      <c r="Q9" s="137" t="s">
        <v>29</v>
      </c>
      <c r="R9" s="129"/>
      <c r="S9" s="138" t="s">
        <v>37</v>
      </c>
      <c r="T9" s="138"/>
      <c r="U9" s="138"/>
      <c r="V9" s="138"/>
      <c r="W9" s="139"/>
      <c r="X9" s="137" t="s">
        <v>22</v>
      </c>
      <c r="Y9" s="129"/>
      <c r="Z9" s="129"/>
      <c r="AA9" s="35"/>
      <c r="AB9" s="35"/>
      <c r="AC9" s="140" t="s">
        <v>82</v>
      </c>
      <c r="AD9" s="130"/>
      <c r="AE9" s="36"/>
    </row>
    <row r="10" spans="1:32" ht="24.95" customHeight="1" x14ac:dyDescent="0.2">
      <c r="A10" s="141" t="s">
        <v>76</v>
      </c>
      <c r="B10" s="142"/>
      <c r="C10" s="142"/>
      <c r="D10" s="142"/>
      <c r="E10" s="142"/>
      <c r="F10" s="142"/>
      <c r="G10" s="143"/>
      <c r="H10" s="141" t="s">
        <v>77</v>
      </c>
      <c r="I10" s="144"/>
      <c r="J10" s="144"/>
      <c r="K10" s="144"/>
      <c r="L10" s="144"/>
      <c r="M10" s="144"/>
      <c r="N10" s="144"/>
      <c r="O10" s="145"/>
      <c r="Q10" s="141" t="s">
        <v>76</v>
      </c>
      <c r="R10" s="142"/>
      <c r="S10" s="142"/>
      <c r="T10" s="142"/>
      <c r="U10" s="142"/>
      <c r="V10" s="142"/>
      <c r="W10" s="143"/>
      <c r="X10" s="141" t="s">
        <v>77</v>
      </c>
      <c r="Y10" s="144"/>
      <c r="Z10" s="144"/>
      <c r="AA10" s="144"/>
      <c r="AB10" s="144"/>
      <c r="AC10" s="144"/>
      <c r="AD10" s="144"/>
      <c r="AE10" s="145"/>
    </row>
    <row r="11" spans="1:32" ht="10.5" customHeight="1" x14ac:dyDescent="0.2">
      <c r="A11" s="146" t="s">
        <v>0</v>
      </c>
      <c r="B11" s="147" t="s">
        <v>14</v>
      </c>
      <c r="C11" s="147" t="s">
        <v>36</v>
      </c>
      <c r="D11" s="150" t="s">
        <v>12</v>
      </c>
      <c r="E11" s="151"/>
      <c r="F11" s="151"/>
      <c r="G11" s="151"/>
      <c r="H11" s="151"/>
      <c r="I11" s="151"/>
      <c r="J11" s="151"/>
      <c r="K11" s="151"/>
      <c r="L11" s="151"/>
      <c r="M11" s="152"/>
      <c r="N11" s="156" t="s">
        <v>79</v>
      </c>
      <c r="O11" s="157"/>
      <c r="Q11" s="146" t="s">
        <v>0</v>
      </c>
      <c r="R11" s="147" t="s">
        <v>14</v>
      </c>
      <c r="S11" s="147" t="s">
        <v>36</v>
      </c>
      <c r="T11" s="150" t="s">
        <v>12</v>
      </c>
      <c r="U11" s="151"/>
      <c r="V11" s="151"/>
      <c r="W11" s="151"/>
      <c r="X11" s="151"/>
      <c r="Y11" s="151"/>
      <c r="Z11" s="151"/>
      <c r="AA11" s="151"/>
      <c r="AB11" s="151"/>
      <c r="AC11" s="152"/>
      <c r="AD11" s="156" t="s">
        <v>79</v>
      </c>
      <c r="AE11" s="157"/>
    </row>
    <row r="12" spans="1:32" ht="9.75" customHeight="1" x14ac:dyDescent="0.2">
      <c r="A12" s="146"/>
      <c r="B12" s="148"/>
      <c r="C12" s="148"/>
      <c r="D12" s="153"/>
      <c r="E12" s="154"/>
      <c r="F12" s="154"/>
      <c r="G12" s="154"/>
      <c r="H12" s="154"/>
      <c r="I12" s="154"/>
      <c r="J12" s="154"/>
      <c r="K12" s="154"/>
      <c r="L12" s="154"/>
      <c r="M12" s="155"/>
      <c r="N12" s="158"/>
      <c r="O12" s="159"/>
      <c r="Q12" s="146"/>
      <c r="R12" s="148"/>
      <c r="S12" s="148"/>
      <c r="T12" s="153"/>
      <c r="U12" s="154"/>
      <c r="V12" s="154"/>
      <c r="W12" s="154"/>
      <c r="X12" s="154"/>
      <c r="Y12" s="154"/>
      <c r="Z12" s="154"/>
      <c r="AA12" s="154"/>
      <c r="AB12" s="154"/>
      <c r="AC12" s="155"/>
      <c r="AD12" s="158"/>
      <c r="AE12" s="159"/>
    </row>
    <row r="13" spans="1:32" ht="14.25" customHeight="1" x14ac:dyDescent="0.2">
      <c r="A13" s="146"/>
      <c r="B13" s="149"/>
      <c r="C13" s="148"/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8</v>
      </c>
      <c r="L13" s="1" t="s">
        <v>11</v>
      </c>
      <c r="M13" s="1" t="s">
        <v>9</v>
      </c>
      <c r="N13" s="160"/>
      <c r="O13" s="161"/>
      <c r="Q13" s="146"/>
      <c r="R13" s="149"/>
      <c r="S13" s="148"/>
      <c r="T13" s="71" t="s">
        <v>1</v>
      </c>
      <c r="U13" s="71" t="s">
        <v>2</v>
      </c>
      <c r="V13" s="71" t="s">
        <v>3</v>
      </c>
      <c r="W13" s="71" t="s">
        <v>4</v>
      </c>
      <c r="X13" s="71" t="s">
        <v>5</v>
      </c>
      <c r="Y13" s="71" t="s">
        <v>6</v>
      </c>
      <c r="Z13" s="71" t="s">
        <v>7</v>
      </c>
      <c r="AA13" s="71" t="s">
        <v>8</v>
      </c>
      <c r="AB13" s="71" t="s">
        <v>11</v>
      </c>
      <c r="AC13" s="71" t="s">
        <v>9</v>
      </c>
      <c r="AD13" s="160"/>
      <c r="AE13" s="161"/>
    </row>
    <row r="14" spans="1:32" ht="12" customHeight="1" x14ac:dyDescent="0.2">
      <c r="A14" s="104" t="s">
        <v>26</v>
      </c>
      <c r="B14" s="122">
        <f>VLOOKUP(Auxiliar!B1,Auxiliar!A3:AH500,3,FALSE)</f>
        <v>20</v>
      </c>
      <c r="C14" s="14">
        <f>VLOOKUP(Auxiliar!B1,Auxiliar!A3:AH500,4,FALSE)</f>
        <v>0</v>
      </c>
      <c r="D14" s="162"/>
      <c r="E14" s="104"/>
      <c r="F14" s="104"/>
      <c r="G14" s="104"/>
      <c r="H14" s="104"/>
      <c r="I14" s="104"/>
      <c r="J14" s="104"/>
      <c r="K14" s="104"/>
      <c r="L14" s="104"/>
      <c r="M14" s="104"/>
      <c r="N14" s="164"/>
      <c r="O14" s="162"/>
      <c r="Q14" s="104" t="s">
        <v>26</v>
      </c>
      <c r="R14" s="122">
        <f>VLOOKUP(Auxiliar!B1,Auxiliar!A3:AH500,3,FALSE)</f>
        <v>20</v>
      </c>
      <c r="S14" s="14">
        <f>VLOOKUP(Auxiliar!B1,Auxiliar!A3:AH500,4,FALSE)</f>
        <v>0</v>
      </c>
      <c r="T14" s="162"/>
      <c r="U14" s="104"/>
      <c r="V14" s="104"/>
      <c r="W14" s="104"/>
      <c r="X14" s="104"/>
      <c r="Y14" s="104"/>
      <c r="Z14" s="104"/>
      <c r="AA14" s="104"/>
      <c r="AB14" s="104"/>
      <c r="AC14" s="104"/>
      <c r="AD14" s="164"/>
      <c r="AE14" s="162"/>
    </row>
    <row r="15" spans="1:32" ht="12" customHeight="1" x14ac:dyDescent="0.2">
      <c r="A15" s="105"/>
      <c r="B15" s="123"/>
      <c r="C15" s="15">
        <f>VLOOKUP(Auxiliar!B1,Auxiliar!A3:AH500,5,FALSE)</f>
        <v>-10</v>
      </c>
      <c r="D15" s="163"/>
      <c r="E15" s="105"/>
      <c r="F15" s="105"/>
      <c r="G15" s="105"/>
      <c r="H15" s="105"/>
      <c r="I15" s="105"/>
      <c r="J15" s="105"/>
      <c r="K15" s="105"/>
      <c r="L15" s="105"/>
      <c r="M15" s="105"/>
      <c r="N15" s="165"/>
      <c r="O15" s="163"/>
      <c r="Q15" s="105"/>
      <c r="R15" s="123"/>
      <c r="S15" s="15">
        <f>VLOOKUP(Auxiliar!B1,Auxiliar!A3:AH500,5,FALSE)</f>
        <v>-10</v>
      </c>
      <c r="T15" s="163"/>
      <c r="U15" s="105"/>
      <c r="V15" s="105"/>
      <c r="W15" s="105"/>
      <c r="X15" s="105"/>
      <c r="Y15" s="105"/>
      <c r="Z15" s="105"/>
      <c r="AA15" s="105"/>
      <c r="AB15" s="105"/>
      <c r="AC15" s="105"/>
      <c r="AD15" s="165"/>
      <c r="AE15" s="163"/>
    </row>
    <row r="16" spans="1:32" ht="12" customHeight="1" x14ac:dyDescent="0.2">
      <c r="A16" s="120" t="s">
        <v>32</v>
      </c>
      <c r="B16" s="122">
        <f>VLOOKUP(Auxiliar!B1,Auxiliar!A3:AH500,6,FALSE)</f>
        <v>32</v>
      </c>
      <c r="C16" s="16">
        <f>VLOOKUP(Auxiliar!B1,Auxiliar!A3:AH500,7,FALSE)</f>
        <v>0</v>
      </c>
      <c r="D16" s="126"/>
      <c r="E16" s="102"/>
      <c r="F16" s="102"/>
      <c r="G16" s="102"/>
      <c r="H16" s="102"/>
      <c r="I16" s="102"/>
      <c r="J16" s="102"/>
      <c r="K16" s="102"/>
      <c r="L16" s="104"/>
      <c r="M16" s="102"/>
      <c r="N16" s="106"/>
      <c r="O16" s="107"/>
      <c r="Q16" s="120" t="s">
        <v>32</v>
      </c>
      <c r="R16" s="122">
        <f>VLOOKUP(Auxiliar!B1,Auxiliar!A3:AH500,6,FALSE)</f>
        <v>32</v>
      </c>
      <c r="S16" s="16">
        <f>VLOOKUP(Auxiliar!B1,Auxiliar!A3:AH500,7,FALSE)</f>
        <v>0</v>
      </c>
      <c r="T16" s="126"/>
      <c r="U16" s="102"/>
      <c r="V16" s="102"/>
      <c r="W16" s="102"/>
      <c r="X16" s="102"/>
      <c r="Y16" s="102"/>
      <c r="Z16" s="102"/>
      <c r="AA16" s="102"/>
      <c r="AB16" s="104"/>
      <c r="AC16" s="102"/>
      <c r="AD16" s="106"/>
      <c r="AE16" s="107"/>
    </row>
    <row r="17" spans="1:32" ht="12" customHeight="1" x14ac:dyDescent="0.2">
      <c r="A17" s="121"/>
      <c r="B17" s="123"/>
      <c r="C17" s="15">
        <f>VLOOKUP(Auxiliar!B1,Auxiliar!A3:AH500,8,FALSE)</f>
        <v>-11</v>
      </c>
      <c r="D17" s="127"/>
      <c r="E17" s="103"/>
      <c r="F17" s="103"/>
      <c r="G17" s="103"/>
      <c r="H17" s="103"/>
      <c r="I17" s="103"/>
      <c r="J17" s="103"/>
      <c r="K17" s="103"/>
      <c r="L17" s="105"/>
      <c r="M17" s="103"/>
      <c r="N17" s="108"/>
      <c r="O17" s="109"/>
      <c r="P17" s="34"/>
      <c r="Q17" s="121"/>
      <c r="R17" s="123"/>
      <c r="S17" s="15">
        <f>VLOOKUP(Auxiliar!B1,Auxiliar!A3:AH500,8,FALSE)</f>
        <v>-11</v>
      </c>
      <c r="T17" s="127"/>
      <c r="U17" s="103"/>
      <c r="V17" s="103"/>
      <c r="W17" s="103"/>
      <c r="X17" s="103"/>
      <c r="Y17" s="103"/>
      <c r="Z17" s="103"/>
      <c r="AA17" s="103"/>
      <c r="AB17" s="105"/>
      <c r="AC17" s="103"/>
      <c r="AD17" s="108"/>
      <c r="AE17" s="109"/>
      <c r="AF17" s="34"/>
    </row>
    <row r="18" spans="1:32" ht="12" customHeight="1" x14ac:dyDescent="0.2">
      <c r="A18" s="120" t="s">
        <v>33</v>
      </c>
      <c r="B18" s="122">
        <f>VLOOKUP(Auxiliar!B1,Auxiliar!A3:AH500,9,FALSE)</f>
        <v>20</v>
      </c>
      <c r="C18" s="14">
        <f>VLOOKUP(Auxiliar!B1,Auxiliar!A3:AH500,10,FALSE)</f>
        <v>0</v>
      </c>
      <c r="D18" s="124"/>
      <c r="E18" s="102"/>
      <c r="F18" s="102"/>
      <c r="G18" s="102"/>
      <c r="H18" s="102"/>
      <c r="I18" s="102"/>
      <c r="J18" s="102"/>
      <c r="K18" s="102"/>
      <c r="L18" s="104"/>
      <c r="M18" s="102"/>
      <c r="N18" s="106"/>
      <c r="O18" s="107"/>
      <c r="P18" s="118"/>
      <c r="Q18" s="120" t="s">
        <v>33</v>
      </c>
      <c r="R18" s="122">
        <f>VLOOKUP(Auxiliar!B1,Auxiliar!A3:AH500,9,FALSE)</f>
        <v>20</v>
      </c>
      <c r="S18" s="14">
        <f>VLOOKUP(Auxiliar!B1,Auxiliar!A3:AH500,10,FALSE)</f>
        <v>0</v>
      </c>
      <c r="T18" s="124"/>
      <c r="U18" s="102"/>
      <c r="V18" s="102"/>
      <c r="W18" s="102"/>
      <c r="X18" s="102"/>
      <c r="Y18" s="102"/>
      <c r="Z18" s="102"/>
      <c r="AA18" s="102"/>
      <c r="AB18" s="104"/>
      <c r="AC18" s="102"/>
      <c r="AD18" s="106"/>
      <c r="AE18" s="107"/>
      <c r="AF18" s="118"/>
    </row>
    <row r="19" spans="1:32" ht="13.5" customHeight="1" x14ac:dyDescent="0.2">
      <c r="A19" s="121"/>
      <c r="B19" s="123"/>
      <c r="C19" s="17">
        <f>VLOOKUP(Auxiliar!B1,Auxiliar!A3:AH500,11,FALSE)</f>
        <v>-200</v>
      </c>
      <c r="D19" s="125"/>
      <c r="E19" s="103"/>
      <c r="F19" s="103"/>
      <c r="G19" s="103"/>
      <c r="H19" s="103"/>
      <c r="I19" s="103"/>
      <c r="J19" s="103"/>
      <c r="K19" s="103"/>
      <c r="L19" s="105"/>
      <c r="M19" s="103"/>
      <c r="N19" s="108"/>
      <c r="O19" s="109"/>
      <c r="P19" s="119"/>
      <c r="Q19" s="121"/>
      <c r="R19" s="123"/>
      <c r="S19" s="17">
        <f>VLOOKUP(Auxiliar!B1,Auxiliar!A3:AH500,11,FALSE)</f>
        <v>-200</v>
      </c>
      <c r="T19" s="125"/>
      <c r="U19" s="103"/>
      <c r="V19" s="103"/>
      <c r="W19" s="103"/>
      <c r="X19" s="103"/>
      <c r="Y19" s="103"/>
      <c r="Z19" s="103"/>
      <c r="AA19" s="103"/>
      <c r="AB19" s="105"/>
      <c r="AC19" s="103"/>
      <c r="AD19" s="108"/>
      <c r="AE19" s="109"/>
      <c r="AF19" s="119"/>
    </row>
    <row r="20" spans="1:32" ht="12" customHeight="1" x14ac:dyDescent="0.2">
      <c r="A20" s="120" t="s">
        <v>90</v>
      </c>
      <c r="B20" s="122" t="str">
        <f>VLOOKUP(Auxiliar!B1,Auxiliar!A3:AH500,12,FALSE)</f>
        <v>NO</v>
      </c>
      <c r="C20" s="14" t="str">
        <f>VLOOKUP(Auxiliar!B1,Auxiliar!A3:AH500,13,FALSE)</f>
        <v>NO</v>
      </c>
      <c r="D20" s="124"/>
      <c r="E20" s="102"/>
      <c r="F20" s="102"/>
      <c r="G20" s="102"/>
      <c r="H20" s="102"/>
      <c r="I20" s="102"/>
      <c r="J20" s="102"/>
      <c r="K20" s="102"/>
      <c r="L20" s="104"/>
      <c r="M20" s="102"/>
      <c r="N20" s="106"/>
      <c r="O20" s="107"/>
      <c r="P20" s="119"/>
      <c r="Q20" s="120" t="s">
        <v>90</v>
      </c>
      <c r="R20" s="122" t="str">
        <f>VLOOKUP(Auxiliar!B1,Auxiliar!A3:AH500,12,FALSE)</f>
        <v>NO</v>
      </c>
      <c r="S20" s="14" t="str">
        <f>VLOOKUP(Auxiliar!B1,Auxiliar!A3:AH500,13,FALSE)</f>
        <v>NO</v>
      </c>
      <c r="T20" s="124"/>
      <c r="U20" s="102"/>
      <c r="V20" s="102"/>
      <c r="W20" s="102"/>
      <c r="X20" s="102"/>
      <c r="Y20" s="102"/>
      <c r="Z20" s="102"/>
      <c r="AA20" s="102"/>
      <c r="AB20" s="104"/>
      <c r="AC20" s="102"/>
      <c r="AD20" s="106"/>
      <c r="AE20" s="107"/>
      <c r="AF20" s="119"/>
    </row>
    <row r="21" spans="1:32" ht="13.5" customHeight="1" x14ac:dyDescent="0.2">
      <c r="A21" s="121"/>
      <c r="B21" s="123"/>
      <c r="C21" s="17" t="str">
        <f>VLOOKUP(Auxiliar!B1,Auxiliar!A3:AH500,14,FALSE)</f>
        <v>NO</v>
      </c>
      <c r="D21" s="125"/>
      <c r="E21" s="103"/>
      <c r="F21" s="103"/>
      <c r="G21" s="103"/>
      <c r="H21" s="103"/>
      <c r="I21" s="103"/>
      <c r="J21" s="103"/>
      <c r="K21" s="103"/>
      <c r="L21" s="105"/>
      <c r="M21" s="103"/>
      <c r="N21" s="108"/>
      <c r="O21" s="109"/>
      <c r="P21" s="119"/>
      <c r="Q21" s="121"/>
      <c r="R21" s="123"/>
      <c r="S21" s="17" t="str">
        <f>VLOOKUP(Auxiliar!B1,Auxiliar!A3:AH500,14,FALSE)</f>
        <v>NO</v>
      </c>
      <c r="T21" s="125"/>
      <c r="U21" s="103"/>
      <c r="V21" s="103"/>
      <c r="W21" s="103"/>
      <c r="X21" s="103"/>
      <c r="Y21" s="103"/>
      <c r="Z21" s="103"/>
      <c r="AA21" s="103"/>
      <c r="AB21" s="105"/>
      <c r="AC21" s="103"/>
      <c r="AD21" s="108"/>
      <c r="AE21" s="109"/>
      <c r="AF21" s="119"/>
    </row>
    <row r="22" spans="1:32" ht="12" customHeight="1" x14ac:dyDescent="0.2">
      <c r="A22" s="120" t="s">
        <v>89</v>
      </c>
      <c r="B22" s="122" t="str">
        <f>VLOOKUP(Auxiliar!B1,Auxiliar!A3:AH500,15,FALSE)</f>
        <v>NO</v>
      </c>
      <c r="C22" s="14" t="str">
        <f>VLOOKUP(Auxiliar!B1,Auxiliar!A3:AH500,17,FALSE)</f>
        <v>NO</v>
      </c>
      <c r="D22" s="124"/>
      <c r="E22" s="102"/>
      <c r="F22" s="102"/>
      <c r="G22" s="102"/>
      <c r="H22" s="102"/>
      <c r="I22" s="102"/>
      <c r="J22" s="102"/>
      <c r="K22" s="102"/>
      <c r="L22" s="104"/>
      <c r="M22" s="102"/>
      <c r="N22" s="106"/>
      <c r="O22" s="107"/>
      <c r="P22" s="119"/>
      <c r="Q22" s="120" t="s">
        <v>89</v>
      </c>
      <c r="R22" s="122" t="str">
        <f>VLOOKUP(Auxiliar!B1,Auxiliar!A3:AH500,15,FALSE)</f>
        <v>NO</v>
      </c>
      <c r="S22" s="14" t="str">
        <f>VLOOKUP(Auxiliar!B1,Auxiliar!A3:AH500,17,FALSE)</f>
        <v>NO</v>
      </c>
      <c r="T22" s="124"/>
      <c r="U22" s="102"/>
      <c r="V22" s="102"/>
      <c r="W22" s="102"/>
      <c r="X22" s="102"/>
      <c r="Y22" s="102"/>
      <c r="Z22" s="102"/>
      <c r="AA22" s="102"/>
      <c r="AB22" s="104"/>
      <c r="AC22" s="102"/>
      <c r="AD22" s="106"/>
      <c r="AE22" s="107"/>
      <c r="AF22" s="119"/>
    </row>
    <row r="23" spans="1:32" ht="13.5" customHeight="1" x14ac:dyDescent="0.2">
      <c r="A23" s="121"/>
      <c r="B23" s="123"/>
      <c r="C23" s="17" t="str">
        <f>VLOOKUP(Auxiliar!B1,Auxiliar!A3:AH500,17,FALSE)</f>
        <v>NO</v>
      </c>
      <c r="D23" s="125"/>
      <c r="E23" s="103"/>
      <c r="F23" s="103"/>
      <c r="G23" s="103"/>
      <c r="H23" s="103"/>
      <c r="I23" s="103"/>
      <c r="J23" s="103"/>
      <c r="K23" s="103"/>
      <c r="L23" s="105"/>
      <c r="M23" s="103"/>
      <c r="N23" s="108"/>
      <c r="O23" s="109"/>
      <c r="P23" s="119"/>
      <c r="Q23" s="121"/>
      <c r="R23" s="123"/>
      <c r="S23" s="17" t="str">
        <f>VLOOKUP(Auxiliar!B1,Auxiliar!A3:AH500,17,FALSE)</f>
        <v>NO</v>
      </c>
      <c r="T23" s="125"/>
      <c r="U23" s="103"/>
      <c r="V23" s="103"/>
      <c r="W23" s="103"/>
      <c r="X23" s="103"/>
      <c r="Y23" s="103"/>
      <c r="Z23" s="103"/>
      <c r="AA23" s="103"/>
      <c r="AB23" s="105"/>
      <c r="AC23" s="103"/>
      <c r="AD23" s="108"/>
      <c r="AE23" s="109"/>
      <c r="AF23" s="119"/>
    </row>
    <row r="24" spans="1:32" ht="13.5" customHeight="1" x14ac:dyDescent="0.2">
      <c r="A24" s="110" t="s">
        <v>97</v>
      </c>
      <c r="B24" s="111"/>
      <c r="C24" s="112"/>
      <c r="D24" s="59"/>
      <c r="E24" s="60"/>
      <c r="F24" s="60"/>
      <c r="G24" s="60"/>
      <c r="H24" s="60"/>
      <c r="I24" s="60"/>
      <c r="J24" s="60"/>
      <c r="K24" s="60"/>
      <c r="L24" s="61"/>
      <c r="M24" s="60"/>
      <c r="N24" s="113"/>
      <c r="O24" s="114"/>
      <c r="P24" s="119"/>
      <c r="Q24" s="110" t="s">
        <v>97</v>
      </c>
      <c r="R24" s="111"/>
      <c r="S24" s="112"/>
      <c r="T24" s="72"/>
      <c r="U24" s="60"/>
      <c r="V24" s="60"/>
      <c r="W24" s="60"/>
      <c r="X24" s="60"/>
      <c r="Y24" s="60"/>
      <c r="Z24" s="60"/>
      <c r="AA24" s="60"/>
      <c r="AB24" s="61"/>
      <c r="AC24" s="60"/>
      <c r="AD24" s="113"/>
      <c r="AE24" s="114"/>
      <c r="AF24" s="119"/>
    </row>
    <row r="25" spans="1:32" ht="24" customHeight="1" x14ac:dyDescent="0.2">
      <c r="A25" s="115" t="s">
        <v>43</v>
      </c>
      <c r="B25" s="116"/>
      <c r="C25" s="117"/>
      <c r="D25" s="5"/>
      <c r="E25" s="2"/>
      <c r="F25" s="2"/>
      <c r="G25" s="2"/>
      <c r="H25" s="2"/>
      <c r="I25" s="2"/>
      <c r="J25" s="2"/>
      <c r="K25" s="2"/>
      <c r="L25" s="1"/>
      <c r="M25" s="2"/>
      <c r="N25" s="113"/>
      <c r="O25" s="114"/>
      <c r="P25" s="119"/>
      <c r="Q25" s="115" t="s">
        <v>43</v>
      </c>
      <c r="R25" s="116"/>
      <c r="S25" s="117"/>
      <c r="T25" s="5"/>
      <c r="U25" s="2"/>
      <c r="V25" s="2"/>
      <c r="W25" s="2"/>
      <c r="X25" s="2"/>
      <c r="Y25" s="2"/>
      <c r="Z25" s="2"/>
      <c r="AA25" s="2"/>
      <c r="AB25" s="71"/>
      <c r="AC25" s="2"/>
      <c r="AD25" s="113"/>
      <c r="AE25" s="114"/>
      <c r="AF25" s="119"/>
    </row>
    <row r="26" spans="1:32" ht="24" customHeight="1" thickBot="1" x14ac:dyDescent="0.25">
      <c r="A26" s="26" t="s">
        <v>44</v>
      </c>
      <c r="B26" s="83" t="s">
        <v>48</v>
      </c>
      <c r="C26" s="84"/>
      <c r="D26" s="27"/>
      <c r="E26" s="28"/>
      <c r="F26" s="28"/>
      <c r="G26" s="28"/>
      <c r="H26" s="28"/>
      <c r="I26" s="28"/>
      <c r="J26" s="28"/>
      <c r="K26" s="28"/>
      <c r="L26" s="29"/>
      <c r="M26" s="28"/>
      <c r="N26" s="85"/>
      <c r="O26" s="86"/>
      <c r="P26" s="119"/>
      <c r="Q26" s="26" t="s">
        <v>44</v>
      </c>
      <c r="R26" s="83" t="s">
        <v>48</v>
      </c>
      <c r="S26" s="84"/>
      <c r="T26" s="27"/>
      <c r="U26" s="28"/>
      <c r="V26" s="28"/>
      <c r="W26" s="28"/>
      <c r="X26" s="28"/>
      <c r="Y26" s="28"/>
      <c r="Z26" s="28"/>
      <c r="AA26" s="28"/>
      <c r="AB26" s="29"/>
      <c r="AC26" s="28"/>
      <c r="AD26" s="85"/>
      <c r="AE26" s="86"/>
      <c r="AF26" s="119"/>
    </row>
    <row r="27" spans="1:32" ht="24.75" customHeight="1" x14ac:dyDescent="0.2">
      <c r="A27" s="87" t="s">
        <v>47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34"/>
      <c r="Q27" s="87" t="s">
        <v>47</v>
      </c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34"/>
    </row>
    <row r="28" spans="1:32" ht="16.899999999999999" customHeight="1" thickBo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34"/>
    </row>
    <row r="29" spans="1:32" ht="24.75" customHeight="1" thickBot="1" x14ac:dyDescent="0.25">
      <c r="A29" s="90" t="s">
        <v>73</v>
      </c>
      <c r="B29" s="91"/>
      <c r="C29" s="94" t="s">
        <v>65</v>
      </c>
      <c r="D29" s="95"/>
      <c r="E29" s="96" t="s">
        <v>66</v>
      </c>
      <c r="F29" s="94"/>
      <c r="G29" s="95"/>
      <c r="H29" s="96" t="s">
        <v>69</v>
      </c>
      <c r="I29" s="94"/>
      <c r="J29" s="95"/>
      <c r="K29" s="96" t="s">
        <v>67</v>
      </c>
      <c r="L29" s="95"/>
      <c r="M29" s="96" t="s">
        <v>68</v>
      </c>
      <c r="N29" s="94"/>
      <c r="O29" s="97"/>
      <c r="Q29" s="90" t="s">
        <v>73</v>
      </c>
      <c r="R29" s="91"/>
      <c r="S29" s="94" t="s">
        <v>65</v>
      </c>
      <c r="T29" s="95"/>
      <c r="U29" s="96" t="s">
        <v>66</v>
      </c>
      <c r="V29" s="94"/>
      <c r="W29" s="95"/>
      <c r="X29" s="96" t="s">
        <v>69</v>
      </c>
      <c r="Y29" s="94"/>
      <c r="Z29" s="95"/>
      <c r="AA29" s="96" t="s">
        <v>67</v>
      </c>
      <c r="AB29" s="95"/>
      <c r="AC29" s="96" t="s">
        <v>68</v>
      </c>
      <c r="AD29" s="94"/>
      <c r="AE29" s="97"/>
    </row>
    <row r="30" spans="1:32" ht="24.75" customHeight="1" thickBot="1" x14ac:dyDescent="0.25">
      <c r="A30" s="92"/>
      <c r="B30" s="93"/>
      <c r="C30" s="98"/>
      <c r="D30" s="99"/>
      <c r="E30" s="100"/>
      <c r="F30" s="98"/>
      <c r="G30" s="99"/>
      <c r="H30" s="100"/>
      <c r="I30" s="98"/>
      <c r="J30" s="99"/>
      <c r="K30" s="100"/>
      <c r="L30" s="99"/>
      <c r="M30" s="100"/>
      <c r="N30" s="98"/>
      <c r="O30" s="101"/>
      <c r="Q30" s="92"/>
      <c r="R30" s="93"/>
      <c r="S30" s="98"/>
      <c r="T30" s="99"/>
      <c r="U30" s="100"/>
      <c r="V30" s="98"/>
      <c r="W30" s="99"/>
      <c r="X30" s="100"/>
      <c r="Y30" s="98"/>
      <c r="Z30" s="99"/>
      <c r="AA30" s="100"/>
      <c r="AB30" s="99"/>
      <c r="AC30" s="100"/>
      <c r="AD30" s="98"/>
      <c r="AE30" s="101"/>
    </row>
    <row r="31" spans="1:32" ht="18" customHeight="1" x14ac:dyDescent="0.2"/>
    <row r="32" spans="1:32" ht="24" customHeight="1" x14ac:dyDescent="0.2">
      <c r="A32" s="77" t="s">
        <v>46</v>
      </c>
      <c r="B32" s="77"/>
      <c r="C32" s="77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Q32" s="77" t="s">
        <v>46</v>
      </c>
      <c r="R32" s="77"/>
      <c r="S32" s="77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</row>
    <row r="33" spans="1:31" ht="24.75" customHeight="1" x14ac:dyDescent="0.2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</row>
    <row r="34" spans="1:31" ht="27" customHeight="1" x14ac:dyDescent="0.2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</row>
    <row r="35" spans="1:31" ht="27" customHeight="1" x14ac:dyDescent="0.2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</row>
    <row r="36" spans="1:31" ht="27" customHeight="1" x14ac:dyDescent="0.2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</row>
    <row r="37" spans="1:31" ht="29.25" customHeight="1" x14ac:dyDescent="0.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</row>
    <row r="38" spans="1:31" ht="21.6" customHeight="1" x14ac:dyDescent="0.2">
      <c r="A38" s="21"/>
      <c r="B38" s="21"/>
      <c r="C38" s="21"/>
      <c r="D38" s="21"/>
      <c r="E38" s="21"/>
      <c r="F38" s="21"/>
      <c r="G38" s="21"/>
      <c r="H38" s="4"/>
      <c r="I38" s="4"/>
      <c r="Q38" s="21"/>
      <c r="R38" s="21"/>
      <c r="S38" s="21"/>
      <c r="T38" s="21"/>
      <c r="U38" s="21"/>
      <c r="V38" s="21"/>
      <c r="W38" s="21"/>
      <c r="X38" s="4"/>
      <c r="Y38" s="4"/>
    </row>
    <row r="39" spans="1:31" ht="24" customHeight="1" x14ac:dyDescent="0.2">
      <c r="A39" s="81" t="s">
        <v>72</v>
      </c>
      <c r="B39" s="81"/>
      <c r="C39" s="81"/>
      <c r="D39" s="81"/>
      <c r="E39" s="81"/>
      <c r="F39" s="81"/>
      <c r="G39" s="81"/>
      <c r="H39" s="6"/>
      <c r="I39" s="82" t="s">
        <v>13</v>
      </c>
      <c r="J39" s="82"/>
      <c r="K39" s="82"/>
      <c r="L39" s="82"/>
      <c r="M39" s="82"/>
      <c r="N39" s="82"/>
      <c r="O39" s="82"/>
      <c r="Q39" s="81" t="s">
        <v>72</v>
      </c>
      <c r="R39" s="81"/>
      <c r="S39" s="81"/>
      <c r="T39" s="81"/>
      <c r="U39" s="81"/>
      <c r="V39" s="81"/>
      <c r="W39" s="81"/>
      <c r="X39" s="6"/>
      <c r="Y39" s="82" t="s">
        <v>13</v>
      </c>
      <c r="Z39" s="82"/>
      <c r="AA39" s="82"/>
      <c r="AB39" s="82"/>
      <c r="AC39" s="82"/>
      <c r="AD39" s="82"/>
      <c r="AE39" s="82"/>
    </row>
  </sheetData>
  <sheetProtection selectLockedCells="1" selectUnlockedCells="1"/>
  <mergeCells count="242">
    <mergeCell ref="K22:K23"/>
    <mergeCell ref="L22:L23"/>
    <mergeCell ref="M22:M23"/>
    <mergeCell ref="A22:A23"/>
    <mergeCell ref="B22:B23"/>
    <mergeCell ref="D22:D23"/>
    <mergeCell ref="E22:E23"/>
    <mergeCell ref="F22:F23"/>
    <mergeCell ref="G22:G23"/>
    <mergeCell ref="B20:B21"/>
    <mergeCell ref="D20:D21"/>
    <mergeCell ref="E20:E21"/>
    <mergeCell ref="F20:F21"/>
    <mergeCell ref="G20:G21"/>
    <mergeCell ref="H20:H21"/>
    <mergeCell ref="I20:I21"/>
    <mergeCell ref="J20:J21"/>
    <mergeCell ref="H22:H23"/>
    <mergeCell ref="I22:I23"/>
    <mergeCell ref="J22:J23"/>
    <mergeCell ref="P18:P26"/>
    <mergeCell ref="B16:B17"/>
    <mergeCell ref="A25:C25"/>
    <mergeCell ref="J16:J17"/>
    <mergeCell ref="K16:K17"/>
    <mergeCell ref="L16:L17"/>
    <mergeCell ref="M16:M17"/>
    <mergeCell ref="H16:H17"/>
    <mergeCell ref="E18:E19"/>
    <mergeCell ref="D18:D19"/>
    <mergeCell ref="F18:F19"/>
    <mergeCell ref="B18:B19"/>
    <mergeCell ref="N18:O19"/>
    <mergeCell ref="N25:O25"/>
    <mergeCell ref="N26:O26"/>
    <mergeCell ref="M18:M19"/>
    <mergeCell ref="A24:C24"/>
    <mergeCell ref="N24:O24"/>
    <mergeCell ref="K20:K21"/>
    <mergeCell ref="L20:L21"/>
    <mergeCell ref="M20:M21"/>
    <mergeCell ref="N20:O21"/>
    <mergeCell ref="N22:O23"/>
    <mergeCell ref="A20:A21"/>
    <mergeCell ref="D1:O2"/>
    <mergeCell ref="D16:D17"/>
    <mergeCell ref="C9:G9"/>
    <mergeCell ref="I16:I17"/>
    <mergeCell ref="L18:L19"/>
    <mergeCell ref="M9:N9"/>
    <mergeCell ref="N11:O13"/>
    <mergeCell ref="A16:A17"/>
    <mergeCell ref="K5:K6"/>
    <mergeCell ref="F16:F17"/>
    <mergeCell ref="G16:G17"/>
    <mergeCell ref="H8:J8"/>
    <mergeCell ref="C7:G7"/>
    <mergeCell ref="A1:C6"/>
    <mergeCell ref="A7:B7"/>
    <mergeCell ref="D3:O4"/>
    <mergeCell ref="D5:G6"/>
    <mergeCell ref="B14:B15"/>
    <mergeCell ref="D14:D15"/>
    <mergeCell ref="A9:B9"/>
    <mergeCell ref="N14:O15"/>
    <mergeCell ref="J5:J6"/>
    <mergeCell ref="H9:J9"/>
    <mergeCell ref="L5:O6"/>
    <mergeCell ref="H5:I6"/>
    <mergeCell ref="K7:O7"/>
    <mergeCell ref="H7:J7"/>
    <mergeCell ref="A14:A15"/>
    <mergeCell ref="C8:G8"/>
    <mergeCell ref="D11:M12"/>
    <mergeCell ref="M14:M15"/>
    <mergeCell ref="H14:H15"/>
    <mergeCell ref="A10:G10"/>
    <mergeCell ref="H10:O10"/>
    <mergeCell ref="A11:A13"/>
    <mergeCell ref="C11:C13"/>
    <mergeCell ref="B11:B13"/>
    <mergeCell ref="E14:E15"/>
    <mergeCell ref="N8:O8"/>
    <mergeCell ref="K8:M8"/>
    <mergeCell ref="A8:B8"/>
    <mergeCell ref="I39:O39"/>
    <mergeCell ref="A39:G39"/>
    <mergeCell ref="I14:I15"/>
    <mergeCell ref="J14:J15"/>
    <mergeCell ref="K14:K15"/>
    <mergeCell ref="F14:F15"/>
    <mergeCell ref="G14:G15"/>
    <mergeCell ref="G18:G19"/>
    <mergeCell ref="L14:L15"/>
    <mergeCell ref="I18:I19"/>
    <mergeCell ref="K18:K19"/>
    <mergeCell ref="H18:H19"/>
    <mergeCell ref="H29:J29"/>
    <mergeCell ref="J18:J19"/>
    <mergeCell ref="N16:O17"/>
    <mergeCell ref="A29:B30"/>
    <mergeCell ref="C29:D29"/>
    <mergeCell ref="E16:E17"/>
    <mergeCell ref="E29:G29"/>
    <mergeCell ref="B26:C26"/>
    <mergeCell ref="K30:L30"/>
    <mergeCell ref="K29:L29"/>
    <mergeCell ref="A32:C32"/>
    <mergeCell ref="A18:A19"/>
    <mergeCell ref="A27:O27"/>
    <mergeCell ref="M30:O30"/>
    <mergeCell ref="A37:O37"/>
    <mergeCell ref="A36:O36"/>
    <mergeCell ref="A34:O34"/>
    <mergeCell ref="A35:O35"/>
    <mergeCell ref="D32:O32"/>
    <mergeCell ref="A33:O33"/>
    <mergeCell ref="C30:D30"/>
    <mergeCell ref="E30:G30"/>
    <mergeCell ref="H30:J30"/>
    <mergeCell ref="M29:O29"/>
    <mergeCell ref="Q1:S6"/>
    <mergeCell ref="T1:AE2"/>
    <mergeCell ref="T3:AE4"/>
    <mergeCell ref="T5:W6"/>
    <mergeCell ref="X5:Y6"/>
    <mergeCell ref="Z5:Z6"/>
    <mergeCell ref="AA5:AA6"/>
    <mergeCell ref="AB5:AE6"/>
    <mergeCell ref="Q7:R7"/>
    <mergeCell ref="S7:W7"/>
    <mergeCell ref="X7:Z7"/>
    <mergeCell ref="AA7:AE7"/>
    <mergeCell ref="Q10:W10"/>
    <mergeCell ref="X10:AE10"/>
    <mergeCell ref="Q11:Q13"/>
    <mergeCell ref="R11:R13"/>
    <mergeCell ref="S11:S13"/>
    <mergeCell ref="T11:AC12"/>
    <mergeCell ref="AD11:AE13"/>
    <mergeCell ref="Q14:Q15"/>
    <mergeCell ref="R14:R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E15"/>
    <mergeCell ref="Q8:R8"/>
    <mergeCell ref="S8:W8"/>
    <mergeCell ref="X8:Z8"/>
    <mergeCell ref="AA8:AC8"/>
    <mergeCell ref="AD8:AE8"/>
    <mergeCell ref="Q9:R9"/>
    <mergeCell ref="S9:W9"/>
    <mergeCell ref="X9:Z9"/>
    <mergeCell ref="AC9:AD9"/>
    <mergeCell ref="AC16:AC17"/>
    <mergeCell ref="AD16:AE17"/>
    <mergeCell ref="AA16:AA17"/>
    <mergeCell ref="AB16:AB17"/>
    <mergeCell ref="AA18:AA19"/>
    <mergeCell ref="AB18:AB19"/>
    <mergeCell ref="AC18:AC19"/>
    <mergeCell ref="AD18:AE19"/>
    <mergeCell ref="Q16:Q17"/>
    <mergeCell ref="R16:R17"/>
    <mergeCell ref="T16:T17"/>
    <mergeCell ref="U16:U17"/>
    <mergeCell ref="V16:V17"/>
    <mergeCell ref="W16:W17"/>
    <mergeCell ref="X16:X17"/>
    <mergeCell ref="Y16:Y17"/>
    <mergeCell ref="Z16:Z17"/>
    <mergeCell ref="Q18:Q19"/>
    <mergeCell ref="R18:R19"/>
    <mergeCell ref="T18:T19"/>
    <mergeCell ref="U18:U19"/>
    <mergeCell ref="V18:V19"/>
    <mergeCell ref="W18:W19"/>
    <mergeCell ref="X18:X19"/>
    <mergeCell ref="Y18:Y19"/>
    <mergeCell ref="Z18:Z19"/>
    <mergeCell ref="AF18:AF26"/>
    <mergeCell ref="Q20:Q21"/>
    <mergeCell ref="R20:R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E21"/>
    <mergeCell ref="Q22:Q23"/>
    <mergeCell ref="R22:R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E23"/>
    <mergeCell ref="Q24:S24"/>
    <mergeCell ref="AD24:AE24"/>
    <mergeCell ref="Q25:S25"/>
    <mergeCell ref="AD25:AE25"/>
    <mergeCell ref="R26:S26"/>
    <mergeCell ref="AD26:AE26"/>
    <mergeCell ref="Q27:AE27"/>
    <mergeCell ref="Q29:R30"/>
    <mergeCell ref="S29:T29"/>
    <mergeCell ref="U29:W29"/>
    <mergeCell ref="X29:Z29"/>
    <mergeCell ref="AA29:AB29"/>
    <mergeCell ref="AC29:AE29"/>
    <mergeCell ref="S30:T30"/>
    <mergeCell ref="U30:W30"/>
    <mergeCell ref="X30:Z30"/>
    <mergeCell ref="AA30:AB30"/>
    <mergeCell ref="AC30:AE30"/>
    <mergeCell ref="Q32:S32"/>
    <mergeCell ref="T32:AE32"/>
    <mergeCell ref="Q33:AE33"/>
    <mergeCell ref="Q34:AE34"/>
    <mergeCell ref="Q35:AE35"/>
    <mergeCell ref="Q36:AE36"/>
    <mergeCell ref="Q37:AE37"/>
    <mergeCell ref="Q39:W39"/>
    <mergeCell ref="Y39:AE39"/>
  </mergeCells>
  <phoneticPr fontId="1" type="noConversion"/>
  <printOptions horizontalCentered="1" verticalCentered="1"/>
  <pageMargins left="0.2" right="0.19685039370078741" top="0.56000000000000005" bottom="0.19685039370078741" header="0.23622047244094491" footer="0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Drop Down 18">
              <controlPr locked="0" defaultSize="0" autoLine="0" autoPict="0">
                <anchor moveWithCells="1">
                  <from>
                    <xdr:col>10</xdr:col>
                    <xdr:colOff>57150</xdr:colOff>
                    <xdr:row>6</xdr:row>
                    <xdr:rowOff>47625</xdr:rowOff>
                  </from>
                  <to>
                    <xdr:col>13</xdr:col>
                    <xdr:colOff>495300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" name="Drop Down 19">
              <controlPr locked="0" defaultSize="0" autoLine="0" autoPict="0">
                <anchor moveWithCells="1">
                  <from>
                    <xdr:col>26</xdr:col>
                    <xdr:colOff>57150</xdr:colOff>
                    <xdr:row>6</xdr:row>
                    <xdr:rowOff>47625</xdr:rowOff>
                  </from>
                  <to>
                    <xdr:col>29</xdr:col>
                    <xdr:colOff>495300</xdr:colOff>
                    <xdr:row>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O26"/>
  <sheetViews>
    <sheetView zoomScaleNormal="100" workbookViewId="0">
      <selection activeCell="B13" sqref="B13:O13"/>
    </sheetView>
  </sheetViews>
  <sheetFormatPr baseColWidth="10" defaultRowHeight="12.75" x14ac:dyDescent="0.2"/>
  <cols>
    <col min="2" max="2" width="9.5703125" customWidth="1"/>
    <col min="3" max="3" width="5.28515625" customWidth="1"/>
    <col min="7" max="7" width="10.28515625" customWidth="1"/>
    <col min="8" max="8" width="11.42578125" hidden="1" customWidth="1"/>
    <col min="9" max="9" width="3.5703125" customWidth="1"/>
    <col min="10" max="10" width="4.7109375" customWidth="1"/>
    <col min="11" max="11" width="0.140625" hidden="1" customWidth="1"/>
    <col min="12" max="13" width="11.42578125" hidden="1" customWidth="1"/>
    <col min="14" max="14" width="11.140625" hidden="1" customWidth="1"/>
    <col min="15" max="15" width="7.7109375" customWidth="1"/>
  </cols>
  <sheetData>
    <row r="1" spans="1:15" x14ac:dyDescent="0.2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x14ac:dyDescent="0.2">
      <c r="A2" s="208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x14ac:dyDescent="0.2">
      <c r="A3" s="106"/>
      <c r="B3" s="213"/>
      <c r="C3" s="107"/>
      <c r="D3" s="218" t="s">
        <v>23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/>
    </row>
    <row r="4" spans="1:15" x14ac:dyDescent="0.2">
      <c r="A4" s="214"/>
      <c r="B4" s="215"/>
      <c r="C4" s="216"/>
      <c r="D4" s="221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x14ac:dyDescent="0.2">
      <c r="A5" s="108"/>
      <c r="B5" s="217"/>
      <c r="C5" s="109"/>
      <c r="D5" s="224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ht="18" x14ac:dyDescent="0.25">
      <c r="A6" s="203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5"/>
    </row>
    <row r="7" spans="1:15" ht="30" customHeight="1" x14ac:dyDescent="0.2">
      <c r="A7" s="8" t="s">
        <v>15</v>
      </c>
      <c r="B7" s="201" t="s">
        <v>52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2"/>
    </row>
    <row r="8" spans="1:15" ht="30" customHeight="1" x14ac:dyDescent="0.2">
      <c r="A8" s="8" t="s">
        <v>16</v>
      </c>
      <c r="B8" s="201" t="s">
        <v>18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2"/>
    </row>
    <row r="9" spans="1:15" ht="30" customHeight="1" x14ac:dyDescent="0.2">
      <c r="A9" s="9" t="s">
        <v>40</v>
      </c>
      <c r="B9" s="144" t="s">
        <v>38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</row>
    <row r="10" spans="1:15" ht="30" customHeight="1" x14ac:dyDescent="0.2">
      <c r="A10" s="9" t="s">
        <v>41</v>
      </c>
      <c r="B10" s="144" t="s">
        <v>39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5"/>
    </row>
    <row r="11" spans="1:15" ht="30" customHeight="1" x14ac:dyDescent="0.2">
      <c r="A11" s="8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2"/>
    </row>
    <row r="12" spans="1:15" ht="30" customHeight="1" x14ac:dyDescent="0.2">
      <c r="A12" s="8" t="s">
        <v>17</v>
      </c>
      <c r="B12" s="199" t="s">
        <v>19</v>
      </c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200"/>
    </row>
    <row r="13" spans="1:15" ht="30" customHeight="1" x14ac:dyDescent="0.2"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</row>
    <row r="14" spans="1:15" ht="30" customHeight="1" x14ac:dyDescent="0.2">
      <c r="A14" s="9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5"/>
    </row>
    <row r="15" spans="1:15" ht="30" customHeight="1" x14ac:dyDescent="0.2">
      <c r="A15" s="8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5"/>
    </row>
    <row r="16" spans="1:15" ht="30" customHeight="1" x14ac:dyDescent="0.2">
      <c r="A16" s="9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5"/>
    </row>
    <row r="17" spans="1:15" ht="30" customHeight="1" x14ac:dyDescent="0.2">
      <c r="A17" s="9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5"/>
    </row>
    <row r="18" spans="1:15" ht="30" customHeight="1" x14ac:dyDescent="0.2">
      <c r="A18" s="9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2"/>
    </row>
    <row r="19" spans="1:15" ht="30" customHeight="1" x14ac:dyDescent="0.2">
      <c r="A19" s="8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2"/>
    </row>
    <row r="20" spans="1:15" ht="30" customHeight="1" x14ac:dyDescent="0.2">
      <c r="A20" s="10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2"/>
    </row>
    <row r="21" spans="1:15" ht="30" customHeight="1" x14ac:dyDescent="0.2">
      <c r="A21" s="10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2"/>
    </row>
    <row r="22" spans="1:15" ht="30" customHeight="1" x14ac:dyDescent="0.2">
      <c r="A22" s="7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7"/>
    </row>
    <row r="23" spans="1:15" ht="30" customHeight="1" x14ac:dyDescent="0.2">
      <c r="A23" s="10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2"/>
    </row>
    <row r="24" spans="1:15" ht="30" customHeight="1" x14ac:dyDescent="0.2">
      <c r="A24" s="7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7"/>
    </row>
    <row r="25" spans="1:15" ht="30" customHeight="1" x14ac:dyDescent="0.2">
      <c r="A25" s="11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114"/>
    </row>
    <row r="26" spans="1:15" ht="30" customHeight="1" x14ac:dyDescent="0.2">
      <c r="A26" s="11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114"/>
    </row>
  </sheetData>
  <mergeCells count="25">
    <mergeCell ref="B24:O24"/>
    <mergeCell ref="B25:O25"/>
    <mergeCell ref="B26:O26"/>
    <mergeCell ref="A2:O2"/>
    <mergeCell ref="B20:O20"/>
    <mergeCell ref="B21:O21"/>
    <mergeCell ref="B22:O22"/>
    <mergeCell ref="B23:O23"/>
    <mergeCell ref="B9:O9"/>
    <mergeCell ref="B18:O18"/>
    <mergeCell ref="B19:O19"/>
    <mergeCell ref="A3:C5"/>
    <mergeCell ref="D3:O5"/>
    <mergeCell ref="B7:O7"/>
    <mergeCell ref="B8:O8"/>
    <mergeCell ref="B13:O13"/>
    <mergeCell ref="A1:O1"/>
    <mergeCell ref="B15:O15"/>
    <mergeCell ref="B17:O17"/>
    <mergeCell ref="B12:O12"/>
    <mergeCell ref="B14:O14"/>
    <mergeCell ref="B11:O11"/>
    <mergeCell ref="A6:O6"/>
    <mergeCell ref="B10:O10"/>
    <mergeCell ref="B16:O16"/>
  </mergeCells>
  <phoneticPr fontId="1" type="noConversion"/>
  <pageMargins left="0.78740157480314965" right="0.78740157480314965" top="0.98425196850393704" bottom="0.98425196850393704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Q650"/>
  <sheetViews>
    <sheetView tabSelected="1" zoomScaleNormal="100" workbookViewId="0">
      <pane xSplit="1" topLeftCell="B1" activePane="topRight" state="frozen"/>
      <selection pane="topRight" activeCell="J30" sqref="J30"/>
    </sheetView>
  </sheetViews>
  <sheetFormatPr baseColWidth="10" defaultRowHeight="12.75" x14ac:dyDescent="0.2"/>
  <cols>
    <col min="1" max="1" width="7.85546875" style="45" bestFit="1" customWidth="1"/>
    <col min="2" max="2" width="29.140625" style="42" bestFit="1" customWidth="1"/>
    <col min="3" max="3" width="16.5703125" style="57" customWidth="1"/>
    <col min="4" max="17" width="9.7109375" style="57" customWidth="1"/>
    <col min="18" max="18" width="24.85546875" customWidth="1"/>
    <col min="19" max="19" width="6.140625" customWidth="1"/>
    <col min="20" max="20" width="17.85546875" bestFit="1" customWidth="1"/>
    <col min="21" max="48" width="5.7109375" customWidth="1"/>
  </cols>
  <sheetData>
    <row r="1" spans="1:43" x14ac:dyDescent="0.2">
      <c r="A1" s="43" t="s">
        <v>25</v>
      </c>
      <c r="B1" s="38">
        <v>66</v>
      </c>
      <c r="C1" s="49">
        <v>3</v>
      </c>
      <c r="D1" s="50">
        <v>4</v>
      </c>
      <c r="E1" s="50">
        <v>5</v>
      </c>
      <c r="F1" s="51">
        <v>6</v>
      </c>
      <c r="G1" s="51">
        <v>7</v>
      </c>
      <c r="H1" s="51">
        <v>8</v>
      </c>
      <c r="I1" s="51">
        <v>9</v>
      </c>
      <c r="J1" s="51">
        <v>10</v>
      </c>
      <c r="K1" s="51">
        <v>11</v>
      </c>
      <c r="L1" s="58">
        <v>12</v>
      </c>
      <c r="M1" s="58">
        <v>13</v>
      </c>
      <c r="N1" s="58">
        <v>14</v>
      </c>
      <c r="O1" s="58">
        <v>15</v>
      </c>
      <c r="P1" s="58">
        <v>16</v>
      </c>
      <c r="Q1" s="58">
        <v>17</v>
      </c>
      <c r="R1" s="58">
        <v>18</v>
      </c>
      <c r="S1" s="58">
        <v>19</v>
      </c>
    </row>
    <row r="2" spans="1:43" s="12" customFormat="1" ht="21.75" customHeight="1" x14ac:dyDescent="0.25">
      <c r="A2" s="44" t="s">
        <v>147</v>
      </c>
      <c r="B2" s="39" t="s">
        <v>24</v>
      </c>
      <c r="C2" s="62" t="s">
        <v>26</v>
      </c>
      <c r="D2" s="63" t="s">
        <v>27</v>
      </c>
      <c r="E2" s="63" t="s">
        <v>28</v>
      </c>
      <c r="F2" s="64" t="s">
        <v>32</v>
      </c>
      <c r="G2" s="65" t="s">
        <v>34</v>
      </c>
      <c r="H2" s="65" t="s">
        <v>35</v>
      </c>
      <c r="I2" s="66" t="s">
        <v>33</v>
      </c>
      <c r="J2" s="65" t="s">
        <v>53</v>
      </c>
      <c r="K2" s="65" t="s">
        <v>54</v>
      </c>
      <c r="L2" s="67" t="s">
        <v>90</v>
      </c>
      <c r="M2" s="65" t="s">
        <v>91</v>
      </c>
      <c r="N2" s="65" t="s">
        <v>92</v>
      </c>
      <c r="O2" s="67" t="s">
        <v>93</v>
      </c>
      <c r="P2" s="65" t="s">
        <v>94</v>
      </c>
      <c r="Q2" s="65" t="s">
        <v>95</v>
      </c>
      <c r="R2" s="19" t="s">
        <v>84</v>
      </c>
      <c r="S2" s="19" t="s">
        <v>30</v>
      </c>
      <c r="T2" s="19" t="s">
        <v>146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1:43" ht="15.75" x14ac:dyDescent="0.25">
      <c r="A3" s="45">
        <v>1</v>
      </c>
      <c r="B3" s="40" t="s">
        <v>80</v>
      </c>
      <c r="C3" s="46">
        <v>57.15</v>
      </c>
      <c r="D3" s="47">
        <v>53</v>
      </c>
      <c r="E3" s="52">
        <v>15</v>
      </c>
      <c r="F3" s="52">
        <v>66.674999999999997</v>
      </c>
      <c r="G3" s="52" t="s">
        <v>78</v>
      </c>
      <c r="H3" s="52" t="s">
        <v>78</v>
      </c>
      <c r="I3" s="52">
        <v>25.4</v>
      </c>
      <c r="J3" s="52">
        <v>0</v>
      </c>
      <c r="K3" s="52">
        <v>-250</v>
      </c>
      <c r="L3" s="52" t="s">
        <v>78</v>
      </c>
      <c r="M3" s="52" t="s">
        <v>78</v>
      </c>
      <c r="N3" s="52" t="s">
        <v>78</v>
      </c>
      <c r="O3" s="52" t="s">
        <v>78</v>
      </c>
      <c r="P3" s="52" t="s">
        <v>78</v>
      </c>
      <c r="Q3" s="52" t="s">
        <v>78</v>
      </c>
      <c r="R3" s="37" t="s">
        <v>81</v>
      </c>
      <c r="S3" s="22" t="s">
        <v>85</v>
      </c>
      <c r="W3" s="3"/>
      <c r="X3" s="3"/>
      <c r="Y3" s="3"/>
      <c r="Z3" s="30"/>
      <c r="AA3" s="31"/>
      <c r="AB3" s="31"/>
      <c r="AC3" s="3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15.75" x14ac:dyDescent="0.25">
      <c r="A4" s="45">
        <v>2</v>
      </c>
      <c r="B4" s="40" t="s">
        <v>103</v>
      </c>
      <c r="C4" s="53">
        <v>57.15</v>
      </c>
      <c r="D4" s="54">
        <v>53</v>
      </c>
      <c r="E4" s="54">
        <v>15</v>
      </c>
      <c r="F4" s="54">
        <v>66.674999999999997</v>
      </c>
      <c r="G4" s="52" t="s">
        <v>78</v>
      </c>
      <c r="H4" s="52" t="s">
        <v>78</v>
      </c>
      <c r="I4" s="53">
        <v>25.4</v>
      </c>
      <c r="J4" s="53">
        <v>0</v>
      </c>
      <c r="K4" s="53">
        <v>-250</v>
      </c>
      <c r="L4" s="52" t="s">
        <v>78</v>
      </c>
      <c r="M4" s="52" t="s">
        <v>78</v>
      </c>
      <c r="N4" s="52" t="s">
        <v>78</v>
      </c>
      <c r="O4" s="52" t="s">
        <v>78</v>
      </c>
      <c r="P4" s="52" t="s">
        <v>78</v>
      </c>
      <c r="Q4" s="52" t="s">
        <v>78</v>
      </c>
      <c r="R4" s="37">
        <v>44369</v>
      </c>
      <c r="S4" s="22" t="s">
        <v>126</v>
      </c>
      <c r="W4" s="3"/>
      <c r="X4" s="3"/>
      <c r="Y4" s="3"/>
      <c r="Z4" s="32"/>
      <c r="AA4" s="33"/>
      <c r="AB4" s="33"/>
      <c r="AC4" s="3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2">
      <c r="A5" s="45">
        <v>3</v>
      </c>
      <c r="B5" s="40" t="s">
        <v>71</v>
      </c>
      <c r="C5" s="46">
        <v>25.4</v>
      </c>
      <c r="D5" s="47">
        <v>38</v>
      </c>
      <c r="E5" s="52">
        <v>13</v>
      </c>
      <c r="F5" s="52">
        <v>33.338000000000001</v>
      </c>
      <c r="G5" s="52" t="s">
        <v>78</v>
      </c>
      <c r="H5" s="52" t="s">
        <v>78</v>
      </c>
      <c r="I5" s="52">
        <v>19.05</v>
      </c>
      <c r="J5" s="52">
        <v>0</v>
      </c>
      <c r="K5" s="52">
        <v>-200</v>
      </c>
      <c r="L5" s="52" t="s">
        <v>78</v>
      </c>
      <c r="M5" s="52" t="s">
        <v>78</v>
      </c>
      <c r="N5" s="52" t="s">
        <v>78</v>
      </c>
      <c r="O5" s="52" t="s">
        <v>78</v>
      </c>
      <c r="P5" s="52" t="s">
        <v>78</v>
      </c>
      <c r="Q5" s="52" t="s">
        <v>78</v>
      </c>
      <c r="R5" s="37" t="s">
        <v>81</v>
      </c>
      <c r="S5" s="22" t="s">
        <v>85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14.25" customHeight="1" x14ac:dyDescent="0.2">
      <c r="A6" s="45">
        <v>4</v>
      </c>
      <c r="B6" s="40" t="s">
        <v>128</v>
      </c>
      <c r="C6" s="46">
        <v>25.4</v>
      </c>
      <c r="D6" s="47">
        <v>38</v>
      </c>
      <c r="E6" s="52">
        <v>13</v>
      </c>
      <c r="F6" s="52">
        <v>33.338000000000001</v>
      </c>
      <c r="G6" s="52" t="s">
        <v>78</v>
      </c>
      <c r="H6" s="52" t="s">
        <v>78</v>
      </c>
      <c r="I6" s="52">
        <v>25.4</v>
      </c>
      <c r="J6" s="52">
        <v>0</v>
      </c>
      <c r="K6" s="52">
        <v>-200</v>
      </c>
      <c r="L6" s="52" t="s">
        <v>78</v>
      </c>
      <c r="M6" s="52" t="s">
        <v>78</v>
      </c>
      <c r="N6" s="52" t="s">
        <v>78</v>
      </c>
      <c r="O6" s="52" t="s">
        <v>78</v>
      </c>
      <c r="P6" s="52" t="s">
        <v>78</v>
      </c>
      <c r="Q6" s="52" t="s">
        <v>78</v>
      </c>
      <c r="R6" s="37">
        <v>44406</v>
      </c>
      <c r="S6" s="22" t="s">
        <v>32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15.75" customHeight="1" x14ac:dyDescent="0.2">
      <c r="A7" s="45">
        <v>5</v>
      </c>
      <c r="B7" s="40" t="s">
        <v>129</v>
      </c>
      <c r="C7" s="53">
        <v>31.75</v>
      </c>
      <c r="D7" s="53">
        <v>38</v>
      </c>
      <c r="E7" s="53">
        <v>13</v>
      </c>
      <c r="F7" s="53">
        <v>41.274999999999999</v>
      </c>
      <c r="G7" s="52" t="s">
        <v>78</v>
      </c>
      <c r="H7" s="52" t="s">
        <v>78</v>
      </c>
      <c r="I7" s="53">
        <v>31.75</v>
      </c>
      <c r="J7" s="53">
        <v>0</v>
      </c>
      <c r="K7" s="53">
        <v>-250</v>
      </c>
      <c r="L7" s="52" t="s">
        <v>78</v>
      </c>
      <c r="M7" s="52" t="s">
        <v>78</v>
      </c>
      <c r="N7" s="52" t="s">
        <v>78</v>
      </c>
      <c r="O7" s="52" t="s">
        <v>78</v>
      </c>
      <c r="P7" s="52" t="s">
        <v>78</v>
      </c>
      <c r="Q7" s="52" t="s">
        <v>78</v>
      </c>
      <c r="R7" s="37">
        <v>44369</v>
      </c>
      <c r="S7" s="22" t="s">
        <v>117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15.75" customHeight="1" x14ac:dyDescent="0.2">
      <c r="A8" s="45">
        <v>6</v>
      </c>
      <c r="B8" s="40" t="s">
        <v>139</v>
      </c>
      <c r="C8" s="53">
        <v>25</v>
      </c>
      <c r="D8" s="52">
        <v>41</v>
      </c>
      <c r="E8" s="52">
        <v>20</v>
      </c>
      <c r="F8" s="53">
        <v>32</v>
      </c>
      <c r="G8" s="52" t="s">
        <v>78</v>
      </c>
      <c r="H8" s="52" t="s">
        <v>78</v>
      </c>
      <c r="I8" s="53">
        <v>26</v>
      </c>
      <c r="J8" s="52">
        <v>0</v>
      </c>
      <c r="K8" s="52">
        <v>250</v>
      </c>
      <c r="L8" s="52" t="s">
        <v>78</v>
      </c>
      <c r="M8" s="52" t="s">
        <v>78</v>
      </c>
      <c r="N8" s="52" t="s">
        <v>78</v>
      </c>
      <c r="O8" s="52" t="s">
        <v>78</v>
      </c>
      <c r="P8" s="52" t="s">
        <v>78</v>
      </c>
      <c r="Q8" s="52" t="s">
        <v>78</v>
      </c>
      <c r="R8" s="37">
        <v>45657</v>
      </c>
      <c r="S8" s="22" t="s">
        <v>90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x14ac:dyDescent="0.2">
      <c r="A9" s="45">
        <v>7</v>
      </c>
      <c r="B9" s="40" t="s">
        <v>55</v>
      </c>
      <c r="C9" s="53">
        <v>30</v>
      </c>
      <c r="D9" s="53">
        <v>41</v>
      </c>
      <c r="E9" s="53">
        <v>20</v>
      </c>
      <c r="F9" s="53">
        <v>37</v>
      </c>
      <c r="G9" s="52" t="s">
        <v>78</v>
      </c>
      <c r="H9" s="52" t="s">
        <v>78</v>
      </c>
      <c r="I9" s="53">
        <v>16</v>
      </c>
      <c r="J9" s="53">
        <v>0</v>
      </c>
      <c r="K9" s="53">
        <v>-200</v>
      </c>
      <c r="L9" s="52" t="s">
        <v>78</v>
      </c>
      <c r="M9" s="52" t="s">
        <v>78</v>
      </c>
      <c r="N9" s="52" t="s">
        <v>78</v>
      </c>
      <c r="O9" s="52" t="s">
        <v>78</v>
      </c>
      <c r="P9" s="52" t="s">
        <v>78</v>
      </c>
      <c r="Q9" s="52" t="s">
        <v>78</v>
      </c>
      <c r="R9" s="37">
        <v>42438</v>
      </c>
      <c r="S9" s="22" t="s">
        <v>86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2">
      <c r="A10" s="45">
        <v>8</v>
      </c>
      <c r="B10" s="40" t="s">
        <v>64</v>
      </c>
      <c r="C10" s="46">
        <v>30</v>
      </c>
      <c r="D10" s="47">
        <v>0</v>
      </c>
      <c r="E10" s="52">
        <v>-10</v>
      </c>
      <c r="F10" s="53">
        <v>47</v>
      </c>
      <c r="G10" s="53">
        <v>0</v>
      </c>
      <c r="H10" s="53">
        <v>-11</v>
      </c>
      <c r="I10" s="53">
        <v>17</v>
      </c>
      <c r="J10" s="53">
        <v>0</v>
      </c>
      <c r="K10" s="53">
        <v>-120</v>
      </c>
      <c r="L10" s="52" t="s">
        <v>78</v>
      </c>
      <c r="M10" s="52" t="s">
        <v>78</v>
      </c>
      <c r="N10" s="52" t="s">
        <v>78</v>
      </c>
      <c r="O10" s="52" t="s">
        <v>78</v>
      </c>
      <c r="P10" s="52" t="s">
        <v>78</v>
      </c>
      <c r="Q10" s="52" t="s">
        <v>78</v>
      </c>
      <c r="R10" s="37" t="s">
        <v>81</v>
      </c>
      <c r="S10" s="22" t="s">
        <v>85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x14ac:dyDescent="0.2">
      <c r="A11" s="45">
        <v>9</v>
      </c>
      <c r="B11" s="40" t="s">
        <v>60</v>
      </c>
      <c r="C11" s="53">
        <v>45</v>
      </c>
      <c r="D11" s="52" t="s">
        <v>78</v>
      </c>
      <c r="E11" s="52" t="s">
        <v>78</v>
      </c>
      <c r="F11" s="53">
        <v>75</v>
      </c>
      <c r="G11" s="52" t="s">
        <v>78</v>
      </c>
      <c r="H11" s="52" t="s">
        <v>78</v>
      </c>
      <c r="I11" s="53">
        <v>30</v>
      </c>
      <c r="J11" s="52" t="s">
        <v>78</v>
      </c>
      <c r="K11" s="52" t="s">
        <v>78</v>
      </c>
      <c r="L11" s="52" t="s">
        <v>78</v>
      </c>
      <c r="M11" s="52" t="s">
        <v>78</v>
      </c>
      <c r="N11" s="52" t="s">
        <v>78</v>
      </c>
      <c r="O11" s="52" t="s">
        <v>78</v>
      </c>
      <c r="P11" s="52" t="s">
        <v>78</v>
      </c>
      <c r="Q11" s="52" t="s">
        <v>78</v>
      </c>
      <c r="R11" s="37" t="s">
        <v>81</v>
      </c>
      <c r="S11" s="22" t="s">
        <v>85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45">
        <v>10</v>
      </c>
      <c r="B12" s="40" t="s">
        <v>62</v>
      </c>
      <c r="C12" s="53">
        <v>55</v>
      </c>
      <c r="D12" s="53">
        <v>0</v>
      </c>
      <c r="E12" s="53">
        <v>15</v>
      </c>
      <c r="F12" s="53">
        <v>90</v>
      </c>
      <c r="G12" s="53">
        <v>0</v>
      </c>
      <c r="H12" s="53">
        <v>-15</v>
      </c>
      <c r="I12" s="53">
        <v>35</v>
      </c>
      <c r="J12" s="53">
        <v>0</v>
      </c>
      <c r="K12" s="53">
        <v>-15</v>
      </c>
      <c r="L12" s="52" t="s">
        <v>78</v>
      </c>
      <c r="M12" s="52" t="s">
        <v>78</v>
      </c>
      <c r="N12" s="52" t="s">
        <v>78</v>
      </c>
      <c r="O12" s="52" t="s">
        <v>78</v>
      </c>
      <c r="P12" s="52" t="s">
        <v>78</v>
      </c>
      <c r="Q12" s="52" t="s">
        <v>78</v>
      </c>
      <c r="R12" s="37" t="s">
        <v>81</v>
      </c>
      <c r="S12" s="22" t="s">
        <v>85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x14ac:dyDescent="0.2">
      <c r="A13" s="45">
        <v>11</v>
      </c>
      <c r="B13" s="40" t="s">
        <v>109</v>
      </c>
      <c r="C13" s="53">
        <v>25</v>
      </c>
      <c r="D13" s="53">
        <v>33</v>
      </c>
      <c r="E13" s="53">
        <v>-20</v>
      </c>
      <c r="F13" s="53">
        <v>33</v>
      </c>
      <c r="G13" s="52">
        <v>0</v>
      </c>
      <c r="H13" s="52">
        <v>-11</v>
      </c>
      <c r="I13" s="53">
        <v>20</v>
      </c>
      <c r="J13" s="53">
        <v>0</v>
      </c>
      <c r="K13" s="53">
        <v>-120</v>
      </c>
      <c r="L13" s="52" t="s">
        <v>78</v>
      </c>
      <c r="M13" s="52" t="s">
        <v>78</v>
      </c>
      <c r="N13" s="52" t="s">
        <v>78</v>
      </c>
      <c r="O13" s="52" t="s">
        <v>78</v>
      </c>
      <c r="P13" s="52" t="s">
        <v>78</v>
      </c>
      <c r="Q13" s="52" t="s">
        <v>78</v>
      </c>
      <c r="R13" s="37">
        <v>43369</v>
      </c>
      <c r="S13" s="22" t="s">
        <v>90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x14ac:dyDescent="0.2">
      <c r="A14" s="45">
        <v>12</v>
      </c>
      <c r="B14" s="40" t="s">
        <v>106</v>
      </c>
      <c r="C14" s="46">
        <v>28</v>
      </c>
      <c r="D14" s="47">
        <v>33</v>
      </c>
      <c r="E14" s="52">
        <v>-20</v>
      </c>
      <c r="F14" s="52">
        <v>37</v>
      </c>
      <c r="G14" s="52">
        <v>0</v>
      </c>
      <c r="H14" s="52">
        <v>-11</v>
      </c>
      <c r="I14" s="52">
        <v>30</v>
      </c>
      <c r="J14" s="52">
        <v>0</v>
      </c>
      <c r="K14" s="52">
        <v>-120</v>
      </c>
      <c r="L14" s="52" t="s">
        <v>78</v>
      </c>
      <c r="M14" s="52" t="s">
        <v>78</v>
      </c>
      <c r="N14" s="52" t="s">
        <v>78</v>
      </c>
      <c r="O14" s="52" t="s">
        <v>78</v>
      </c>
      <c r="P14" s="52" t="s">
        <v>78</v>
      </c>
      <c r="Q14" s="52" t="s">
        <v>78</v>
      </c>
      <c r="R14" s="37">
        <v>41831</v>
      </c>
      <c r="S14" s="22" t="s">
        <v>86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45">
        <v>13</v>
      </c>
      <c r="B15" s="40" t="s">
        <v>75</v>
      </c>
      <c r="C15" s="46">
        <v>29</v>
      </c>
      <c r="D15" s="47">
        <v>33</v>
      </c>
      <c r="E15" s="52">
        <v>-20</v>
      </c>
      <c r="F15" s="52">
        <v>38</v>
      </c>
      <c r="G15" s="52">
        <v>0</v>
      </c>
      <c r="H15" s="52">
        <v>-11</v>
      </c>
      <c r="I15" s="52">
        <v>20</v>
      </c>
      <c r="J15" s="52">
        <v>0</v>
      </c>
      <c r="K15" s="52">
        <v>-120</v>
      </c>
      <c r="L15" s="52" t="s">
        <v>78</v>
      </c>
      <c r="M15" s="52" t="s">
        <v>78</v>
      </c>
      <c r="N15" s="52" t="s">
        <v>78</v>
      </c>
      <c r="O15" s="52" t="s">
        <v>78</v>
      </c>
      <c r="P15" s="52" t="s">
        <v>78</v>
      </c>
      <c r="Q15" s="52" t="s">
        <v>78</v>
      </c>
      <c r="R15" s="37" t="s">
        <v>81</v>
      </c>
      <c r="S15" s="22" t="s">
        <v>85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45">
        <v>14</v>
      </c>
      <c r="B16" s="40" t="s">
        <v>87</v>
      </c>
      <c r="C16" s="46">
        <v>32</v>
      </c>
      <c r="D16" s="47">
        <v>41</v>
      </c>
      <c r="E16" s="52">
        <v>25</v>
      </c>
      <c r="F16" s="52">
        <v>42</v>
      </c>
      <c r="G16" s="52">
        <v>0</v>
      </c>
      <c r="H16" s="52">
        <v>-11</v>
      </c>
      <c r="I16" s="52">
        <v>20</v>
      </c>
      <c r="J16" s="52">
        <v>0</v>
      </c>
      <c r="K16" s="52">
        <v>-120</v>
      </c>
      <c r="L16" s="52" t="s">
        <v>78</v>
      </c>
      <c r="M16" s="52" t="s">
        <v>78</v>
      </c>
      <c r="N16" s="52" t="s">
        <v>78</v>
      </c>
      <c r="O16" s="52" t="s">
        <v>78</v>
      </c>
      <c r="P16" s="52" t="s">
        <v>78</v>
      </c>
      <c r="Q16" s="52" t="s">
        <v>78</v>
      </c>
      <c r="R16" s="37">
        <v>42576</v>
      </c>
      <c r="S16" s="22">
        <v>0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45">
        <v>15</v>
      </c>
      <c r="B17" s="40" t="s">
        <v>88</v>
      </c>
      <c r="C17" s="46">
        <v>32</v>
      </c>
      <c r="D17" s="47">
        <v>41</v>
      </c>
      <c r="E17" s="52">
        <v>25</v>
      </c>
      <c r="F17" s="52">
        <v>42</v>
      </c>
      <c r="G17" s="52">
        <v>0</v>
      </c>
      <c r="H17" s="52">
        <v>-11</v>
      </c>
      <c r="I17" s="52">
        <v>30</v>
      </c>
      <c r="J17" s="52">
        <v>0</v>
      </c>
      <c r="K17" s="52">
        <v>-120</v>
      </c>
      <c r="L17" s="52" t="s">
        <v>78</v>
      </c>
      <c r="M17" s="52" t="s">
        <v>78</v>
      </c>
      <c r="N17" s="52" t="s">
        <v>78</v>
      </c>
      <c r="O17" s="52" t="s">
        <v>78</v>
      </c>
      <c r="P17" s="52" t="s">
        <v>78</v>
      </c>
      <c r="Q17" s="52" t="s">
        <v>78</v>
      </c>
      <c r="R17" s="37">
        <v>42576</v>
      </c>
      <c r="S17" s="22">
        <v>0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45">
        <v>16</v>
      </c>
      <c r="B18" s="40" t="s">
        <v>70</v>
      </c>
      <c r="C18" s="46">
        <v>38</v>
      </c>
      <c r="D18" s="47">
        <v>41</v>
      </c>
      <c r="E18" s="52">
        <v>25</v>
      </c>
      <c r="F18" s="53">
        <v>48</v>
      </c>
      <c r="G18" s="53">
        <v>0</v>
      </c>
      <c r="H18" s="53">
        <v>-11</v>
      </c>
      <c r="I18" s="53">
        <v>20</v>
      </c>
      <c r="J18" s="52">
        <v>0</v>
      </c>
      <c r="K18" s="52">
        <v>-120</v>
      </c>
      <c r="L18" s="52" t="s">
        <v>78</v>
      </c>
      <c r="M18" s="52" t="s">
        <v>78</v>
      </c>
      <c r="N18" s="52" t="s">
        <v>78</v>
      </c>
      <c r="O18" s="52" t="s">
        <v>78</v>
      </c>
      <c r="P18" s="52" t="s">
        <v>78</v>
      </c>
      <c r="Q18" s="52" t="s">
        <v>78</v>
      </c>
      <c r="R18" s="37" t="s">
        <v>81</v>
      </c>
      <c r="S18" s="22" t="s">
        <v>85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45">
        <v>17</v>
      </c>
      <c r="B19" s="40" t="s">
        <v>108</v>
      </c>
      <c r="C19" s="46">
        <v>50</v>
      </c>
      <c r="D19" s="47">
        <v>41</v>
      </c>
      <c r="E19" s="52">
        <v>-25</v>
      </c>
      <c r="F19" s="52">
        <v>62</v>
      </c>
      <c r="G19" s="52">
        <v>0</v>
      </c>
      <c r="H19" s="52">
        <v>-13</v>
      </c>
      <c r="I19" s="52">
        <v>25</v>
      </c>
      <c r="J19" s="52">
        <v>0</v>
      </c>
      <c r="K19" s="52">
        <v>-120</v>
      </c>
      <c r="L19" s="52" t="s">
        <v>78</v>
      </c>
      <c r="M19" s="52" t="s">
        <v>78</v>
      </c>
      <c r="N19" s="52" t="s">
        <v>78</v>
      </c>
      <c r="O19" s="52" t="s">
        <v>78</v>
      </c>
      <c r="P19" s="52" t="s">
        <v>78</v>
      </c>
      <c r="Q19" s="52" t="s">
        <v>78</v>
      </c>
      <c r="R19" s="37">
        <v>43360</v>
      </c>
      <c r="S19" s="22" t="s">
        <v>86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45">
        <v>18</v>
      </c>
      <c r="B20" s="40" t="s">
        <v>63</v>
      </c>
      <c r="C20" s="53">
        <v>20</v>
      </c>
      <c r="D20" s="53">
        <v>0</v>
      </c>
      <c r="E20" s="53">
        <v>-10</v>
      </c>
      <c r="F20" s="53">
        <v>32</v>
      </c>
      <c r="G20" s="53">
        <v>0</v>
      </c>
      <c r="H20" s="53">
        <v>-11</v>
      </c>
      <c r="I20" s="53">
        <v>20</v>
      </c>
      <c r="J20" s="53">
        <v>0</v>
      </c>
      <c r="K20" s="53">
        <v>-120</v>
      </c>
      <c r="L20" s="52" t="s">
        <v>78</v>
      </c>
      <c r="M20" s="52" t="s">
        <v>78</v>
      </c>
      <c r="N20" s="52" t="s">
        <v>78</v>
      </c>
      <c r="O20" s="52" t="s">
        <v>78</v>
      </c>
      <c r="P20" s="52" t="s">
        <v>78</v>
      </c>
      <c r="Q20" s="52" t="s">
        <v>78</v>
      </c>
      <c r="R20" s="37">
        <v>43070</v>
      </c>
      <c r="S20" s="22">
        <v>0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45">
        <v>19</v>
      </c>
      <c r="B21" s="40" t="s">
        <v>59</v>
      </c>
      <c r="C21" s="53">
        <v>25</v>
      </c>
      <c r="D21" s="53">
        <v>0</v>
      </c>
      <c r="E21" s="53">
        <v>10</v>
      </c>
      <c r="F21" s="53">
        <v>38</v>
      </c>
      <c r="G21" s="53">
        <v>0</v>
      </c>
      <c r="H21" s="53">
        <v>-11</v>
      </c>
      <c r="I21" s="53">
        <v>20</v>
      </c>
      <c r="J21" s="53">
        <v>0</v>
      </c>
      <c r="K21" s="53">
        <v>-120</v>
      </c>
      <c r="L21" s="52" t="s">
        <v>78</v>
      </c>
      <c r="M21" s="52" t="s">
        <v>78</v>
      </c>
      <c r="N21" s="52" t="s">
        <v>78</v>
      </c>
      <c r="O21" s="52" t="s">
        <v>78</v>
      </c>
      <c r="P21" s="52" t="s">
        <v>78</v>
      </c>
      <c r="Q21" s="52" t="s">
        <v>78</v>
      </c>
      <c r="R21" s="37" t="s">
        <v>81</v>
      </c>
      <c r="S21" s="22" t="s">
        <v>85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45">
        <v>20</v>
      </c>
      <c r="B22" s="40" t="s">
        <v>74</v>
      </c>
      <c r="C22" s="46">
        <v>32</v>
      </c>
      <c r="D22" s="52" t="s">
        <v>78</v>
      </c>
      <c r="E22" s="52" t="s">
        <v>78</v>
      </c>
      <c r="F22" s="52">
        <v>45</v>
      </c>
      <c r="G22" s="52">
        <v>0</v>
      </c>
      <c r="H22" s="52">
        <v>-11</v>
      </c>
      <c r="I22" s="52">
        <v>30</v>
      </c>
      <c r="J22" s="52">
        <v>0</v>
      </c>
      <c r="K22" s="52">
        <v>-120</v>
      </c>
      <c r="L22" s="52" t="s">
        <v>78</v>
      </c>
      <c r="M22" s="52" t="s">
        <v>78</v>
      </c>
      <c r="N22" s="52" t="s">
        <v>78</v>
      </c>
      <c r="O22" s="52" t="s">
        <v>78</v>
      </c>
      <c r="P22" s="52" t="s">
        <v>78</v>
      </c>
      <c r="Q22" s="52" t="s">
        <v>78</v>
      </c>
      <c r="R22" s="37" t="s">
        <v>81</v>
      </c>
      <c r="S22" s="22" t="s">
        <v>85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45">
        <v>21</v>
      </c>
      <c r="B23" s="40" t="s">
        <v>57</v>
      </c>
      <c r="C23" s="53">
        <v>25</v>
      </c>
      <c r="D23" s="52" t="s">
        <v>78</v>
      </c>
      <c r="E23" s="52" t="s">
        <v>78</v>
      </c>
      <c r="F23" s="53">
        <v>37</v>
      </c>
      <c r="G23" s="53">
        <v>0</v>
      </c>
      <c r="H23" s="53">
        <v>-11</v>
      </c>
      <c r="I23" s="53">
        <v>30</v>
      </c>
      <c r="J23" s="53">
        <v>0</v>
      </c>
      <c r="K23" s="53">
        <v>-120</v>
      </c>
      <c r="L23" s="52" t="s">
        <v>78</v>
      </c>
      <c r="M23" s="52" t="s">
        <v>78</v>
      </c>
      <c r="N23" s="52" t="s">
        <v>78</v>
      </c>
      <c r="O23" s="52" t="s">
        <v>78</v>
      </c>
      <c r="P23" s="52" t="s">
        <v>78</v>
      </c>
      <c r="Q23" s="52" t="s">
        <v>78</v>
      </c>
      <c r="R23" s="37" t="s">
        <v>81</v>
      </c>
      <c r="S23" s="22" t="s">
        <v>85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45">
        <v>22</v>
      </c>
      <c r="B24" s="40" t="s">
        <v>56</v>
      </c>
      <c r="C24" s="53">
        <v>30</v>
      </c>
      <c r="D24" s="52" t="s">
        <v>78</v>
      </c>
      <c r="E24" s="52" t="s">
        <v>78</v>
      </c>
      <c r="F24" s="53">
        <v>42</v>
      </c>
      <c r="G24" s="53">
        <v>0</v>
      </c>
      <c r="H24" s="53">
        <v>-11</v>
      </c>
      <c r="I24" s="53">
        <v>30</v>
      </c>
      <c r="J24" s="53">
        <v>0</v>
      </c>
      <c r="K24" s="53">
        <v>-120</v>
      </c>
      <c r="L24" s="52" t="s">
        <v>78</v>
      </c>
      <c r="M24" s="52" t="s">
        <v>78</v>
      </c>
      <c r="N24" s="52" t="s">
        <v>78</v>
      </c>
      <c r="O24" s="52" t="s">
        <v>78</v>
      </c>
      <c r="P24" s="52" t="s">
        <v>78</v>
      </c>
      <c r="Q24" s="52" t="s">
        <v>78</v>
      </c>
      <c r="R24" s="37" t="s">
        <v>81</v>
      </c>
      <c r="S24" s="22" t="s">
        <v>85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45">
        <v>23</v>
      </c>
      <c r="B25" s="40" t="s">
        <v>58</v>
      </c>
      <c r="C25" s="53"/>
      <c r="D25" s="52" t="s">
        <v>78</v>
      </c>
      <c r="E25" s="52" t="s">
        <v>78</v>
      </c>
      <c r="F25" s="53">
        <v>48</v>
      </c>
      <c r="G25" s="52" t="s">
        <v>78</v>
      </c>
      <c r="H25" s="52" t="s">
        <v>78</v>
      </c>
      <c r="I25" s="53">
        <v>20</v>
      </c>
      <c r="J25" s="53">
        <v>0</v>
      </c>
      <c r="K25" s="53">
        <v>-250</v>
      </c>
      <c r="L25" s="52" t="s">
        <v>78</v>
      </c>
      <c r="M25" s="52" t="s">
        <v>78</v>
      </c>
      <c r="N25" s="52" t="s">
        <v>78</v>
      </c>
      <c r="O25" s="52" t="s">
        <v>78</v>
      </c>
      <c r="P25" s="52" t="s">
        <v>78</v>
      </c>
      <c r="Q25" s="52" t="s">
        <v>78</v>
      </c>
      <c r="R25" s="37" t="s">
        <v>81</v>
      </c>
      <c r="S25" s="22" t="s">
        <v>85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A26" s="45">
        <v>24</v>
      </c>
      <c r="B26" s="40" t="s">
        <v>102</v>
      </c>
      <c r="C26" s="46">
        <v>50.8</v>
      </c>
      <c r="D26" s="47">
        <v>48</v>
      </c>
      <c r="E26" s="52">
        <v>15</v>
      </c>
      <c r="F26" s="52">
        <v>60.325000000000003</v>
      </c>
      <c r="G26" s="52" t="s">
        <v>78</v>
      </c>
      <c r="H26" s="52" t="s">
        <v>78</v>
      </c>
      <c r="I26" s="52">
        <v>25.4</v>
      </c>
      <c r="J26" s="52">
        <v>0</v>
      </c>
      <c r="K26" s="52">
        <v>-250</v>
      </c>
      <c r="L26" s="52" t="s">
        <v>78</v>
      </c>
      <c r="M26" s="52" t="s">
        <v>78</v>
      </c>
      <c r="N26" s="52" t="s">
        <v>78</v>
      </c>
      <c r="O26" s="52" t="s">
        <v>78</v>
      </c>
      <c r="P26" s="52" t="s">
        <v>78</v>
      </c>
      <c r="Q26" s="52" t="s">
        <v>78</v>
      </c>
      <c r="R26" s="37">
        <v>42319</v>
      </c>
      <c r="S26" s="22" t="s">
        <v>32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3"/>
      <c r="AK26" s="3"/>
      <c r="AL26" s="3"/>
      <c r="AM26" s="3"/>
      <c r="AN26" s="3"/>
      <c r="AO26" s="3"/>
      <c r="AP26" s="3"/>
      <c r="AQ26" s="3"/>
    </row>
    <row r="27" spans="1:43" x14ac:dyDescent="0.2">
      <c r="A27" s="45">
        <v>25</v>
      </c>
      <c r="B27" s="40" t="s">
        <v>61</v>
      </c>
      <c r="C27" s="53">
        <v>50.8</v>
      </c>
      <c r="D27" s="52" t="s">
        <v>78</v>
      </c>
      <c r="E27" s="52" t="s">
        <v>78</v>
      </c>
      <c r="F27" s="53">
        <v>60.325000000000003</v>
      </c>
      <c r="G27" s="52" t="s">
        <v>78</v>
      </c>
      <c r="H27" s="52" t="s">
        <v>78</v>
      </c>
      <c r="I27" s="53">
        <v>25.4</v>
      </c>
      <c r="J27" s="52" t="s">
        <v>78</v>
      </c>
      <c r="K27" s="52" t="s">
        <v>78</v>
      </c>
      <c r="L27" s="52" t="s">
        <v>78</v>
      </c>
      <c r="M27" s="52" t="s">
        <v>78</v>
      </c>
      <c r="N27" s="52" t="s">
        <v>78</v>
      </c>
      <c r="O27" s="52" t="s">
        <v>78</v>
      </c>
      <c r="P27" s="52" t="s">
        <v>78</v>
      </c>
      <c r="Q27" s="52" t="s">
        <v>78</v>
      </c>
      <c r="R27" s="37" t="s">
        <v>81</v>
      </c>
      <c r="S27" s="22" t="s">
        <v>85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3"/>
      <c r="AK27" s="3"/>
      <c r="AL27" s="3"/>
      <c r="AM27" s="3"/>
      <c r="AN27" s="3"/>
      <c r="AO27" s="3"/>
      <c r="AP27" s="3"/>
      <c r="AQ27" s="3"/>
    </row>
    <row r="28" spans="1:43" x14ac:dyDescent="0.2">
      <c r="A28" s="45">
        <v>26</v>
      </c>
      <c r="B28" s="40" t="s">
        <v>96</v>
      </c>
      <c r="C28" s="46">
        <v>35</v>
      </c>
      <c r="D28" s="47">
        <v>0</v>
      </c>
      <c r="E28" s="52">
        <v>-12</v>
      </c>
      <c r="F28" s="52">
        <v>55</v>
      </c>
      <c r="G28" s="52">
        <v>0</v>
      </c>
      <c r="H28" s="52">
        <v>-13</v>
      </c>
      <c r="I28" s="52">
        <v>20</v>
      </c>
      <c r="J28" s="52">
        <v>0</v>
      </c>
      <c r="K28" s="52">
        <v>-120</v>
      </c>
      <c r="L28" s="52" t="s">
        <v>78</v>
      </c>
      <c r="M28" s="52" t="s">
        <v>78</v>
      </c>
      <c r="N28" s="52" t="s">
        <v>78</v>
      </c>
      <c r="O28" s="52">
        <v>42</v>
      </c>
      <c r="P28" s="52" t="s">
        <v>78</v>
      </c>
      <c r="Q28" s="52" t="s">
        <v>78</v>
      </c>
      <c r="R28" s="37">
        <v>42828</v>
      </c>
      <c r="S28" s="22">
        <v>0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3"/>
      <c r="AK28" s="3"/>
      <c r="AL28" s="3"/>
      <c r="AM28" s="3"/>
      <c r="AN28" s="3"/>
      <c r="AO28" s="3"/>
      <c r="AP28" s="3"/>
      <c r="AQ28" s="3"/>
    </row>
    <row r="29" spans="1:43" x14ac:dyDescent="0.2">
      <c r="A29" s="45">
        <v>27</v>
      </c>
      <c r="B29" s="40" t="s">
        <v>98</v>
      </c>
      <c r="C29" s="46">
        <v>17</v>
      </c>
      <c r="D29" s="47" t="s">
        <v>78</v>
      </c>
      <c r="E29" s="52" t="s">
        <v>78</v>
      </c>
      <c r="F29" s="52">
        <v>23</v>
      </c>
      <c r="G29" s="52" t="s">
        <v>78</v>
      </c>
      <c r="H29" s="52" t="s">
        <v>78</v>
      </c>
      <c r="I29" s="52">
        <v>20</v>
      </c>
      <c r="J29" s="52">
        <v>0</v>
      </c>
      <c r="K29" s="52">
        <v>-120</v>
      </c>
      <c r="L29" s="52" t="s">
        <v>78</v>
      </c>
      <c r="M29" s="52" t="s">
        <v>78</v>
      </c>
      <c r="N29" s="52" t="s">
        <v>78</v>
      </c>
      <c r="O29" s="52">
        <v>17</v>
      </c>
      <c r="P29" s="52" t="s">
        <v>78</v>
      </c>
      <c r="Q29" s="52" t="s">
        <v>78</v>
      </c>
      <c r="R29" s="37">
        <v>42828</v>
      </c>
      <c r="S29" s="22">
        <v>0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3"/>
      <c r="AK29" s="3"/>
      <c r="AL29" s="3"/>
      <c r="AM29" s="3"/>
      <c r="AN29" s="3"/>
      <c r="AO29" s="3"/>
      <c r="AP29" s="3"/>
      <c r="AQ29" s="3"/>
    </row>
    <row r="30" spans="1:43" x14ac:dyDescent="0.2">
      <c r="A30" s="45">
        <v>28</v>
      </c>
      <c r="B30" s="41" t="s">
        <v>99</v>
      </c>
      <c r="C30" s="46">
        <v>25</v>
      </c>
      <c r="D30" s="47">
        <v>0</v>
      </c>
      <c r="E30" s="52">
        <v>-10</v>
      </c>
      <c r="F30" s="52">
        <v>42</v>
      </c>
      <c r="G30" s="52">
        <v>0</v>
      </c>
      <c r="H30" s="52">
        <v>-11</v>
      </c>
      <c r="I30" s="52">
        <v>17</v>
      </c>
      <c r="J30" s="52">
        <v>0</v>
      </c>
      <c r="K30" s="52">
        <v>-120</v>
      </c>
      <c r="L30" s="52" t="s">
        <v>78</v>
      </c>
      <c r="M30" s="52" t="s">
        <v>78</v>
      </c>
      <c r="N30" s="52" t="s">
        <v>78</v>
      </c>
      <c r="O30" s="52" t="s">
        <v>78</v>
      </c>
      <c r="P30" s="52" t="s">
        <v>78</v>
      </c>
      <c r="Q30" s="52" t="s">
        <v>78</v>
      </c>
      <c r="R30" s="37">
        <v>42676</v>
      </c>
      <c r="S30" s="22">
        <v>0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3"/>
      <c r="AK30" s="3"/>
      <c r="AL30" s="3"/>
      <c r="AM30" s="3"/>
      <c r="AN30" s="3"/>
      <c r="AO30" s="3"/>
      <c r="AP30" s="3"/>
      <c r="AQ30" s="3"/>
    </row>
    <row r="31" spans="1:43" x14ac:dyDescent="0.2">
      <c r="A31" s="45">
        <v>29</v>
      </c>
      <c r="B31" s="41" t="s">
        <v>100</v>
      </c>
      <c r="C31" s="46">
        <v>30</v>
      </c>
      <c r="D31" s="47">
        <v>41</v>
      </c>
      <c r="E31" s="52">
        <v>20</v>
      </c>
      <c r="F31" s="52">
        <v>37</v>
      </c>
      <c r="G31" s="52">
        <v>0</v>
      </c>
      <c r="H31" s="52">
        <v>0</v>
      </c>
      <c r="I31" s="52">
        <v>20</v>
      </c>
      <c r="J31" s="52">
        <v>0</v>
      </c>
      <c r="K31" s="52">
        <v>-20</v>
      </c>
      <c r="L31" s="52" t="s">
        <v>78</v>
      </c>
      <c r="M31" s="52" t="s">
        <v>78</v>
      </c>
      <c r="N31" s="52" t="s">
        <v>78</v>
      </c>
      <c r="O31" s="52" t="s">
        <v>78</v>
      </c>
      <c r="P31" s="52" t="s">
        <v>78</v>
      </c>
      <c r="Q31" s="52" t="s">
        <v>78</v>
      </c>
      <c r="R31" s="37">
        <v>42676</v>
      </c>
      <c r="S31" s="22">
        <v>0</v>
      </c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3"/>
      <c r="AK31" s="3"/>
      <c r="AL31" s="3"/>
      <c r="AM31" s="3"/>
      <c r="AN31" s="3"/>
      <c r="AO31" s="3"/>
      <c r="AP31" s="3"/>
      <c r="AQ31" s="3"/>
    </row>
    <row r="32" spans="1:43" x14ac:dyDescent="0.2">
      <c r="A32" s="45">
        <v>30</v>
      </c>
      <c r="B32" s="41" t="s">
        <v>101</v>
      </c>
      <c r="C32" s="46">
        <v>55</v>
      </c>
      <c r="D32" s="47">
        <v>60</v>
      </c>
      <c r="E32" s="52">
        <v>30</v>
      </c>
      <c r="F32" s="52">
        <v>63</v>
      </c>
      <c r="G32" s="52">
        <v>0</v>
      </c>
      <c r="H32" s="52">
        <v>0</v>
      </c>
      <c r="I32" s="52">
        <v>20</v>
      </c>
      <c r="J32" s="52">
        <v>0</v>
      </c>
      <c r="K32" s="52">
        <v>-20</v>
      </c>
      <c r="L32" s="52" t="s">
        <v>78</v>
      </c>
      <c r="M32" s="52" t="s">
        <v>78</v>
      </c>
      <c r="N32" s="52" t="s">
        <v>78</v>
      </c>
      <c r="O32" s="52" t="s">
        <v>78</v>
      </c>
      <c r="P32" s="52" t="s">
        <v>78</v>
      </c>
      <c r="Q32" s="52" t="s">
        <v>78</v>
      </c>
      <c r="R32" s="37">
        <v>42676</v>
      </c>
      <c r="S32" s="22">
        <v>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3"/>
      <c r="AK32" s="3"/>
      <c r="AL32" s="3"/>
      <c r="AM32" s="3"/>
      <c r="AN32" s="3"/>
      <c r="AO32" s="3"/>
      <c r="AP32" s="3"/>
      <c r="AQ32" s="3"/>
    </row>
    <row r="33" spans="1:43" x14ac:dyDescent="0.2">
      <c r="A33" s="45">
        <v>31</v>
      </c>
      <c r="B33" s="41" t="s">
        <v>104</v>
      </c>
      <c r="C33" s="46">
        <v>28.574999999999999</v>
      </c>
      <c r="D33" s="47">
        <v>38</v>
      </c>
      <c r="E33" s="52">
        <v>13</v>
      </c>
      <c r="F33" s="52">
        <v>34.924999999999997</v>
      </c>
      <c r="G33" s="52" t="s">
        <v>78</v>
      </c>
      <c r="H33" s="52" t="s">
        <v>78</v>
      </c>
      <c r="I33" s="52">
        <v>25.4</v>
      </c>
      <c r="J33" s="52">
        <v>0</v>
      </c>
      <c r="K33" s="52">
        <v>-250</v>
      </c>
      <c r="L33" s="52" t="s">
        <v>78</v>
      </c>
      <c r="M33" s="52" t="s">
        <v>78</v>
      </c>
      <c r="N33" s="52" t="s">
        <v>78</v>
      </c>
      <c r="O33" s="52" t="s">
        <v>78</v>
      </c>
      <c r="P33" s="52" t="s">
        <v>78</v>
      </c>
      <c r="Q33" s="52" t="s">
        <v>78</v>
      </c>
      <c r="R33" s="37">
        <v>42965</v>
      </c>
      <c r="S33" s="22">
        <v>0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3"/>
      <c r="AK33" s="3"/>
      <c r="AL33" s="3"/>
      <c r="AM33" s="3"/>
      <c r="AN33" s="3"/>
      <c r="AO33" s="3"/>
      <c r="AP33" s="3"/>
      <c r="AQ33" s="3"/>
    </row>
    <row r="34" spans="1:43" x14ac:dyDescent="0.2">
      <c r="A34" s="45">
        <v>32</v>
      </c>
      <c r="B34" s="41" t="s">
        <v>105</v>
      </c>
      <c r="C34" s="46">
        <v>30</v>
      </c>
      <c r="D34" s="47">
        <v>41</v>
      </c>
      <c r="E34" s="52">
        <v>20</v>
      </c>
      <c r="F34" s="52">
        <v>37</v>
      </c>
      <c r="G34" s="52" t="s">
        <v>78</v>
      </c>
      <c r="H34" s="52" t="s">
        <v>78</v>
      </c>
      <c r="I34" s="52">
        <v>38</v>
      </c>
      <c r="J34" s="52">
        <v>0</v>
      </c>
      <c r="K34" s="52">
        <v>-250</v>
      </c>
      <c r="L34" s="52" t="s">
        <v>78</v>
      </c>
      <c r="M34" s="52" t="s">
        <v>78</v>
      </c>
      <c r="N34" s="52" t="s">
        <v>78</v>
      </c>
      <c r="O34" s="52" t="s">
        <v>78</v>
      </c>
      <c r="P34" s="52" t="s">
        <v>78</v>
      </c>
      <c r="Q34" s="52" t="s">
        <v>78</v>
      </c>
      <c r="R34" s="37">
        <v>43279</v>
      </c>
      <c r="S34" s="22">
        <v>0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3"/>
      <c r="AK34" s="3"/>
      <c r="AL34" s="3"/>
      <c r="AM34" s="3"/>
      <c r="AN34" s="3"/>
      <c r="AO34" s="3"/>
      <c r="AP34" s="3"/>
      <c r="AQ34" s="3"/>
    </row>
    <row r="35" spans="1:43" x14ac:dyDescent="0.2">
      <c r="A35" s="45">
        <v>33</v>
      </c>
      <c r="B35" s="41" t="s">
        <v>107</v>
      </c>
      <c r="C35" s="46">
        <v>58</v>
      </c>
      <c r="D35" s="47">
        <v>49</v>
      </c>
      <c r="E35" s="52">
        <v>30</v>
      </c>
      <c r="F35" s="52">
        <v>72</v>
      </c>
      <c r="G35" s="52">
        <v>0</v>
      </c>
      <c r="H35" s="52">
        <v>-13</v>
      </c>
      <c r="I35" s="52">
        <v>22</v>
      </c>
      <c r="J35" s="52">
        <v>0</v>
      </c>
      <c r="K35" s="52">
        <v>-120</v>
      </c>
      <c r="L35" s="52" t="s">
        <v>78</v>
      </c>
      <c r="M35" s="52" t="s">
        <v>78</v>
      </c>
      <c r="N35" s="52" t="s">
        <v>78</v>
      </c>
      <c r="O35" s="52" t="s">
        <v>78</v>
      </c>
      <c r="P35" s="52" t="s">
        <v>78</v>
      </c>
      <c r="Q35" s="52" t="s">
        <v>78</v>
      </c>
      <c r="R35" s="37">
        <v>43441</v>
      </c>
      <c r="S35" s="22" t="s">
        <v>86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3"/>
      <c r="AK35" s="3"/>
      <c r="AL35" s="3"/>
      <c r="AM35" s="3"/>
      <c r="AN35" s="3"/>
      <c r="AO35" s="3"/>
      <c r="AP35" s="3"/>
      <c r="AQ35" s="3"/>
    </row>
    <row r="36" spans="1:43" x14ac:dyDescent="0.2">
      <c r="A36" s="45">
        <v>34</v>
      </c>
      <c r="B36" s="41" t="s">
        <v>106</v>
      </c>
      <c r="C36" s="46">
        <v>28</v>
      </c>
      <c r="D36" s="47">
        <v>33</v>
      </c>
      <c r="E36" s="52">
        <v>20</v>
      </c>
      <c r="F36" s="52">
        <v>37</v>
      </c>
      <c r="G36" s="52">
        <v>0</v>
      </c>
      <c r="H36" s="52">
        <v>-11</v>
      </c>
      <c r="I36" s="52">
        <v>30</v>
      </c>
      <c r="J36" s="52">
        <v>0</v>
      </c>
      <c r="K36" s="52">
        <v>-120</v>
      </c>
      <c r="L36" s="52" t="s">
        <v>78</v>
      </c>
      <c r="M36" s="52" t="s">
        <v>78</v>
      </c>
      <c r="N36" s="52" t="s">
        <v>78</v>
      </c>
      <c r="O36" s="52" t="s">
        <v>78</v>
      </c>
      <c r="P36" s="52" t="s">
        <v>78</v>
      </c>
      <c r="Q36" s="52" t="s">
        <v>78</v>
      </c>
      <c r="R36" s="37">
        <v>41831</v>
      </c>
      <c r="S36" s="22" t="s">
        <v>86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3"/>
      <c r="AK36" s="3"/>
      <c r="AL36" s="3"/>
      <c r="AM36" s="3"/>
      <c r="AN36" s="3"/>
      <c r="AO36" s="3"/>
      <c r="AP36" s="3"/>
      <c r="AQ36" s="3"/>
    </row>
    <row r="37" spans="1:43" x14ac:dyDescent="0.2">
      <c r="A37" s="45">
        <v>35</v>
      </c>
      <c r="B37" s="76" t="s">
        <v>110</v>
      </c>
      <c r="C37" s="46">
        <v>32</v>
      </c>
      <c r="D37" s="47">
        <v>41</v>
      </c>
      <c r="E37" s="52">
        <v>25</v>
      </c>
      <c r="F37" s="52">
        <v>42</v>
      </c>
      <c r="G37" s="52">
        <v>0</v>
      </c>
      <c r="H37" s="52">
        <v>-11</v>
      </c>
      <c r="I37" s="52">
        <v>30</v>
      </c>
      <c r="J37" s="52">
        <v>0</v>
      </c>
      <c r="K37" s="52">
        <v>-120</v>
      </c>
      <c r="L37" s="52" t="s">
        <v>78</v>
      </c>
      <c r="M37" s="52" t="s">
        <v>78</v>
      </c>
      <c r="N37" s="52" t="s">
        <v>78</v>
      </c>
      <c r="O37" s="52" t="s">
        <v>78</v>
      </c>
      <c r="P37" s="52" t="s">
        <v>78</v>
      </c>
      <c r="Q37" s="52" t="s">
        <v>78</v>
      </c>
      <c r="R37" s="37">
        <v>46022</v>
      </c>
      <c r="S37" s="22" t="s">
        <v>90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3"/>
      <c r="AK37" s="3"/>
      <c r="AL37" s="3"/>
      <c r="AM37" s="3"/>
      <c r="AN37" s="3"/>
      <c r="AO37" s="3"/>
      <c r="AP37" s="3"/>
      <c r="AQ37" s="3"/>
    </row>
    <row r="38" spans="1:43" x14ac:dyDescent="0.2">
      <c r="A38" s="45">
        <v>36</v>
      </c>
      <c r="B38" s="40" t="s">
        <v>111</v>
      </c>
      <c r="C38" s="53">
        <v>30</v>
      </c>
      <c r="D38" s="53">
        <v>41</v>
      </c>
      <c r="E38" s="53">
        <v>20</v>
      </c>
      <c r="F38" s="53">
        <v>37</v>
      </c>
      <c r="G38" s="52" t="s">
        <v>78</v>
      </c>
      <c r="H38" s="52" t="s">
        <v>78</v>
      </c>
      <c r="I38" s="53">
        <v>16</v>
      </c>
      <c r="J38" s="53">
        <v>0</v>
      </c>
      <c r="K38" s="53">
        <v>-200</v>
      </c>
      <c r="L38" s="52" t="s">
        <v>78</v>
      </c>
      <c r="M38" s="52" t="s">
        <v>78</v>
      </c>
      <c r="N38" s="52" t="s">
        <v>78</v>
      </c>
      <c r="O38" s="52" t="s">
        <v>78</v>
      </c>
      <c r="P38" s="52" t="s">
        <v>78</v>
      </c>
      <c r="Q38" s="52" t="s">
        <v>78</v>
      </c>
      <c r="R38" s="37">
        <v>42438</v>
      </c>
      <c r="S38" s="22" t="s">
        <v>86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3"/>
      <c r="AK38" s="3"/>
      <c r="AL38" s="3"/>
      <c r="AM38" s="3"/>
      <c r="AN38" s="3"/>
      <c r="AO38" s="3"/>
      <c r="AP38" s="3"/>
      <c r="AQ38" s="3"/>
    </row>
    <row r="39" spans="1:43" x14ac:dyDescent="0.2">
      <c r="A39" s="45">
        <v>37</v>
      </c>
      <c r="B39" s="76" t="s">
        <v>112</v>
      </c>
      <c r="C39" s="46">
        <v>29</v>
      </c>
      <c r="D39" s="47">
        <v>33</v>
      </c>
      <c r="E39" s="52">
        <v>20</v>
      </c>
      <c r="F39" s="52">
        <v>38</v>
      </c>
      <c r="G39" s="52">
        <v>0</v>
      </c>
      <c r="H39" s="52">
        <v>-11</v>
      </c>
      <c r="I39" s="52">
        <v>30</v>
      </c>
      <c r="J39" s="52">
        <v>0</v>
      </c>
      <c r="K39" s="52">
        <v>-120</v>
      </c>
      <c r="L39" s="52" t="s">
        <v>78</v>
      </c>
      <c r="M39" s="52" t="s">
        <v>78</v>
      </c>
      <c r="N39" s="52" t="s">
        <v>78</v>
      </c>
      <c r="O39" s="52" t="s">
        <v>78</v>
      </c>
      <c r="P39" s="52" t="s">
        <v>78</v>
      </c>
      <c r="Q39" s="52" t="s">
        <v>78</v>
      </c>
      <c r="R39" s="37">
        <v>44369</v>
      </c>
      <c r="S39" s="22" t="s">
        <v>86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3"/>
      <c r="AK39" s="3"/>
      <c r="AL39" s="3"/>
      <c r="AM39" s="3"/>
      <c r="AN39" s="3"/>
      <c r="AO39" s="3"/>
      <c r="AP39" s="3"/>
      <c r="AQ39" s="3"/>
    </row>
    <row r="40" spans="1:43" s="13" customFormat="1" x14ac:dyDescent="0.2">
      <c r="A40" s="69">
        <v>38</v>
      </c>
      <c r="B40" s="70" t="s">
        <v>113</v>
      </c>
      <c r="C40" s="52">
        <v>45</v>
      </c>
      <c r="D40" s="47">
        <v>50</v>
      </c>
      <c r="E40" s="52">
        <v>25</v>
      </c>
      <c r="F40" s="52">
        <v>55</v>
      </c>
      <c r="G40" s="52">
        <v>0</v>
      </c>
      <c r="H40" s="52">
        <v>-33</v>
      </c>
      <c r="I40" s="52">
        <v>20</v>
      </c>
      <c r="J40" s="52">
        <v>0</v>
      </c>
      <c r="K40" s="52">
        <v>-250</v>
      </c>
      <c r="L40" s="52" t="s">
        <v>78</v>
      </c>
      <c r="M40" s="52" t="s">
        <v>78</v>
      </c>
      <c r="N40" s="52" t="s">
        <v>78</v>
      </c>
      <c r="O40" s="52" t="s">
        <v>78</v>
      </c>
      <c r="P40" s="52" t="s">
        <v>78</v>
      </c>
      <c r="Q40" s="52" t="s">
        <v>78</v>
      </c>
      <c r="R40" s="37">
        <v>44636</v>
      </c>
      <c r="S40" s="22" t="s">
        <v>86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0"/>
      <c r="AK40" s="20"/>
      <c r="AL40" s="20"/>
      <c r="AM40" s="20"/>
      <c r="AN40" s="20"/>
      <c r="AO40" s="20"/>
      <c r="AP40" s="20"/>
      <c r="AQ40" s="20"/>
    </row>
    <row r="41" spans="1:43" x14ac:dyDescent="0.2">
      <c r="A41" s="45">
        <v>39</v>
      </c>
      <c r="B41" s="41" t="s">
        <v>114</v>
      </c>
      <c r="C41" s="46">
        <v>25</v>
      </c>
      <c r="D41" s="47" t="s">
        <v>78</v>
      </c>
      <c r="E41" s="52" t="s">
        <v>78</v>
      </c>
      <c r="F41" s="52">
        <v>33</v>
      </c>
      <c r="G41" s="52" t="s">
        <v>78</v>
      </c>
      <c r="H41" s="52" t="s">
        <v>78</v>
      </c>
      <c r="I41" s="52">
        <v>20</v>
      </c>
      <c r="J41" s="52">
        <v>-20</v>
      </c>
      <c r="K41" s="52">
        <v>-55</v>
      </c>
      <c r="L41" s="52" t="s">
        <v>78</v>
      </c>
      <c r="M41" s="52" t="s">
        <v>78</v>
      </c>
      <c r="N41" s="52" t="s">
        <v>78</v>
      </c>
      <c r="O41" s="52" t="s">
        <v>78</v>
      </c>
      <c r="P41" s="52" t="s">
        <v>78</v>
      </c>
      <c r="Q41" s="52" t="s">
        <v>78</v>
      </c>
      <c r="R41" s="37">
        <v>43738</v>
      </c>
      <c r="S41" s="22">
        <v>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3"/>
      <c r="AK41" s="3"/>
      <c r="AL41" s="3"/>
      <c r="AM41" s="3"/>
      <c r="AN41" s="3"/>
      <c r="AO41" s="3"/>
      <c r="AP41" s="3"/>
      <c r="AQ41" s="3"/>
    </row>
    <row r="42" spans="1:43" x14ac:dyDescent="0.2">
      <c r="A42" s="45">
        <v>40</v>
      </c>
      <c r="B42" s="41" t="s">
        <v>115</v>
      </c>
      <c r="C42" s="48">
        <v>14</v>
      </c>
      <c r="D42" s="47">
        <v>34</v>
      </c>
      <c r="E42" s="52">
        <v>16</v>
      </c>
      <c r="F42" s="52">
        <v>20</v>
      </c>
      <c r="G42" s="52" t="s">
        <v>78</v>
      </c>
      <c r="H42" s="52" t="s">
        <v>78</v>
      </c>
      <c r="I42" s="52">
        <v>12</v>
      </c>
      <c r="J42" s="52">
        <v>0</v>
      </c>
      <c r="K42" s="52">
        <v>-250</v>
      </c>
      <c r="L42" s="52" t="s">
        <v>78</v>
      </c>
      <c r="M42" s="52" t="s">
        <v>78</v>
      </c>
      <c r="N42" s="52" t="s">
        <v>78</v>
      </c>
      <c r="O42" s="52" t="s">
        <v>78</v>
      </c>
      <c r="P42" s="52" t="s">
        <v>78</v>
      </c>
      <c r="Q42" s="52" t="s">
        <v>78</v>
      </c>
      <c r="R42" s="37">
        <v>43788</v>
      </c>
      <c r="S42" s="22">
        <v>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3"/>
      <c r="AK42" s="3"/>
      <c r="AL42" s="3"/>
      <c r="AM42" s="3"/>
      <c r="AN42" s="3"/>
      <c r="AO42" s="3"/>
      <c r="AP42" s="3"/>
      <c r="AQ42" s="3"/>
    </row>
    <row r="43" spans="1:43" x14ac:dyDescent="0.2">
      <c r="A43" s="45">
        <v>41</v>
      </c>
      <c r="B43" s="41" t="s">
        <v>116</v>
      </c>
      <c r="C43" s="53">
        <v>57.15</v>
      </c>
      <c r="D43" s="54">
        <v>53</v>
      </c>
      <c r="E43" s="54">
        <v>15</v>
      </c>
      <c r="F43" s="54">
        <v>66.674999999999997</v>
      </c>
      <c r="G43" s="52" t="s">
        <v>78</v>
      </c>
      <c r="H43" s="52" t="s">
        <v>78</v>
      </c>
      <c r="I43" s="53">
        <v>25.4</v>
      </c>
      <c r="J43" s="53">
        <v>0</v>
      </c>
      <c r="K43" s="53">
        <v>-250</v>
      </c>
      <c r="L43" s="52" t="s">
        <v>78</v>
      </c>
      <c r="M43" s="52" t="s">
        <v>78</v>
      </c>
      <c r="N43" s="52" t="s">
        <v>78</v>
      </c>
      <c r="O43" s="52" t="s">
        <v>78</v>
      </c>
      <c r="P43" s="52" t="s">
        <v>78</v>
      </c>
      <c r="Q43" s="52" t="s">
        <v>78</v>
      </c>
      <c r="R43" s="37">
        <v>44141</v>
      </c>
      <c r="S43" s="22" t="s">
        <v>117</v>
      </c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3"/>
      <c r="AK43" s="3"/>
      <c r="AL43" s="3"/>
      <c r="AM43" s="3"/>
      <c r="AN43" s="3"/>
      <c r="AO43" s="3"/>
      <c r="AP43" s="3"/>
      <c r="AQ43" s="3"/>
    </row>
    <row r="44" spans="1:43" x14ac:dyDescent="0.2">
      <c r="A44" s="45">
        <v>42</v>
      </c>
      <c r="B44" s="41" t="s">
        <v>118</v>
      </c>
      <c r="C44" s="48">
        <v>25.4</v>
      </c>
      <c r="D44" s="47">
        <v>38</v>
      </c>
      <c r="E44" s="52">
        <v>13</v>
      </c>
      <c r="F44" s="52">
        <v>33.338000000000001</v>
      </c>
      <c r="G44" s="52" t="s">
        <v>78</v>
      </c>
      <c r="H44" s="52" t="s">
        <v>78</v>
      </c>
      <c r="I44" s="52">
        <v>19.05</v>
      </c>
      <c r="J44" s="52">
        <v>0</v>
      </c>
      <c r="K44" s="52">
        <v>-250</v>
      </c>
      <c r="L44" s="52" t="s">
        <v>78</v>
      </c>
      <c r="M44" s="52" t="s">
        <v>78</v>
      </c>
      <c r="N44" s="52" t="s">
        <v>78</v>
      </c>
      <c r="O44" s="52" t="s">
        <v>78</v>
      </c>
      <c r="P44" s="52" t="s">
        <v>78</v>
      </c>
      <c r="Q44" s="52" t="s">
        <v>78</v>
      </c>
      <c r="R44" s="37">
        <v>43664</v>
      </c>
      <c r="S44" s="22" t="s">
        <v>32</v>
      </c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3"/>
      <c r="AK44" s="3"/>
      <c r="AL44" s="3"/>
      <c r="AM44" s="3"/>
      <c r="AN44" s="3"/>
      <c r="AO44" s="3"/>
      <c r="AP44" s="3"/>
      <c r="AQ44" s="3"/>
    </row>
    <row r="45" spans="1:43" x14ac:dyDescent="0.2">
      <c r="A45" s="45">
        <v>43</v>
      </c>
      <c r="B45" s="41" t="s">
        <v>119</v>
      </c>
      <c r="C45" s="48">
        <v>28.574999999999999</v>
      </c>
      <c r="D45" s="47">
        <v>38</v>
      </c>
      <c r="E45" s="52">
        <v>13</v>
      </c>
      <c r="F45" s="52">
        <v>34.924999999999997</v>
      </c>
      <c r="G45" s="52" t="s">
        <v>78</v>
      </c>
      <c r="H45" s="52" t="s">
        <v>78</v>
      </c>
      <c r="I45" s="52">
        <v>25.4</v>
      </c>
      <c r="J45" s="52">
        <v>0</v>
      </c>
      <c r="K45" s="52">
        <v>-250</v>
      </c>
      <c r="L45" s="52" t="s">
        <v>78</v>
      </c>
      <c r="M45" s="52" t="s">
        <v>78</v>
      </c>
      <c r="N45" s="52" t="s">
        <v>78</v>
      </c>
      <c r="O45" s="52" t="s">
        <v>78</v>
      </c>
      <c r="P45" s="52" t="s">
        <v>78</v>
      </c>
      <c r="Q45" s="52" t="s">
        <v>78</v>
      </c>
      <c r="R45" s="37">
        <v>41150</v>
      </c>
      <c r="S45" s="22">
        <v>0</v>
      </c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3"/>
      <c r="AK45" s="3"/>
      <c r="AL45" s="3"/>
      <c r="AM45" s="3"/>
      <c r="AN45" s="3"/>
      <c r="AO45" s="3"/>
      <c r="AP45" s="3"/>
      <c r="AQ45" s="3"/>
    </row>
    <row r="46" spans="1:43" x14ac:dyDescent="0.2">
      <c r="A46" s="45">
        <v>44</v>
      </c>
      <c r="B46" s="41" t="s">
        <v>120</v>
      </c>
      <c r="C46" s="48">
        <v>38</v>
      </c>
      <c r="D46" s="47">
        <v>41</v>
      </c>
      <c r="E46" s="52">
        <v>25</v>
      </c>
      <c r="F46" s="52">
        <v>48</v>
      </c>
      <c r="G46" s="52">
        <v>0</v>
      </c>
      <c r="H46" s="52">
        <v>-11</v>
      </c>
      <c r="I46" s="52">
        <v>20</v>
      </c>
      <c r="J46" s="52">
        <v>0</v>
      </c>
      <c r="K46" s="52">
        <v>-120</v>
      </c>
      <c r="L46" s="52" t="s">
        <v>78</v>
      </c>
      <c r="M46" s="52" t="s">
        <v>78</v>
      </c>
      <c r="N46" s="52" t="s">
        <v>78</v>
      </c>
      <c r="O46" s="52" t="s">
        <v>78</v>
      </c>
      <c r="P46" s="52" t="s">
        <v>78</v>
      </c>
      <c r="Q46" s="52" t="s">
        <v>78</v>
      </c>
      <c r="R46" s="37">
        <v>44323</v>
      </c>
      <c r="S46" s="22" t="s">
        <v>33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3"/>
      <c r="AK46" s="3"/>
      <c r="AL46" s="3"/>
      <c r="AM46" s="3"/>
      <c r="AN46" s="3"/>
      <c r="AO46" s="3"/>
      <c r="AP46" s="3"/>
      <c r="AQ46" s="3"/>
    </row>
    <row r="47" spans="1:43" x14ac:dyDescent="0.2">
      <c r="A47" s="45">
        <v>45</v>
      </c>
      <c r="B47" s="41" t="s">
        <v>121</v>
      </c>
      <c r="C47" s="48">
        <v>28</v>
      </c>
      <c r="D47" s="47">
        <v>41</v>
      </c>
      <c r="E47" s="52">
        <v>20</v>
      </c>
      <c r="F47" s="52">
        <v>35</v>
      </c>
      <c r="G47" s="52" t="s">
        <v>78</v>
      </c>
      <c r="H47" s="52" t="s">
        <v>78</v>
      </c>
      <c r="I47" s="52">
        <v>20</v>
      </c>
      <c r="J47" s="52">
        <v>0</v>
      </c>
      <c r="K47" s="52">
        <v>-250</v>
      </c>
      <c r="L47" s="52" t="s">
        <v>78</v>
      </c>
      <c r="M47" s="52" t="s">
        <v>78</v>
      </c>
      <c r="N47" s="52" t="s">
        <v>78</v>
      </c>
      <c r="O47" s="52" t="s">
        <v>78</v>
      </c>
      <c r="P47" s="52" t="s">
        <v>78</v>
      </c>
      <c r="Q47" s="52" t="s">
        <v>78</v>
      </c>
      <c r="R47" s="37">
        <v>44894</v>
      </c>
      <c r="S47" s="22" t="s">
        <v>86</v>
      </c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3"/>
      <c r="AK47" s="3"/>
      <c r="AL47" s="3"/>
      <c r="AM47" s="3"/>
      <c r="AN47" s="3"/>
      <c r="AO47" s="3"/>
      <c r="AP47" s="3"/>
      <c r="AQ47" s="3"/>
    </row>
    <row r="48" spans="1:43" x14ac:dyDescent="0.2">
      <c r="A48" s="45">
        <v>46</v>
      </c>
      <c r="B48" s="41" t="s">
        <v>122</v>
      </c>
      <c r="C48" s="48">
        <v>38</v>
      </c>
      <c r="D48" s="47">
        <v>34</v>
      </c>
      <c r="E48" s="52">
        <v>9</v>
      </c>
      <c r="F48" s="52">
        <v>48</v>
      </c>
      <c r="G48" s="52" t="s">
        <v>78</v>
      </c>
      <c r="H48" s="52" t="s">
        <v>78</v>
      </c>
      <c r="I48" s="52">
        <v>20</v>
      </c>
      <c r="J48" s="52">
        <v>0</v>
      </c>
      <c r="K48" s="52">
        <v>-250</v>
      </c>
      <c r="L48" s="52" t="s">
        <v>78</v>
      </c>
      <c r="M48" s="52" t="s">
        <v>78</v>
      </c>
      <c r="N48" s="52" t="s">
        <v>78</v>
      </c>
      <c r="O48" s="52" t="s">
        <v>78</v>
      </c>
      <c r="P48" s="52" t="s">
        <v>78</v>
      </c>
      <c r="Q48" s="52" t="s">
        <v>78</v>
      </c>
      <c r="R48" s="37">
        <v>43642</v>
      </c>
      <c r="S48" s="22">
        <v>0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3"/>
      <c r="AK48" s="3"/>
      <c r="AL48" s="3"/>
      <c r="AM48" s="3"/>
      <c r="AN48" s="3"/>
      <c r="AO48" s="3"/>
      <c r="AP48" s="3"/>
      <c r="AQ48" s="3"/>
    </row>
    <row r="49" spans="1:43" x14ac:dyDescent="0.2">
      <c r="A49" s="45">
        <v>47</v>
      </c>
      <c r="B49" s="41" t="s">
        <v>111</v>
      </c>
      <c r="C49" s="52">
        <v>30</v>
      </c>
      <c r="D49" s="52">
        <v>41</v>
      </c>
      <c r="E49" s="52">
        <v>20</v>
      </c>
      <c r="F49" s="52">
        <v>37</v>
      </c>
      <c r="G49" s="52" t="s">
        <v>78</v>
      </c>
      <c r="H49" s="52" t="s">
        <v>78</v>
      </c>
      <c r="I49" s="52">
        <v>16</v>
      </c>
      <c r="J49" s="52">
        <v>0</v>
      </c>
      <c r="K49" s="52">
        <v>-200</v>
      </c>
      <c r="L49" s="52" t="s">
        <v>78</v>
      </c>
      <c r="M49" s="52" t="s">
        <v>78</v>
      </c>
      <c r="N49" s="52" t="s">
        <v>78</v>
      </c>
      <c r="O49" s="52" t="s">
        <v>78</v>
      </c>
      <c r="P49" s="52" t="s">
        <v>78</v>
      </c>
      <c r="Q49" s="52" t="s">
        <v>78</v>
      </c>
      <c r="R49" s="37">
        <v>42438</v>
      </c>
      <c r="S49" s="22" t="s">
        <v>86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3"/>
      <c r="AK49" s="3"/>
      <c r="AL49" s="3"/>
      <c r="AM49" s="3"/>
      <c r="AN49" s="3"/>
      <c r="AO49" s="3"/>
      <c r="AP49" s="3"/>
      <c r="AQ49" s="3"/>
    </row>
    <row r="50" spans="1:43" x14ac:dyDescent="0.2">
      <c r="A50" s="45">
        <v>48</v>
      </c>
      <c r="B50" s="41" t="s">
        <v>123</v>
      </c>
      <c r="C50" s="52">
        <v>25</v>
      </c>
      <c r="D50" s="52">
        <v>33</v>
      </c>
      <c r="E50" s="52">
        <v>-20</v>
      </c>
      <c r="F50" s="52">
        <v>33</v>
      </c>
      <c r="G50" s="52">
        <v>0</v>
      </c>
      <c r="H50" s="52">
        <v>-11</v>
      </c>
      <c r="I50" s="52">
        <v>20</v>
      </c>
      <c r="J50" s="52">
        <v>0</v>
      </c>
      <c r="K50" s="52">
        <v>-120</v>
      </c>
      <c r="L50" s="52" t="s">
        <v>78</v>
      </c>
      <c r="M50" s="52" t="s">
        <v>78</v>
      </c>
      <c r="N50" s="52" t="s">
        <v>78</v>
      </c>
      <c r="O50" s="52" t="s">
        <v>78</v>
      </c>
      <c r="P50" s="52" t="s">
        <v>78</v>
      </c>
      <c r="Q50" s="52" t="s">
        <v>78</v>
      </c>
      <c r="R50" s="37">
        <v>44636</v>
      </c>
      <c r="S50" s="22" t="s">
        <v>32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3"/>
      <c r="AK50" s="3"/>
      <c r="AL50" s="3"/>
      <c r="AM50" s="3"/>
      <c r="AN50" s="3"/>
      <c r="AO50" s="3"/>
      <c r="AP50" s="3"/>
      <c r="AQ50" s="3"/>
    </row>
    <row r="51" spans="1:43" x14ac:dyDescent="0.2">
      <c r="A51" s="45">
        <v>49</v>
      </c>
      <c r="B51" s="41" t="s">
        <v>124</v>
      </c>
      <c r="C51" s="52">
        <v>28</v>
      </c>
      <c r="D51" s="52">
        <v>33</v>
      </c>
      <c r="E51" s="52">
        <v>20</v>
      </c>
      <c r="F51" s="52">
        <v>37</v>
      </c>
      <c r="G51" s="52">
        <v>0</v>
      </c>
      <c r="H51" s="52">
        <v>-11</v>
      </c>
      <c r="I51" s="52">
        <v>30</v>
      </c>
      <c r="J51" s="52">
        <v>0</v>
      </c>
      <c r="K51" s="52">
        <v>-120</v>
      </c>
      <c r="L51" s="52" t="s">
        <v>78</v>
      </c>
      <c r="M51" s="52" t="s">
        <v>78</v>
      </c>
      <c r="N51" s="52" t="s">
        <v>78</v>
      </c>
      <c r="O51" s="52" t="s">
        <v>78</v>
      </c>
      <c r="P51" s="52" t="s">
        <v>78</v>
      </c>
      <c r="Q51" s="52" t="s">
        <v>78</v>
      </c>
      <c r="R51" s="37">
        <v>44323</v>
      </c>
      <c r="S51" s="22" t="s">
        <v>90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3"/>
      <c r="AK51" s="3"/>
      <c r="AL51" s="3"/>
      <c r="AM51" s="3"/>
      <c r="AN51" s="3"/>
      <c r="AO51" s="3"/>
      <c r="AP51" s="3"/>
      <c r="AQ51" s="3"/>
    </row>
    <row r="52" spans="1:43" x14ac:dyDescent="0.2">
      <c r="A52" s="45">
        <v>50</v>
      </c>
      <c r="B52" s="41" t="s">
        <v>125</v>
      </c>
      <c r="C52" s="52">
        <v>50</v>
      </c>
      <c r="D52" s="52">
        <v>41</v>
      </c>
      <c r="E52" s="52">
        <v>-25</v>
      </c>
      <c r="F52" s="52">
        <v>62</v>
      </c>
      <c r="G52" s="52">
        <v>0</v>
      </c>
      <c r="H52" s="52">
        <v>-13</v>
      </c>
      <c r="I52" s="52">
        <v>25</v>
      </c>
      <c r="J52" s="52">
        <v>0</v>
      </c>
      <c r="K52" s="52">
        <v>-120</v>
      </c>
      <c r="L52" s="52" t="s">
        <v>78</v>
      </c>
      <c r="M52" s="52" t="s">
        <v>78</v>
      </c>
      <c r="N52" s="52" t="s">
        <v>78</v>
      </c>
      <c r="O52" s="52" t="s">
        <v>78</v>
      </c>
      <c r="P52" s="52" t="s">
        <v>78</v>
      </c>
      <c r="Q52" s="52" t="s">
        <v>78</v>
      </c>
      <c r="R52" s="37">
        <v>44323</v>
      </c>
      <c r="S52" s="22" t="s">
        <v>90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3"/>
      <c r="AK52" s="3"/>
      <c r="AL52" s="3"/>
      <c r="AM52" s="3"/>
      <c r="AN52" s="3"/>
      <c r="AO52" s="3"/>
      <c r="AP52" s="3"/>
      <c r="AQ52" s="3"/>
    </row>
    <row r="53" spans="1:43" x14ac:dyDescent="0.2">
      <c r="A53" s="45">
        <v>51</v>
      </c>
      <c r="B53" s="41" t="s">
        <v>127</v>
      </c>
      <c r="C53" s="48">
        <v>28.574999999999999</v>
      </c>
      <c r="D53" s="47">
        <v>38</v>
      </c>
      <c r="E53" s="52">
        <v>13</v>
      </c>
      <c r="F53" s="52">
        <v>34.924999999999997</v>
      </c>
      <c r="G53" s="52" t="s">
        <v>78</v>
      </c>
      <c r="H53" s="52" t="s">
        <v>78</v>
      </c>
      <c r="I53" s="52">
        <v>25.4</v>
      </c>
      <c r="J53" s="52">
        <v>0</v>
      </c>
      <c r="K53" s="52">
        <v>-250</v>
      </c>
      <c r="L53" s="52" t="s">
        <v>78</v>
      </c>
      <c r="M53" s="52" t="s">
        <v>78</v>
      </c>
      <c r="N53" s="52" t="s">
        <v>78</v>
      </c>
      <c r="O53" s="52" t="s">
        <v>78</v>
      </c>
      <c r="P53" s="52" t="s">
        <v>78</v>
      </c>
      <c r="Q53" s="52" t="s">
        <v>78</v>
      </c>
      <c r="R53" s="37">
        <v>44369</v>
      </c>
      <c r="S53" s="22" t="s">
        <v>86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3"/>
      <c r="AK53" s="3"/>
      <c r="AL53" s="3"/>
      <c r="AM53" s="3"/>
      <c r="AN53" s="3"/>
      <c r="AO53" s="3"/>
      <c r="AP53" s="3"/>
      <c r="AQ53" s="3"/>
    </row>
    <row r="54" spans="1:43" x14ac:dyDescent="0.2">
      <c r="A54" s="45">
        <v>52</v>
      </c>
      <c r="B54" s="41" t="s">
        <v>130</v>
      </c>
      <c r="C54" s="52">
        <v>28</v>
      </c>
      <c r="D54" s="52">
        <v>33</v>
      </c>
      <c r="E54" s="52">
        <v>20</v>
      </c>
      <c r="F54" s="52">
        <v>37</v>
      </c>
      <c r="G54" s="52">
        <v>0</v>
      </c>
      <c r="H54" s="52">
        <v>-11</v>
      </c>
      <c r="I54" s="52">
        <v>30</v>
      </c>
      <c r="J54" s="52">
        <v>0</v>
      </c>
      <c r="K54" s="52">
        <v>-120</v>
      </c>
      <c r="L54" s="52" t="s">
        <v>78</v>
      </c>
      <c r="M54" s="52" t="s">
        <v>78</v>
      </c>
      <c r="N54" s="52" t="s">
        <v>78</v>
      </c>
      <c r="O54" s="52" t="s">
        <v>78</v>
      </c>
      <c r="P54" s="52" t="s">
        <v>78</v>
      </c>
      <c r="Q54" s="52" t="s">
        <v>78</v>
      </c>
      <c r="R54" s="37">
        <v>44636</v>
      </c>
      <c r="S54" s="22" t="s">
        <v>33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3"/>
      <c r="AK54" s="3"/>
      <c r="AL54" s="3"/>
      <c r="AM54" s="3"/>
      <c r="AN54" s="3"/>
      <c r="AO54" s="3"/>
      <c r="AP54" s="3"/>
      <c r="AQ54" s="3"/>
    </row>
    <row r="55" spans="1:43" x14ac:dyDescent="0.2">
      <c r="A55" s="45">
        <v>53</v>
      </c>
      <c r="B55" s="41" t="s">
        <v>131</v>
      </c>
      <c r="C55" s="52">
        <v>25</v>
      </c>
      <c r="D55" s="52">
        <v>33</v>
      </c>
      <c r="E55" s="52">
        <v>-20</v>
      </c>
      <c r="F55" s="52">
        <v>33</v>
      </c>
      <c r="G55" s="52">
        <v>0</v>
      </c>
      <c r="H55" s="52">
        <v>-11</v>
      </c>
      <c r="I55" s="52">
        <v>20</v>
      </c>
      <c r="J55" s="52">
        <v>0</v>
      </c>
      <c r="K55" s="52">
        <v>-120</v>
      </c>
      <c r="L55" s="52" t="s">
        <v>78</v>
      </c>
      <c r="M55" s="52" t="s">
        <v>78</v>
      </c>
      <c r="N55" s="52" t="s">
        <v>78</v>
      </c>
      <c r="O55" s="52" t="s">
        <v>78</v>
      </c>
      <c r="P55" s="52" t="s">
        <v>78</v>
      </c>
      <c r="Q55" s="52" t="s">
        <v>78</v>
      </c>
      <c r="R55" s="37">
        <v>44636</v>
      </c>
      <c r="S55" s="22" t="s">
        <v>32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3"/>
      <c r="AK55" s="3"/>
      <c r="AL55" s="3"/>
      <c r="AM55" s="3"/>
      <c r="AN55" s="3"/>
      <c r="AO55" s="3"/>
      <c r="AP55" s="3"/>
      <c r="AQ55" s="3"/>
    </row>
    <row r="56" spans="1:43" x14ac:dyDescent="0.2">
      <c r="A56" s="45">
        <v>54</v>
      </c>
      <c r="B56" s="73" t="s">
        <v>132</v>
      </c>
      <c r="C56" s="58">
        <v>45</v>
      </c>
      <c r="D56" s="58">
        <v>50</v>
      </c>
      <c r="E56" s="58">
        <v>25</v>
      </c>
      <c r="F56" s="58">
        <v>55</v>
      </c>
      <c r="G56" s="58">
        <v>0</v>
      </c>
      <c r="H56" s="58">
        <f>-33</f>
        <v>-33</v>
      </c>
      <c r="I56" s="58">
        <v>20</v>
      </c>
      <c r="J56" s="58">
        <v>0</v>
      </c>
      <c r="K56" s="58">
        <v>-250</v>
      </c>
      <c r="L56" s="52" t="s">
        <v>78</v>
      </c>
      <c r="M56" s="52" t="s">
        <v>78</v>
      </c>
      <c r="N56" s="52" t="s">
        <v>78</v>
      </c>
      <c r="O56" s="52" t="s">
        <v>78</v>
      </c>
      <c r="P56" s="52" t="s">
        <v>78</v>
      </c>
      <c r="Q56" s="52" t="s">
        <v>78</v>
      </c>
      <c r="R56" s="74">
        <v>44636</v>
      </c>
      <c r="S56" s="75" t="s">
        <v>86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3"/>
      <c r="AK56" s="3"/>
      <c r="AL56" s="3"/>
      <c r="AM56" s="3"/>
      <c r="AN56" s="3"/>
      <c r="AO56" s="3"/>
      <c r="AP56" s="3"/>
      <c r="AQ56" s="3"/>
    </row>
    <row r="57" spans="1:43" x14ac:dyDescent="0.2">
      <c r="A57" s="45">
        <v>55</v>
      </c>
      <c r="B57" s="41" t="s">
        <v>133</v>
      </c>
      <c r="C57" s="48">
        <v>14</v>
      </c>
      <c r="D57" s="47">
        <v>34</v>
      </c>
      <c r="E57" s="52">
        <v>16</v>
      </c>
      <c r="F57" s="52">
        <v>20</v>
      </c>
      <c r="G57" s="52" t="s">
        <v>78</v>
      </c>
      <c r="H57" s="52" t="s">
        <v>78</v>
      </c>
      <c r="I57" s="52">
        <v>12</v>
      </c>
      <c r="J57" s="52">
        <v>0</v>
      </c>
      <c r="K57" s="52">
        <v>-250</v>
      </c>
      <c r="L57" s="52" t="s">
        <v>78</v>
      </c>
      <c r="M57" s="52" t="s">
        <v>78</v>
      </c>
      <c r="N57" s="52" t="s">
        <v>78</v>
      </c>
      <c r="O57" s="52" t="s">
        <v>78</v>
      </c>
      <c r="P57" s="52" t="s">
        <v>78</v>
      </c>
      <c r="Q57" s="52" t="s">
        <v>78</v>
      </c>
      <c r="R57" s="37">
        <v>44636</v>
      </c>
      <c r="S57" s="22" t="s">
        <v>86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3"/>
      <c r="AK57" s="3"/>
      <c r="AL57" s="3"/>
      <c r="AM57" s="3"/>
      <c r="AN57" s="3"/>
      <c r="AO57" s="3"/>
      <c r="AP57" s="3"/>
      <c r="AQ57" s="3"/>
    </row>
    <row r="58" spans="1:43" x14ac:dyDescent="0.2">
      <c r="A58" s="45">
        <v>56</v>
      </c>
      <c r="B58" s="41" t="s">
        <v>134</v>
      </c>
      <c r="C58" s="52">
        <v>50</v>
      </c>
      <c r="D58" s="52">
        <v>41</v>
      </c>
      <c r="E58" s="52">
        <v>-25</v>
      </c>
      <c r="F58" s="52">
        <v>62</v>
      </c>
      <c r="G58" s="52">
        <v>0</v>
      </c>
      <c r="H58" s="52">
        <v>-13</v>
      </c>
      <c r="I58" s="52">
        <v>25</v>
      </c>
      <c r="J58" s="52">
        <v>0</v>
      </c>
      <c r="K58" s="52">
        <v>-120</v>
      </c>
      <c r="L58" s="52" t="s">
        <v>78</v>
      </c>
      <c r="M58" s="52" t="s">
        <v>78</v>
      </c>
      <c r="N58" s="52" t="s">
        <v>78</v>
      </c>
      <c r="O58" s="52" t="s">
        <v>78</v>
      </c>
      <c r="P58" s="52" t="s">
        <v>78</v>
      </c>
      <c r="Q58" s="52" t="s">
        <v>78</v>
      </c>
      <c r="R58" s="37">
        <v>44636</v>
      </c>
      <c r="S58" s="22" t="s">
        <v>33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3"/>
      <c r="AK58" s="3"/>
      <c r="AL58" s="3"/>
      <c r="AM58" s="3"/>
      <c r="AN58" s="3"/>
      <c r="AO58" s="3"/>
      <c r="AP58" s="3"/>
      <c r="AQ58" s="3"/>
    </row>
    <row r="59" spans="1:43" x14ac:dyDescent="0.2">
      <c r="A59" s="45">
        <v>57</v>
      </c>
      <c r="B59" s="41" t="s">
        <v>135</v>
      </c>
      <c r="C59" s="48">
        <v>25.4</v>
      </c>
      <c r="D59" s="47">
        <v>38</v>
      </c>
      <c r="E59" s="52">
        <v>13</v>
      </c>
      <c r="F59" s="52">
        <v>33.338000000000001</v>
      </c>
      <c r="G59" s="52" t="s">
        <v>78</v>
      </c>
      <c r="H59" s="52" t="s">
        <v>78</v>
      </c>
      <c r="I59" s="52">
        <v>19.05</v>
      </c>
      <c r="J59" s="52">
        <v>0</v>
      </c>
      <c r="K59" s="52">
        <v>-250</v>
      </c>
      <c r="L59" s="52" t="s">
        <v>78</v>
      </c>
      <c r="M59" s="52" t="s">
        <v>78</v>
      </c>
      <c r="N59" s="52" t="s">
        <v>78</v>
      </c>
      <c r="O59" s="52" t="s">
        <v>78</v>
      </c>
      <c r="P59" s="52" t="s">
        <v>78</v>
      </c>
      <c r="Q59" s="52" t="s">
        <v>78</v>
      </c>
      <c r="R59" s="37">
        <v>44369</v>
      </c>
      <c r="S59" s="22" t="s">
        <v>117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3"/>
      <c r="AK59" s="3"/>
      <c r="AL59" s="3"/>
      <c r="AM59" s="3"/>
      <c r="AN59" s="3"/>
      <c r="AO59" s="3"/>
      <c r="AP59" s="3"/>
      <c r="AQ59" s="3"/>
    </row>
    <row r="60" spans="1:43" x14ac:dyDescent="0.2">
      <c r="A60" s="45">
        <v>58</v>
      </c>
      <c r="B60" s="76" t="s">
        <v>136</v>
      </c>
      <c r="C60" s="46">
        <v>29</v>
      </c>
      <c r="D60" s="47">
        <v>33</v>
      </c>
      <c r="E60" s="52">
        <v>20</v>
      </c>
      <c r="F60" s="52">
        <v>38</v>
      </c>
      <c r="G60" s="52">
        <v>0</v>
      </c>
      <c r="H60" s="52">
        <v>-11</v>
      </c>
      <c r="I60" s="52">
        <v>30</v>
      </c>
      <c r="J60" s="52">
        <v>0</v>
      </c>
      <c r="K60" s="52">
        <v>-120</v>
      </c>
      <c r="L60" s="52" t="s">
        <v>78</v>
      </c>
      <c r="M60" s="52" t="s">
        <v>78</v>
      </c>
      <c r="N60" s="52" t="s">
        <v>78</v>
      </c>
      <c r="O60" s="52" t="s">
        <v>78</v>
      </c>
      <c r="P60" s="52" t="s">
        <v>78</v>
      </c>
      <c r="Q60" s="52" t="s">
        <v>78</v>
      </c>
      <c r="R60" s="37">
        <v>44789</v>
      </c>
      <c r="S60" s="22" t="s">
        <v>90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3"/>
      <c r="AK60" s="3"/>
      <c r="AL60" s="3"/>
      <c r="AM60" s="3"/>
      <c r="AN60" s="3"/>
      <c r="AO60" s="3"/>
      <c r="AP60" s="3"/>
      <c r="AQ60" s="3"/>
    </row>
    <row r="61" spans="1:43" x14ac:dyDescent="0.2">
      <c r="A61" s="45">
        <v>59</v>
      </c>
      <c r="B61" s="73" t="s">
        <v>137</v>
      </c>
      <c r="C61" s="58">
        <v>38</v>
      </c>
      <c r="D61" s="58">
        <v>34</v>
      </c>
      <c r="E61" s="58">
        <v>9</v>
      </c>
      <c r="F61" s="58">
        <v>48</v>
      </c>
      <c r="G61" s="58" t="s">
        <v>78</v>
      </c>
      <c r="H61" s="58" t="s">
        <v>78</v>
      </c>
      <c r="I61" s="58">
        <v>20</v>
      </c>
      <c r="J61" s="58">
        <v>0</v>
      </c>
      <c r="K61" s="58">
        <v>-250</v>
      </c>
      <c r="L61" s="58" t="s">
        <v>78</v>
      </c>
      <c r="M61" s="58" t="s">
        <v>78</v>
      </c>
      <c r="N61" s="58" t="s">
        <v>78</v>
      </c>
      <c r="O61" s="58" t="s">
        <v>78</v>
      </c>
      <c r="P61" s="58" t="s">
        <v>78</v>
      </c>
      <c r="Q61" s="58" t="s">
        <v>78</v>
      </c>
      <c r="R61" s="74">
        <v>44909</v>
      </c>
      <c r="S61" s="75" t="s">
        <v>90</v>
      </c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3"/>
      <c r="AK61" s="3"/>
      <c r="AL61" s="3"/>
      <c r="AM61" s="3"/>
      <c r="AN61" s="3"/>
      <c r="AO61" s="3"/>
      <c r="AP61" s="3"/>
      <c r="AQ61" s="3"/>
    </row>
    <row r="62" spans="1:43" x14ac:dyDescent="0.2">
      <c r="A62" s="45">
        <v>60</v>
      </c>
      <c r="B62" s="73" t="s">
        <v>138</v>
      </c>
      <c r="C62" s="58">
        <v>15</v>
      </c>
      <c r="D62" s="58">
        <v>0</v>
      </c>
      <c r="E62" s="58">
        <v>-8</v>
      </c>
      <c r="F62" s="58">
        <v>35</v>
      </c>
      <c r="G62" s="58">
        <v>0</v>
      </c>
      <c r="H62" s="58">
        <v>-11</v>
      </c>
      <c r="I62" s="58">
        <v>20</v>
      </c>
      <c r="J62" s="58">
        <v>0</v>
      </c>
      <c r="K62" s="58">
        <v>-200</v>
      </c>
      <c r="L62" s="58">
        <v>20</v>
      </c>
      <c r="M62" s="58">
        <v>0</v>
      </c>
      <c r="N62" s="58">
        <v>-200</v>
      </c>
      <c r="O62" s="58"/>
      <c r="P62" s="58"/>
      <c r="Q62" s="58"/>
      <c r="R62" s="74">
        <v>45049</v>
      </c>
      <c r="S62" s="75">
        <v>0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3"/>
      <c r="AK62" s="3"/>
      <c r="AL62" s="3"/>
      <c r="AM62" s="3"/>
      <c r="AN62" s="3"/>
      <c r="AO62" s="3"/>
      <c r="AP62" s="3"/>
      <c r="AQ62" s="3"/>
    </row>
    <row r="63" spans="1:43" x14ac:dyDescent="0.2">
      <c r="A63" s="45">
        <v>61</v>
      </c>
      <c r="B63" s="42" t="s">
        <v>141</v>
      </c>
      <c r="C63" s="55">
        <v>25</v>
      </c>
      <c r="D63" s="55">
        <v>0</v>
      </c>
      <c r="E63" s="55">
        <v>-10</v>
      </c>
      <c r="F63" s="55">
        <v>29</v>
      </c>
      <c r="G63" s="55">
        <v>0</v>
      </c>
      <c r="H63" s="55">
        <v>-12</v>
      </c>
      <c r="I63" s="55">
        <v>30</v>
      </c>
      <c r="J63" s="55">
        <v>120</v>
      </c>
      <c r="K63" s="55">
        <v>0</v>
      </c>
      <c r="L63" s="55" t="s">
        <v>78</v>
      </c>
      <c r="M63" s="55" t="s">
        <v>78</v>
      </c>
      <c r="N63" s="55" t="s">
        <v>78</v>
      </c>
      <c r="O63" s="55" t="s">
        <v>78</v>
      </c>
      <c r="P63" s="55" t="s">
        <v>78</v>
      </c>
      <c r="Q63" s="55" t="s">
        <v>78</v>
      </c>
      <c r="R63" s="68">
        <v>44789</v>
      </c>
      <c r="S63" s="23" t="s">
        <v>90</v>
      </c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3"/>
      <c r="AK63" s="3"/>
      <c r="AL63" s="3"/>
      <c r="AM63" s="3"/>
      <c r="AN63" s="3"/>
      <c r="AO63" s="3"/>
      <c r="AP63" s="3"/>
      <c r="AQ63" s="3"/>
    </row>
    <row r="64" spans="1:43" x14ac:dyDescent="0.2">
      <c r="A64" s="45">
        <v>62</v>
      </c>
      <c r="B64" s="42" t="s">
        <v>140</v>
      </c>
      <c r="C64" s="55">
        <v>28</v>
      </c>
      <c r="D64" s="55">
        <v>41</v>
      </c>
      <c r="E64" s="55">
        <v>20</v>
      </c>
      <c r="F64" s="55">
        <v>35</v>
      </c>
      <c r="G64" s="55" t="s">
        <v>78</v>
      </c>
      <c r="H64" s="55" t="s">
        <v>78</v>
      </c>
      <c r="I64" s="55">
        <v>30</v>
      </c>
      <c r="J64" s="55">
        <v>0</v>
      </c>
      <c r="K64" s="55">
        <v>-250</v>
      </c>
      <c r="L64" s="55" t="s">
        <v>78</v>
      </c>
      <c r="M64" s="55" t="s">
        <v>78</v>
      </c>
      <c r="N64" s="55" t="s">
        <v>78</v>
      </c>
      <c r="O64" s="55" t="s">
        <v>78</v>
      </c>
      <c r="P64" s="55" t="s">
        <v>78</v>
      </c>
      <c r="Q64" s="55" t="s">
        <v>78</v>
      </c>
      <c r="R64" s="68">
        <v>45657</v>
      </c>
      <c r="S64" s="23">
        <v>0</v>
      </c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3"/>
      <c r="AK64" s="3"/>
      <c r="AL64" s="3"/>
      <c r="AM64" s="3"/>
      <c r="AN64" s="3"/>
      <c r="AO64" s="3"/>
      <c r="AP64" s="3"/>
      <c r="AQ64" s="3"/>
    </row>
    <row r="65" spans="1:43" x14ac:dyDescent="0.2">
      <c r="A65" s="45">
        <v>63</v>
      </c>
      <c r="B65" s="41" t="s">
        <v>143</v>
      </c>
      <c r="C65" s="55">
        <v>30</v>
      </c>
      <c r="D65" s="55">
        <v>41</v>
      </c>
      <c r="E65" s="55">
        <v>20</v>
      </c>
      <c r="F65" s="55">
        <v>37</v>
      </c>
      <c r="G65" s="55" t="s">
        <v>78</v>
      </c>
      <c r="H65" s="55" t="s">
        <v>78</v>
      </c>
      <c r="I65" s="55">
        <v>38</v>
      </c>
      <c r="J65" s="55">
        <v>0</v>
      </c>
      <c r="K65" s="55">
        <v>-250</v>
      </c>
      <c r="L65" s="55" t="s">
        <v>78</v>
      </c>
      <c r="M65" s="55" t="s">
        <v>78</v>
      </c>
      <c r="N65" s="55" t="s">
        <v>78</v>
      </c>
      <c r="O65" s="55" t="s">
        <v>78</v>
      </c>
      <c r="P65" s="55" t="s">
        <v>78</v>
      </c>
      <c r="Q65" s="55" t="s">
        <v>78</v>
      </c>
      <c r="R65" s="68">
        <v>45657</v>
      </c>
      <c r="S65" s="23" t="s">
        <v>86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3"/>
      <c r="AK65" s="3"/>
      <c r="AL65" s="3"/>
      <c r="AM65" s="3"/>
      <c r="AN65" s="3"/>
      <c r="AO65" s="3"/>
      <c r="AP65" s="3"/>
      <c r="AQ65" s="3"/>
    </row>
    <row r="66" spans="1:43" x14ac:dyDescent="0.2">
      <c r="A66" s="45">
        <v>64</v>
      </c>
      <c r="B66" s="42" t="s">
        <v>142</v>
      </c>
      <c r="C66" s="55">
        <v>30</v>
      </c>
      <c r="D66" s="55">
        <v>0</v>
      </c>
      <c r="E66" s="55">
        <v>-12</v>
      </c>
      <c r="F66" s="55">
        <v>62</v>
      </c>
      <c r="G66" s="55">
        <v>0</v>
      </c>
      <c r="H66" s="55">
        <v>-13</v>
      </c>
      <c r="I66" s="55">
        <v>28</v>
      </c>
      <c r="J66" s="55">
        <v>0</v>
      </c>
      <c r="K66" s="55">
        <v>-120</v>
      </c>
      <c r="L66" s="55">
        <v>29</v>
      </c>
      <c r="M66" s="55">
        <v>0</v>
      </c>
      <c r="N66" s="55">
        <v>-120</v>
      </c>
      <c r="O66" s="55" t="s">
        <v>78</v>
      </c>
      <c r="P66" s="55" t="s">
        <v>78</v>
      </c>
      <c r="Q66" s="55" t="s">
        <v>78</v>
      </c>
      <c r="R66" s="68">
        <v>42557</v>
      </c>
      <c r="S66" s="23">
        <v>0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3"/>
      <c r="AK66" s="3"/>
      <c r="AL66" s="3"/>
      <c r="AM66" s="3"/>
      <c r="AN66" s="3"/>
      <c r="AO66" s="3"/>
      <c r="AP66" s="3"/>
      <c r="AQ66" s="3"/>
    </row>
    <row r="67" spans="1:43" x14ac:dyDescent="0.2">
      <c r="A67" s="45">
        <v>65</v>
      </c>
      <c r="B67" s="41" t="s">
        <v>144</v>
      </c>
      <c r="C67" s="55">
        <v>25</v>
      </c>
      <c r="D67" s="55">
        <v>33</v>
      </c>
      <c r="E67" s="55">
        <v>20</v>
      </c>
      <c r="F67" s="55">
        <v>33</v>
      </c>
      <c r="G67" s="55">
        <v>0</v>
      </c>
      <c r="H67" s="55">
        <v>11</v>
      </c>
      <c r="I67" s="55">
        <v>20</v>
      </c>
      <c r="J67" s="55">
        <v>0</v>
      </c>
      <c r="K67" s="55">
        <v>120</v>
      </c>
      <c r="L67" s="55" t="s">
        <v>78</v>
      </c>
      <c r="M67" s="55" t="s">
        <v>78</v>
      </c>
      <c r="N67" s="55" t="s">
        <v>78</v>
      </c>
      <c r="O67" s="55" t="s">
        <v>78</v>
      </c>
      <c r="P67" s="55" t="s">
        <v>78</v>
      </c>
      <c r="Q67" s="55" t="s">
        <v>78</v>
      </c>
      <c r="R67" s="68">
        <v>45657</v>
      </c>
      <c r="S67" s="23" t="s">
        <v>117</v>
      </c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3"/>
      <c r="AK67" s="3"/>
      <c r="AL67" s="3"/>
      <c r="AM67" s="3"/>
      <c r="AN67" s="3"/>
      <c r="AO67" s="3"/>
      <c r="AP67" s="3"/>
      <c r="AQ67" s="3"/>
    </row>
    <row r="68" spans="1:43" x14ac:dyDescent="0.2">
      <c r="A68" s="45">
        <v>66</v>
      </c>
      <c r="B68" s="42" t="s">
        <v>145</v>
      </c>
      <c r="C68" s="55">
        <v>20</v>
      </c>
      <c r="D68" s="55">
        <v>0</v>
      </c>
      <c r="E68" s="55">
        <v>-10</v>
      </c>
      <c r="F68" s="55">
        <v>32</v>
      </c>
      <c r="G68" s="55">
        <v>0</v>
      </c>
      <c r="H68" s="55">
        <v>-11</v>
      </c>
      <c r="I68" s="55">
        <v>20</v>
      </c>
      <c r="J68" s="55">
        <v>0</v>
      </c>
      <c r="K68" s="55">
        <v>-200</v>
      </c>
      <c r="L68" s="55" t="s">
        <v>78</v>
      </c>
      <c r="M68" s="55" t="s">
        <v>78</v>
      </c>
      <c r="N68" s="55" t="s">
        <v>78</v>
      </c>
      <c r="O68" s="55" t="s">
        <v>78</v>
      </c>
      <c r="P68" s="55" t="s">
        <v>78</v>
      </c>
      <c r="Q68" s="55" t="s">
        <v>78</v>
      </c>
      <c r="R68" s="68">
        <v>45657</v>
      </c>
      <c r="S68" s="23">
        <v>0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3"/>
      <c r="AK68" s="3"/>
      <c r="AL68" s="3"/>
      <c r="AM68" s="3"/>
      <c r="AN68" s="3"/>
      <c r="AO68" s="3"/>
      <c r="AP68" s="3"/>
      <c r="AQ68" s="3"/>
    </row>
    <row r="69" spans="1:43" x14ac:dyDescent="0.2"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23"/>
      <c r="S69" s="23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3"/>
      <c r="AK69" s="3"/>
      <c r="AL69" s="3"/>
      <c r="AM69" s="3"/>
      <c r="AN69" s="3"/>
      <c r="AO69" s="3"/>
      <c r="AP69" s="3"/>
      <c r="AQ69" s="3"/>
    </row>
    <row r="70" spans="1:43" x14ac:dyDescent="0.2"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23"/>
      <c r="S70" s="23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3"/>
      <c r="AK70" s="3"/>
      <c r="AL70" s="3"/>
      <c r="AM70" s="3"/>
      <c r="AN70" s="3"/>
      <c r="AO70" s="3"/>
      <c r="AP70" s="3"/>
      <c r="AQ70" s="3"/>
    </row>
    <row r="71" spans="1:43" x14ac:dyDescent="0.2"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23"/>
      <c r="S71" s="23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3"/>
      <c r="AK71" s="3"/>
      <c r="AL71" s="3"/>
      <c r="AM71" s="3"/>
      <c r="AN71" s="3"/>
      <c r="AO71" s="3"/>
      <c r="AP71" s="3"/>
      <c r="AQ71" s="3"/>
    </row>
    <row r="72" spans="1:43" x14ac:dyDescent="0.2"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23"/>
      <c r="S72" s="23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3"/>
      <c r="AK72" s="3"/>
      <c r="AL72" s="3"/>
      <c r="AM72" s="3"/>
      <c r="AN72" s="3"/>
      <c r="AO72" s="3"/>
      <c r="AP72" s="3"/>
      <c r="AQ72" s="3"/>
    </row>
    <row r="73" spans="1:43" x14ac:dyDescent="0.2"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23"/>
      <c r="S73" s="23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3"/>
      <c r="AK73" s="3"/>
      <c r="AL73" s="3"/>
      <c r="AM73" s="3"/>
      <c r="AN73" s="3"/>
      <c r="AO73" s="3"/>
      <c r="AP73" s="3"/>
      <c r="AQ73" s="3"/>
    </row>
    <row r="74" spans="1:43" x14ac:dyDescent="0.2"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23"/>
      <c r="S74" s="23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3"/>
      <c r="AK74" s="3"/>
      <c r="AL74" s="3"/>
      <c r="AM74" s="3"/>
      <c r="AN74" s="3"/>
      <c r="AO74" s="3"/>
      <c r="AP74" s="3"/>
      <c r="AQ74" s="3"/>
    </row>
    <row r="75" spans="1:43" x14ac:dyDescent="0.2"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23"/>
      <c r="S75" s="23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3"/>
      <c r="AK75" s="3"/>
      <c r="AL75" s="3"/>
      <c r="AM75" s="3"/>
      <c r="AN75" s="3"/>
      <c r="AO75" s="3"/>
      <c r="AP75" s="3"/>
      <c r="AQ75" s="3"/>
    </row>
    <row r="76" spans="1:43" x14ac:dyDescent="0.2"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23"/>
      <c r="S76" s="23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3"/>
      <c r="AK76" s="3"/>
      <c r="AL76" s="3"/>
      <c r="AM76" s="3"/>
      <c r="AN76" s="3"/>
      <c r="AO76" s="3"/>
      <c r="AP76" s="3"/>
      <c r="AQ76" s="3"/>
    </row>
    <row r="77" spans="1:43" x14ac:dyDescent="0.2"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23"/>
      <c r="S77" s="23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3"/>
      <c r="AK77" s="3"/>
      <c r="AL77" s="3"/>
      <c r="AM77" s="3"/>
      <c r="AN77" s="3"/>
      <c r="AO77" s="3"/>
      <c r="AP77" s="3"/>
      <c r="AQ77" s="3"/>
    </row>
    <row r="78" spans="1:43" x14ac:dyDescent="0.2"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23"/>
      <c r="S78" s="23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3"/>
      <c r="AK78" s="3"/>
      <c r="AL78" s="3"/>
      <c r="AM78" s="3"/>
      <c r="AN78" s="3"/>
      <c r="AO78" s="3"/>
      <c r="AP78" s="3"/>
      <c r="AQ78" s="3"/>
    </row>
    <row r="79" spans="1:43" x14ac:dyDescent="0.2"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23"/>
      <c r="S79" s="23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3"/>
      <c r="AK79" s="3"/>
      <c r="AL79" s="3"/>
      <c r="AM79" s="3"/>
      <c r="AN79" s="3"/>
      <c r="AO79" s="3"/>
      <c r="AP79" s="3"/>
      <c r="AQ79" s="3"/>
    </row>
    <row r="80" spans="1:43" x14ac:dyDescent="0.2"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23"/>
      <c r="S80" s="23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3"/>
      <c r="AK80" s="3"/>
      <c r="AL80" s="3"/>
      <c r="AM80" s="3"/>
      <c r="AN80" s="3"/>
      <c r="AO80" s="3"/>
      <c r="AP80" s="3"/>
      <c r="AQ80" s="3"/>
    </row>
    <row r="81" spans="3:43" x14ac:dyDescent="0.2"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23"/>
      <c r="S81" s="23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3"/>
      <c r="AK81" s="3"/>
      <c r="AL81" s="3"/>
      <c r="AM81" s="3"/>
      <c r="AN81" s="3"/>
      <c r="AO81" s="3"/>
      <c r="AP81" s="3"/>
      <c r="AQ81" s="3"/>
    </row>
    <row r="82" spans="3:43" x14ac:dyDescent="0.2"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23"/>
      <c r="S82" s="23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23"/>
      <c r="S83" s="23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3"/>
      <c r="AK83" s="3"/>
      <c r="AL83" s="3"/>
      <c r="AM83" s="3"/>
      <c r="AN83" s="3"/>
      <c r="AO83" s="3"/>
      <c r="AP83" s="3"/>
      <c r="AQ83" s="3"/>
    </row>
    <row r="84" spans="3:43" x14ac:dyDescent="0.2"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23"/>
      <c r="S84" s="23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3"/>
      <c r="AK84" s="3"/>
      <c r="AL84" s="3"/>
      <c r="AM84" s="3"/>
      <c r="AN84" s="3"/>
      <c r="AO84" s="3"/>
      <c r="AP84" s="3"/>
      <c r="AQ84" s="3"/>
    </row>
    <row r="85" spans="3:43" x14ac:dyDescent="0.2"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23"/>
      <c r="S85" s="23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3"/>
      <c r="AK85" s="3"/>
      <c r="AL85" s="3"/>
      <c r="AM85" s="3"/>
      <c r="AN85" s="3"/>
      <c r="AO85" s="3"/>
      <c r="AP85" s="3"/>
      <c r="AQ85" s="3"/>
    </row>
    <row r="86" spans="3:43" x14ac:dyDescent="0.2"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23"/>
      <c r="S86" s="23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3"/>
      <c r="AK86" s="3"/>
      <c r="AL86" s="3"/>
      <c r="AM86" s="3"/>
      <c r="AN86" s="3"/>
      <c r="AO86" s="3"/>
      <c r="AP86" s="3"/>
      <c r="AQ86" s="3"/>
    </row>
    <row r="87" spans="3:43" x14ac:dyDescent="0.2"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23"/>
      <c r="S87" s="23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3"/>
      <c r="AK87" s="3"/>
      <c r="AL87" s="3"/>
      <c r="AM87" s="3"/>
      <c r="AN87" s="3"/>
      <c r="AO87" s="3"/>
      <c r="AP87" s="3"/>
      <c r="AQ87" s="3"/>
    </row>
    <row r="88" spans="3:43" x14ac:dyDescent="0.2"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23"/>
      <c r="S88" s="23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3"/>
      <c r="AK88" s="3"/>
      <c r="AL88" s="3"/>
      <c r="AM88" s="3"/>
      <c r="AN88" s="3"/>
      <c r="AO88" s="3"/>
      <c r="AP88" s="3"/>
      <c r="AQ88" s="3"/>
    </row>
    <row r="89" spans="3:43" x14ac:dyDescent="0.2"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23"/>
      <c r="S89" s="23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3"/>
      <c r="AK89" s="3"/>
      <c r="AL89" s="3"/>
      <c r="AM89" s="3"/>
      <c r="AN89" s="3"/>
      <c r="AO89" s="3"/>
      <c r="AP89" s="3"/>
      <c r="AQ89" s="3"/>
    </row>
    <row r="90" spans="3:43" x14ac:dyDescent="0.2"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23"/>
      <c r="S90" s="23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23"/>
      <c r="S91" s="23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3"/>
      <c r="AK91" s="3"/>
      <c r="AL91" s="3"/>
      <c r="AM91" s="3"/>
      <c r="AN91" s="3"/>
      <c r="AO91" s="3"/>
      <c r="AP91" s="3"/>
      <c r="AQ91" s="3"/>
    </row>
    <row r="92" spans="3:43" x14ac:dyDescent="0.2"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23"/>
      <c r="S92" s="23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3"/>
      <c r="AK92" s="3"/>
      <c r="AL92" s="3"/>
      <c r="AM92" s="3"/>
      <c r="AN92" s="3"/>
      <c r="AO92" s="3"/>
      <c r="AP92" s="3"/>
      <c r="AQ92" s="3"/>
    </row>
    <row r="93" spans="3:43" x14ac:dyDescent="0.2"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23"/>
      <c r="S93" s="23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3"/>
      <c r="AK93" s="3"/>
      <c r="AL93" s="3"/>
      <c r="AM93" s="3"/>
      <c r="AN93" s="3"/>
      <c r="AO93" s="3"/>
      <c r="AP93" s="3"/>
      <c r="AQ93" s="3"/>
    </row>
    <row r="94" spans="3:43" x14ac:dyDescent="0.2"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23"/>
      <c r="S94" s="23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3"/>
      <c r="AK94" s="3"/>
      <c r="AL94" s="3"/>
      <c r="AM94" s="3"/>
      <c r="AN94" s="3"/>
      <c r="AO94" s="3"/>
      <c r="AP94" s="3"/>
      <c r="AQ94" s="3"/>
    </row>
    <row r="95" spans="3:43" x14ac:dyDescent="0.2"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23"/>
      <c r="S95" s="23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23"/>
      <c r="S96" s="23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3"/>
      <c r="AK96" s="3"/>
      <c r="AL96" s="3"/>
      <c r="AM96" s="3"/>
      <c r="AN96" s="3"/>
      <c r="AO96" s="3"/>
      <c r="AP96" s="3"/>
      <c r="AQ96" s="3"/>
    </row>
    <row r="97" spans="3:43" x14ac:dyDescent="0.2"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23"/>
      <c r="S97" s="23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3"/>
      <c r="AK97" s="3"/>
      <c r="AL97" s="3"/>
      <c r="AM97" s="3"/>
      <c r="AN97" s="3"/>
      <c r="AO97" s="3"/>
      <c r="AP97" s="3"/>
      <c r="AQ97" s="3"/>
    </row>
    <row r="98" spans="3:43" x14ac:dyDescent="0.2"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23"/>
      <c r="S98" s="23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3"/>
      <c r="AK98" s="3"/>
      <c r="AL98" s="3"/>
      <c r="AM98" s="3"/>
      <c r="AN98" s="3"/>
      <c r="AO98" s="3"/>
      <c r="AP98" s="3"/>
      <c r="AQ98" s="3"/>
    </row>
    <row r="99" spans="3:43" x14ac:dyDescent="0.2"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23"/>
      <c r="S99" s="23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3"/>
      <c r="AK99" s="3"/>
      <c r="AL99" s="3"/>
      <c r="AM99" s="3"/>
      <c r="AN99" s="3"/>
      <c r="AO99" s="3"/>
      <c r="AP99" s="3"/>
      <c r="AQ99" s="3"/>
    </row>
    <row r="100" spans="3:43" x14ac:dyDescent="0.2"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23"/>
      <c r="S100" s="23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3"/>
      <c r="AK100" s="3"/>
      <c r="AL100" s="3"/>
      <c r="AM100" s="3"/>
      <c r="AN100" s="3"/>
      <c r="AO100" s="3"/>
      <c r="AP100" s="3"/>
      <c r="AQ100" s="3"/>
    </row>
    <row r="101" spans="3:43" x14ac:dyDescent="0.2"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23"/>
      <c r="S101" s="23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3"/>
      <c r="AK101" s="3"/>
      <c r="AL101" s="3"/>
      <c r="AM101" s="3"/>
      <c r="AN101" s="3"/>
      <c r="AO101" s="3"/>
      <c r="AP101" s="3"/>
      <c r="AQ101" s="3"/>
    </row>
    <row r="102" spans="3:43" x14ac:dyDescent="0.2"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23"/>
      <c r="S102" s="23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3"/>
      <c r="AK102" s="3"/>
      <c r="AL102" s="3"/>
      <c r="AM102" s="3"/>
      <c r="AN102" s="3"/>
      <c r="AO102" s="3"/>
      <c r="AP102" s="3"/>
      <c r="AQ102" s="3"/>
    </row>
    <row r="103" spans="3:43" x14ac:dyDescent="0.2"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23"/>
      <c r="S103" s="23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3"/>
      <c r="AK103" s="3"/>
      <c r="AL103" s="3"/>
      <c r="AM103" s="3"/>
      <c r="AN103" s="3"/>
      <c r="AO103" s="3"/>
      <c r="AP103" s="3"/>
      <c r="AQ103" s="3"/>
    </row>
    <row r="104" spans="3:43" x14ac:dyDescent="0.2"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23"/>
      <c r="S104" s="23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3"/>
      <c r="AK104" s="3"/>
      <c r="AL104" s="3"/>
      <c r="AM104" s="3"/>
      <c r="AN104" s="3"/>
      <c r="AO104" s="3"/>
      <c r="AP104" s="3"/>
      <c r="AQ104" s="3"/>
    </row>
    <row r="105" spans="3:43" x14ac:dyDescent="0.2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20"/>
      <c r="S105" s="20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3:43" x14ac:dyDescent="0.2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20"/>
      <c r="S106" s="20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3:43" x14ac:dyDescent="0.2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20"/>
      <c r="S107" s="20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3:43" x14ac:dyDescent="0.2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20"/>
      <c r="S108" s="20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3:43" x14ac:dyDescent="0.2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20"/>
      <c r="S109" s="20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3:43" x14ac:dyDescent="0.2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20"/>
      <c r="S110" s="20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3:43" x14ac:dyDescent="0.2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20"/>
      <c r="S111" s="20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3:43" x14ac:dyDescent="0.2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20"/>
      <c r="S112" s="20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3:43" x14ac:dyDescent="0.2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20"/>
      <c r="S113" s="20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3:43" x14ac:dyDescent="0.2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20"/>
      <c r="S114" s="20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3:43" x14ac:dyDescent="0.2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20"/>
      <c r="S115" s="20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3:43" x14ac:dyDescent="0.2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20"/>
      <c r="S116" s="20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3:43" x14ac:dyDescent="0.2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20"/>
      <c r="S117" s="20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3:43" x14ac:dyDescent="0.2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20"/>
      <c r="S118" s="20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3:43" x14ac:dyDescent="0.2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20"/>
      <c r="S119" s="20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3:43" x14ac:dyDescent="0.2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20"/>
      <c r="S120" s="20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3:43" x14ac:dyDescent="0.2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20"/>
      <c r="S121" s="20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3:43" x14ac:dyDescent="0.2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20"/>
      <c r="S122" s="20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3:43" x14ac:dyDescent="0.2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20"/>
      <c r="S123" s="20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3:43" x14ac:dyDescent="0.2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20"/>
      <c r="S124" s="20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3:43" x14ac:dyDescent="0.2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20"/>
      <c r="S125" s="20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3:43" x14ac:dyDescent="0.2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20"/>
      <c r="S126" s="20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3:43" x14ac:dyDescent="0.2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20"/>
      <c r="S127" s="20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3:43" x14ac:dyDescent="0.2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20"/>
      <c r="S128" s="20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3:43" x14ac:dyDescent="0.2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20"/>
      <c r="S129" s="20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3:43" x14ac:dyDescent="0.2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20"/>
      <c r="S130" s="20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3:43" x14ac:dyDescent="0.2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20"/>
      <c r="S131" s="20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3:43" x14ac:dyDescent="0.2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20"/>
      <c r="S132" s="20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3:43" x14ac:dyDescent="0.2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20"/>
      <c r="S133" s="20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3:43" x14ac:dyDescent="0.2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20"/>
      <c r="S134" s="20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3:43" x14ac:dyDescent="0.2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20"/>
      <c r="S135" s="20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3:43" x14ac:dyDescent="0.2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20"/>
      <c r="S136" s="20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3:43" x14ac:dyDescent="0.2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20"/>
      <c r="S137" s="20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3:43" x14ac:dyDescent="0.2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20"/>
      <c r="S138" s="20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3:43" x14ac:dyDescent="0.2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20"/>
      <c r="S139" s="20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3:43" x14ac:dyDescent="0.2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20"/>
      <c r="S140" s="20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3:43" x14ac:dyDescent="0.2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20"/>
      <c r="S141" s="20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3:43" x14ac:dyDescent="0.2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20"/>
      <c r="S142" s="20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3:43" x14ac:dyDescent="0.2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20"/>
      <c r="S143" s="20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3:43" x14ac:dyDescent="0.2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20"/>
      <c r="S144" s="20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3:43" x14ac:dyDescent="0.2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20"/>
      <c r="S145" s="20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3:43" x14ac:dyDescent="0.2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20"/>
      <c r="S146" s="20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3:43" x14ac:dyDescent="0.2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20"/>
      <c r="S147" s="20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3:43" x14ac:dyDescent="0.2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20"/>
      <c r="S148" s="20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3:43" x14ac:dyDescent="0.2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20"/>
      <c r="S149" s="20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3:43" x14ac:dyDescent="0.2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20"/>
      <c r="S150" s="20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3:43" x14ac:dyDescent="0.2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20"/>
      <c r="S151" s="20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3:43" x14ac:dyDescent="0.2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20"/>
      <c r="S152" s="20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3:43" x14ac:dyDescent="0.2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20"/>
      <c r="S153" s="20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3:43" x14ac:dyDescent="0.2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20"/>
      <c r="S154" s="20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3:43" x14ac:dyDescent="0.2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20"/>
      <c r="S155" s="20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3:43" x14ac:dyDescent="0.2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20"/>
      <c r="S156" s="20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3:43" x14ac:dyDescent="0.2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20"/>
      <c r="S157" s="20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3:43" x14ac:dyDescent="0.2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20"/>
      <c r="S158" s="20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3:43" x14ac:dyDescent="0.2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20"/>
      <c r="S159" s="20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3:43" x14ac:dyDescent="0.2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20"/>
      <c r="S160" s="20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3:43" x14ac:dyDescent="0.2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20"/>
      <c r="S161" s="20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3:43" x14ac:dyDescent="0.2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20"/>
      <c r="S162" s="20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3:43" x14ac:dyDescent="0.2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20"/>
      <c r="S163" s="20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3:43" x14ac:dyDescent="0.2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20"/>
      <c r="S164" s="20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3:43" x14ac:dyDescent="0.2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20"/>
      <c r="S165" s="20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3:43" x14ac:dyDescent="0.2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20"/>
      <c r="S166" s="20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3:43" x14ac:dyDescent="0.2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20"/>
      <c r="S167" s="20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3:43" x14ac:dyDescent="0.2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20"/>
      <c r="S168" s="20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3:43" x14ac:dyDescent="0.2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20"/>
      <c r="S169" s="20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3:43" x14ac:dyDescent="0.2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20"/>
      <c r="S170" s="20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3:43" x14ac:dyDescent="0.2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20"/>
      <c r="S171" s="20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3:43" x14ac:dyDescent="0.2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20"/>
      <c r="S172" s="20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3:43" x14ac:dyDescent="0.2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20"/>
      <c r="S173" s="20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3:43" x14ac:dyDescent="0.2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20"/>
      <c r="S174" s="20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3:43" x14ac:dyDescent="0.2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20"/>
      <c r="S175" s="20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3:43" x14ac:dyDescent="0.2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20"/>
      <c r="S176" s="20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3:43" x14ac:dyDescent="0.2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20"/>
      <c r="S177" s="20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3:43" x14ac:dyDescent="0.2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20"/>
      <c r="S178" s="20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3:43" x14ac:dyDescent="0.2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20"/>
      <c r="S179" s="20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3:43" x14ac:dyDescent="0.2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20"/>
      <c r="S180" s="20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3:43" x14ac:dyDescent="0.2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20"/>
      <c r="S181" s="20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3:43" x14ac:dyDescent="0.2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20"/>
      <c r="S182" s="20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3:43" x14ac:dyDescent="0.2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20"/>
      <c r="S183" s="20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3:43" x14ac:dyDescent="0.2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20"/>
      <c r="S184" s="20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3:43" x14ac:dyDescent="0.2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20"/>
      <c r="S185" s="20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3:43" x14ac:dyDescent="0.2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20"/>
      <c r="S186" s="20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3:43" x14ac:dyDescent="0.2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20"/>
      <c r="S187" s="20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3:43" x14ac:dyDescent="0.2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20"/>
      <c r="S188" s="20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3:43" x14ac:dyDescent="0.2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20"/>
      <c r="S189" s="20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3:43" x14ac:dyDescent="0.2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20"/>
      <c r="S190" s="20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3:43" x14ac:dyDescent="0.2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20"/>
      <c r="S191" s="20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3:43" x14ac:dyDescent="0.2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20"/>
      <c r="S192" s="20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3:43" x14ac:dyDescent="0.2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20"/>
      <c r="S193" s="20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3:43" x14ac:dyDescent="0.2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20"/>
      <c r="S194" s="20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3:43" x14ac:dyDescent="0.2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20"/>
      <c r="S195" s="20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3:43" x14ac:dyDescent="0.2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20"/>
      <c r="S196" s="20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3:43" x14ac:dyDescent="0.2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20"/>
      <c r="S197" s="20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3:43" x14ac:dyDescent="0.2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20"/>
      <c r="S198" s="20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3:43" x14ac:dyDescent="0.2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20"/>
      <c r="S199" s="20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3:43" x14ac:dyDescent="0.2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20"/>
      <c r="S200" s="20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3:43" x14ac:dyDescent="0.2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20"/>
      <c r="S201" s="20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3:43" x14ac:dyDescent="0.2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20"/>
      <c r="S202" s="20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3:43" x14ac:dyDescent="0.2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20"/>
      <c r="S203" s="20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3:43" x14ac:dyDescent="0.2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20"/>
      <c r="S204" s="20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3:43" x14ac:dyDescent="0.2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20"/>
      <c r="S205" s="20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3:43" x14ac:dyDescent="0.2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20"/>
      <c r="S206" s="20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3:43" x14ac:dyDescent="0.2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20"/>
      <c r="S207" s="20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3:43" x14ac:dyDescent="0.2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20"/>
      <c r="S208" s="20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3:43" x14ac:dyDescent="0.2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20"/>
      <c r="S209" s="20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3:43" x14ac:dyDescent="0.2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20"/>
      <c r="S210" s="20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3:43" x14ac:dyDescent="0.2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20"/>
      <c r="S211" s="20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3:43" x14ac:dyDescent="0.2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20"/>
      <c r="S212" s="20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3:43" x14ac:dyDescent="0.2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20"/>
      <c r="S213" s="20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3:43" x14ac:dyDescent="0.2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20"/>
      <c r="S214" s="20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3:43" x14ac:dyDescent="0.2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20"/>
      <c r="S215" s="20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3:43" x14ac:dyDescent="0.2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20"/>
      <c r="S216" s="20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3:43" x14ac:dyDescent="0.2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20"/>
      <c r="S217" s="20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3:43" x14ac:dyDescent="0.2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20"/>
      <c r="S218" s="20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3:43" x14ac:dyDescent="0.2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20"/>
      <c r="S219" s="20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3:43" x14ac:dyDescent="0.2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20"/>
      <c r="S220" s="20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3:43" x14ac:dyDescent="0.2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20"/>
      <c r="S221" s="20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3:43" x14ac:dyDescent="0.2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20"/>
      <c r="S222" s="20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3:43" x14ac:dyDescent="0.2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20"/>
      <c r="S223" s="20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3:43" x14ac:dyDescent="0.2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20"/>
      <c r="S224" s="20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3:43" x14ac:dyDescent="0.2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20"/>
      <c r="S225" s="20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3:43" x14ac:dyDescent="0.2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20"/>
      <c r="S226" s="20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3:43" x14ac:dyDescent="0.2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20"/>
      <c r="S227" s="20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3:43" x14ac:dyDescent="0.2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20"/>
      <c r="S228" s="20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3:43" x14ac:dyDescent="0.2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20"/>
      <c r="S229" s="20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3:43" x14ac:dyDescent="0.2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20"/>
      <c r="S230" s="20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3:43" x14ac:dyDescent="0.2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20"/>
      <c r="S231" s="20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3:43" x14ac:dyDescent="0.2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20"/>
      <c r="S232" s="20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3:43" x14ac:dyDescent="0.2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20"/>
      <c r="S233" s="20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3:43" x14ac:dyDescent="0.2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20"/>
      <c r="S234" s="20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3:43" x14ac:dyDescent="0.2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20"/>
      <c r="S235" s="20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3:43" x14ac:dyDescent="0.2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20"/>
      <c r="S236" s="20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3:43" x14ac:dyDescent="0.2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20"/>
      <c r="S237" s="20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3:43" x14ac:dyDescent="0.2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20"/>
      <c r="S238" s="20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3:43" x14ac:dyDescent="0.2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20"/>
      <c r="S239" s="20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3:43" x14ac:dyDescent="0.2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20"/>
      <c r="S240" s="20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3:43" x14ac:dyDescent="0.2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20"/>
      <c r="S241" s="20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3:43" x14ac:dyDescent="0.2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20"/>
      <c r="S242" s="20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3:43" x14ac:dyDescent="0.2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20"/>
      <c r="S243" s="20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3:43" x14ac:dyDescent="0.2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20"/>
      <c r="S244" s="20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3:43" x14ac:dyDescent="0.2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20"/>
      <c r="S245" s="20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3:43" x14ac:dyDescent="0.2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20"/>
      <c r="S246" s="20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3:43" x14ac:dyDescent="0.2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20"/>
      <c r="S247" s="20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3:43" x14ac:dyDescent="0.2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20"/>
      <c r="S248" s="20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3:43" x14ac:dyDescent="0.2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20"/>
      <c r="S249" s="20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3:43" x14ac:dyDescent="0.2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20"/>
      <c r="S250" s="20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3:43" x14ac:dyDescent="0.2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20"/>
      <c r="S251" s="20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3:43" x14ac:dyDescent="0.2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20"/>
      <c r="S252" s="20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3:43" x14ac:dyDescent="0.2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20"/>
      <c r="S253" s="20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3:43" x14ac:dyDescent="0.2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20"/>
      <c r="S254" s="20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3:43" x14ac:dyDescent="0.2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20"/>
      <c r="S255" s="20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3:43" x14ac:dyDescent="0.2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20"/>
      <c r="S256" s="20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8:43" x14ac:dyDescent="0.2"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8:43" x14ac:dyDescent="0.2"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8:43" x14ac:dyDescent="0.2"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8:43" x14ac:dyDescent="0.2"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8:43" x14ac:dyDescent="0.2"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8:43" x14ac:dyDescent="0.2"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8:43" x14ac:dyDescent="0.2"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8:43" x14ac:dyDescent="0.2"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8:43" x14ac:dyDescent="0.2"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8:43" x14ac:dyDescent="0.2"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8:43" x14ac:dyDescent="0.2"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8:43" x14ac:dyDescent="0.2"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8:43" x14ac:dyDescent="0.2"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8:43" x14ac:dyDescent="0.2"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8:43" x14ac:dyDescent="0.2"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8:43" x14ac:dyDescent="0.2"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8:43" x14ac:dyDescent="0.2"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8:43" x14ac:dyDescent="0.2"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8:43" x14ac:dyDescent="0.2"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8:43" x14ac:dyDescent="0.2"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8:43" x14ac:dyDescent="0.2"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8:43" x14ac:dyDescent="0.2"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8:43" x14ac:dyDescent="0.2"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8:43" x14ac:dyDescent="0.2"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8:43" x14ac:dyDescent="0.2"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8:43" x14ac:dyDescent="0.2"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8:43" x14ac:dyDescent="0.2"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8:43" x14ac:dyDescent="0.2"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8:43" x14ac:dyDescent="0.2"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8:43" x14ac:dyDescent="0.2"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8:43" x14ac:dyDescent="0.2"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8:43" x14ac:dyDescent="0.2"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8:43" x14ac:dyDescent="0.2"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8:43" x14ac:dyDescent="0.2"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8:43" x14ac:dyDescent="0.2"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8:43" x14ac:dyDescent="0.2"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8:43" x14ac:dyDescent="0.2"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8:43" x14ac:dyDescent="0.2"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8:43" x14ac:dyDescent="0.2"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8:43" x14ac:dyDescent="0.2"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8:43" x14ac:dyDescent="0.2"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8:43" x14ac:dyDescent="0.2"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8:43" x14ac:dyDescent="0.2"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8:43" x14ac:dyDescent="0.2"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8:43" x14ac:dyDescent="0.2"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8:43" x14ac:dyDescent="0.2"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8:43" x14ac:dyDescent="0.2"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8:43" x14ac:dyDescent="0.2"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8:43" x14ac:dyDescent="0.2"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8:43" x14ac:dyDescent="0.2"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8:43" x14ac:dyDescent="0.2"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8:43" x14ac:dyDescent="0.2"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8:43" x14ac:dyDescent="0.2"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8:43" x14ac:dyDescent="0.2"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8:43" x14ac:dyDescent="0.2"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8:43" x14ac:dyDescent="0.2"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8:43" x14ac:dyDescent="0.2"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8:43" x14ac:dyDescent="0.2"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8:43" x14ac:dyDescent="0.2"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8:43" x14ac:dyDescent="0.2"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8:43" x14ac:dyDescent="0.2"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8:43" x14ac:dyDescent="0.2"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8:43" x14ac:dyDescent="0.2"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8:43" x14ac:dyDescent="0.2"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8:43" x14ac:dyDescent="0.2"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8:43" x14ac:dyDescent="0.2"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8:43" x14ac:dyDescent="0.2"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8:43" x14ac:dyDescent="0.2"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8:43" x14ac:dyDescent="0.2"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8:43" x14ac:dyDescent="0.2"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8:43" x14ac:dyDescent="0.2"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8:43" x14ac:dyDescent="0.2"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8:43" x14ac:dyDescent="0.2"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8:43" x14ac:dyDescent="0.2"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8:43" x14ac:dyDescent="0.2"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8:43" x14ac:dyDescent="0.2"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8:43" x14ac:dyDescent="0.2"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8:43" x14ac:dyDescent="0.2"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8:43" x14ac:dyDescent="0.2"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8:43" x14ac:dyDescent="0.2"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8:43" x14ac:dyDescent="0.2"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8:43" x14ac:dyDescent="0.2"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8:43" x14ac:dyDescent="0.2"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8:43" x14ac:dyDescent="0.2"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8:43" x14ac:dyDescent="0.2"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8:43" x14ac:dyDescent="0.2"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8:43" x14ac:dyDescent="0.2"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8:43" x14ac:dyDescent="0.2"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8:43" x14ac:dyDescent="0.2"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8:43" x14ac:dyDescent="0.2"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8:43" x14ac:dyDescent="0.2"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8:43" x14ac:dyDescent="0.2"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8:43" x14ac:dyDescent="0.2"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8:43" x14ac:dyDescent="0.2"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8:43" x14ac:dyDescent="0.2"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8:43" x14ac:dyDescent="0.2"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8:43" x14ac:dyDescent="0.2"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8:43" x14ac:dyDescent="0.2"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8:43" x14ac:dyDescent="0.2"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8:43" x14ac:dyDescent="0.2"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8:43" x14ac:dyDescent="0.2"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8:43" x14ac:dyDescent="0.2"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8:43" x14ac:dyDescent="0.2"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8:43" x14ac:dyDescent="0.2"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8:43" x14ac:dyDescent="0.2"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8:43" x14ac:dyDescent="0.2"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8:43" x14ac:dyDescent="0.2"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8:43" x14ac:dyDescent="0.2"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8:43" x14ac:dyDescent="0.2"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8:43" x14ac:dyDescent="0.2"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8:43" x14ac:dyDescent="0.2"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8:43" x14ac:dyDescent="0.2"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8:43" x14ac:dyDescent="0.2"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8:43" x14ac:dyDescent="0.2"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8:43" x14ac:dyDescent="0.2"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8:43" x14ac:dyDescent="0.2"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8:43" x14ac:dyDescent="0.2"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8:43" x14ac:dyDescent="0.2"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8:43" x14ac:dyDescent="0.2"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8:43" x14ac:dyDescent="0.2"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8:43" x14ac:dyDescent="0.2"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8:43" x14ac:dyDescent="0.2"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8:43" x14ac:dyDescent="0.2"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8:43" x14ac:dyDescent="0.2"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8:43" x14ac:dyDescent="0.2"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8:43" x14ac:dyDescent="0.2"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8:43" x14ac:dyDescent="0.2"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8:43" x14ac:dyDescent="0.2"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8:43" x14ac:dyDescent="0.2"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8:43" x14ac:dyDescent="0.2"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8:43" x14ac:dyDescent="0.2"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8:43" x14ac:dyDescent="0.2"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8:43" x14ac:dyDescent="0.2"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8:43" x14ac:dyDescent="0.2"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8:43" x14ac:dyDescent="0.2"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8:43" x14ac:dyDescent="0.2"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8:43" x14ac:dyDescent="0.2"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8:43" x14ac:dyDescent="0.2"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8:43" x14ac:dyDescent="0.2"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8:43" x14ac:dyDescent="0.2"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8:43" x14ac:dyDescent="0.2"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8:43" x14ac:dyDescent="0.2"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8:43" x14ac:dyDescent="0.2"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8:43" x14ac:dyDescent="0.2"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8:43" x14ac:dyDescent="0.2"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8:43" x14ac:dyDescent="0.2"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8:43" x14ac:dyDescent="0.2"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8:43" x14ac:dyDescent="0.2"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8:43" x14ac:dyDescent="0.2"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8:43" x14ac:dyDescent="0.2"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8:43" x14ac:dyDescent="0.2"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8:43" x14ac:dyDescent="0.2"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8:43" x14ac:dyDescent="0.2"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8:43" x14ac:dyDescent="0.2"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8:43" x14ac:dyDescent="0.2"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8:43" x14ac:dyDescent="0.2"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8:43" x14ac:dyDescent="0.2"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8:43" x14ac:dyDescent="0.2"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8:43" x14ac:dyDescent="0.2"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8:43" x14ac:dyDescent="0.2"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8:43" x14ac:dyDescent="0.2"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8:43" x14ac:dyDescent="0.2"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8:43" x14ac:dyDescent="0.2"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8:43" x14ac:dyDescent="0.2"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8:43" x14ac:dyDescent="0.2"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8:43" x14ac:dyDescent="0.2"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8:43" x14ac:dyDescent="0.2"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8:43" x14ac:dyDescent="0.2"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8:43" x14ac:dyDescent="0.2"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8:43" x14ac:dyDescent="0.2"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8:43" x14ac:dyDescent="0.2"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8:43" x14ac:dyDescent="0.2"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8:43" x14ac:dyDescent="0.2"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8:43" x14ac:dyDescent="0.2"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8:43" x14ac:dyDescent="0.2"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8:43" x14ac:dyDescent="0.2"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8:43" x14ac:dyDescent="0.2"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8:43" x14ac:dyDescent="0.2"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8:43" x14ac:dyDescent="0.2"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8:43" x14ac:dyDescent="0.2"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8:43" x14ac:dyDescent="0.2"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8:43" x14ac:dyDescent="0.2"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8:43" x14ac:dyDescent="0.2"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8:43" x14ac:dyDescent="0.2"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8:43" x14ac:dyDescent="0.2"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8:43" x14ac:dyDescent="0.2"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8:43" x14ac:dyDescent="0.2"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8:43" x14ac:dyDescent="0.2"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8:43" x14ac:dyDescent="0.2"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8:43" x14ac:dyDescent="0.2"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8:43" x14ac:dyDescent="0.2"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8:43" x14ac:dyDescent="0.2"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8:43" x14ac:dyDescent="0.2"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8:43" x14ac:dyDescent="0.2"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8:43" x14ac:dyDescent="0.2"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8:43" x14ac:dyDescent="0.2"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8:43" x14ac:dyDescent="0.2"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8:43" x14ac:dyDescent="0.2"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8:43" x14ac:dyDescent="0.2"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8:43" x14ac:dyDescent="0.2"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8:43" x14ac:dyDescent="0.2"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8:43" x14ac:dyDescent="0.2"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8:43" x14ac:dyDescent="0.2"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8:43" x14ac:dyDescent="0.2"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8:43" x14ac:dyDescent="0.2"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8:43" x14ac:dyDescent="0.2"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8:43" x14ac:dyDescent="0.2"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8:43" x14ac:dyDescent="0.2"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8:43" x14ac:dyDescent="0.2"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8:43" x14ac:dyDescent="0.2"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8:43" x14ac:dyDescent="0.2"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8:43" x14ac:dyDescent="0.2"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8:43" x14ac:dyDescent="0.2"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8:43" x14ac:dyDescent="0.2"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8:43" x14ac:dyDescent="0.2"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8:43" x14ac:dyDescent="0.2"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8:43" x14ac:dyDescent="0.2"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8:43" x14ac:dyDescent="0.2"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8:43" x14ac:dyDescent="0.2"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8:43" x14ac:dyDescent="0.2"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8:43" x14ac:dyDescent="0.2"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8:43" x14ac:dyDescent="0.2"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8:43" x14ac:dyDescent="0.2"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8:43" x14ac:dyDescent="0.2"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8:43" x14ac:dyDescent="0.2"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8:43" x14ac:dyDescent="0.2"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8:43" x14ac:dyDescent="0.2"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8:43" x14ac:dyDescent="0.2"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8:43" x14ac:dyDescent="0.2"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8:43" x14ac:dyDescent="0.2"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8:43" x14ac:dyDescent="0.2"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8:43" x14ac:dyDescent="0.2"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8:43" x14ac:dyDescent="0.2"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8:43" x14ac:dyDescent="0.2"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8:43" x14ac:dyDescent="0.2"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8:43" x14ac:dyDescent="0.2"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8:43" x14ac:dyDescent="0.2"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8:43" x14ac:dyDescent="0.2"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8:43" x14ac:dyDescent="0.2"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8:43" x14ac:dyDescent="0.2"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8:43" x14ac:dyDescent="0.2"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8:43" x14ac:dyDescent="0.2"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8:43" x14ac:dyDescent="0.2"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8:43" x14ac:dyDescent="0.2"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8:43" x14ac:dyDescent="0.2"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8:43" x14ac:dyDescent="0.2"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8:43" x14ac:dyDescent="0.2"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8:43" x14ac:dyDescent="0.2"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8:43" x14ac:dyDescent="0.2"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8:43" x14ac:dyDescent="0.2"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8:43" x14ac:dyDescent="0.2"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8:43" x14ac:dyDescent="0.2"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8:43" x14ac:dyDescent="0.2"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8:43" x14ac:dyDescent="0.2"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8:43" x14ac:dyDescent="0.2"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8:43" x14ac:dyDescent="0.2"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8:43" x14ac:dyDescent="0.2"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8:43" x14ac:dyDescent="0.2"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8:43" x14ac:dyDescent="0.2"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8:43" x14ac:dyDescent="0.2"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8:43" x14ac:dyDescent="0.2"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8:43" x14ac:dyDescent="0.2"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8:43" x14ac:dyDescent="0.2"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8:43" x14ac:dyDescent="0.2"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8:43" x14ac:dyDescent="0.2"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8:43" x14ac:dyDescent="0.2"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8:43" x14ac:dyDescent="0.2"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8:43" x14ac:dyDescent="0.2"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8:43" x14ac:dyDescent="0.2"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8:43" x14ac:dyDescent="0.2"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8:43" x14ac:dyDescent="0.2"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8:43" x14ac:dyDescent="0.2"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8:43" x14ac:dyDescent="0.2"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8:43" x14ac:dyDescent="0.2"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8:43" x14ac:dyDescent="0.2"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8:43" x14ac:dyDescent="0.2"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8:43" x14ac:dyDescent="0.2"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8:43" x14ac:dyDescent="0.2"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8:43" x14ac:dyDescent="0.2"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8:43" x14ac:dyDescent="0.2"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8:43" x14ac:dyDescent="0.2"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8:43" x14ac:dyDescent="0.2"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8:43" x14ac:dyDescent="0.2"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8:43" x14ac:dyDescent="0.2"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8:43" x14ac:dyDescent="0.2"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8:43" x14ac:dyDescent="0.2"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8:43" x14ac:dyDescent="0.2"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8:43" x14ac:dyDescent="0.2"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8:43" x14ac:dyDescent="0.2"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8:43" x14ac:dyDescent="0.2"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8:43" x14ac:dyDescent="0.2"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8:43" x14ac:dyDescent="0.2"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8:43" x14ac:dyDescent="0.2"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8:43" x14ac:dyDescent="0.2"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8:43" x14ac:dyDescent="0.2"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8:43" x14ac:dyDescent="0.2"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8:43" x14ac:dyDescent="0.2"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8:43" x14ac:dyDescent="0.2"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8:43" x14ac:dyDescent="0.2"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8:43" x14ac:dyDescent="0.2"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8:43" x14ac:dyDescent="0.2"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8:43" x14ac:dyDescent="0.2"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8:43" x14ac:dyDescent="0.2"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8:43" x14ac:dyDescent="0.2"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8:43" x14ac:dyDescent="0.2"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8:43" x14ac:dyDescent="0.2"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8:43" x14ac:dyDescent="0.2"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8:43" x14ac:dyDescent="0.2"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8:43" x14ac:dyDescent="0.2"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8:43" x14ac:dyDescent="0.2"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8:43" x14ac:dyDescent="0.2"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8:43" x14ac:dyDescent="0.2"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8:43" x14ac:dyDescent="0.2"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8:43" x14ac:dyDescent="0.2"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8:43" x14ac:dyDescent="0.2"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8:43" x14ac:dyDescent="0.2"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8:43" x14ac:dyDescent="0.2"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8:43" x14ac:dyDescent="0.2"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8:43" x14ac:dyDescent="0.2"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8:43" x14ac:dyDescent="0.2"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8:43" x14ac:dyDescent="0.2"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8:43" x14ac:dyDescent="0.2"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8:43" x14ac:dyDescent="0.2"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8:43" x14ac:dyDescent="0.2"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8:43" x14ac:dyDescent="0.2"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8:43" x14ac:dyDescent="0.2"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8:43" x14ac:dyDescent="0.2"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8:43" x14ac:dyDescent="0.2"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8:43" x14ac:dyDescent="0.2"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8:43" x14ac:dyDescent="0.2"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8:43" x14ac:dyDescent="0.2"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8:43" x14ac:dyDescent="0.2"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8:43" x14ac:dyDescent="0.2"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8:43" x14ac:dyDescent="0.2"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8:43" x14ac:dyDescent="0.2"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8:43" x14ac:dyDescent="0.2"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8:43" x14ac:dyDescent="0.2"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8:43" x14ac:dyDescent="0.2"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8:43" x14ac:dyDescent="0.2"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8:43" x14ac:dyDescent="0.2"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8:43" x14ac:dyDescent="0.2"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8:43" x14ac:dyDescent="0.2"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8:43" x14ac:dyDescent="0.2"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8:43" x14ac:dyDescent="0.2"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8:43" x14ac:dyDescent="0.2"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8:43" x14ac:dyDescent="0.2"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8:43" x14ac:dyDescent="0.2"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8:43" x14ac:dyDescent="0.2"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8:43" x14ac:dyDescent="0.2"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8:43" x14ac:dyDescent="0.2"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8:43" x14ac:dyDescent="0.2"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8:43" x14ac:dyDescent="0.2"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8:43" x14ac:dyDescent="0.2"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8:43" x14ac:dyDescent="0.2"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8:43" x14ac:dyDescent="0.2"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8:43" x14ac:dyDescent="0.2"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8:43" x14ac:dyDescent="0.2"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8:43" x14ac:dyDescent="0.2"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8:43" x14ac:dyDescent="0.2"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8:43" x14ac:dyDescent="0.2"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8:43" x14ac:dyDescent="0.2"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8:43" x14ac:dyDescent="0.2"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8:43" x14ac:dyDescent="0.2"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8:43" x14ac:dyDescent="0.2"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8:43" x14ac:dyDescent="0.2"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8:43" x14ac:dyDescent="0.2"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8:43" x14ac:dyDescent="0.2"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8:43" x14ac:dyDescent="0.2"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8:43" x14ac:dyDescent="0.2"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8:43" x14ac:dyDescent="0.2"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8:43" x14ac:dyDescent="0.2"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8:43" x14ac:dyDescent="0.2"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8:43" x14ac:dyDescent="0.2"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8:43" x14ac:dyDescent="0.2"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8:43" x14ac:dyDescent="0.2"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8:43" x14ac:dyDescent="0.2"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8:43" x14ac:dyDescent="0.2"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8:43" x14ac:dyDescent="0.2"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8:43" x14ac:dyDescent="0.2"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8:43" x14ac:dyDescent="0.2"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8:43" x14ac:dyDescent="0.2"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8:43" x14ac:dyDescent="0.2"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8:43" x14ac:dyDescent="0.2"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8:43" x14ac:dyDescent="0.2"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8:43" x14ac:dyDescent="0.2"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8:43" x14ac:dyDescent="0.2"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8:43" x14ac:dyDescent="0.2"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8:43" x14ac:dyDescent="0.2"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8:43" x14ac:dyDescent="0.2"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8:43" x14ac:dyDescent="0.2"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8:43" x14ac:dyDescent="0.2"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8:43" x14ac:dyDescent="0.2"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8:43" x14ac:dyDescent="0.2"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8:43" x14ac:dyDescent="0.2"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</sheetData>
  <autoFilter ref="A2:T2"/>
  <sortState ref="B4:S29">
    <sortCondition ref="B3"/>
  </sortState>
  <phoneticPr fontId="1" type="noConversion"/>
  <pageMargins left="0.75" right="0.75" top="1" bottom="1" header="0" footer="0"/>
  <pageSetup paperSize="9" orientation="portrait" r:id="rId1"/>
  <headerFooter alignWithMargins="0"/>
  <cellWatches>
    <cellWatch r="C34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R016-04</vt:lpstr>
      <vt:lpstr>SIMBOLOGIA</vt:lpstr>
      <vt:lpstr>Auxiliar</vt:lpstr>
      <vt:lpstr>'R016-04'!Área_de_impresión</vt:lpstr>
    </vt:vector>
  </TitlesOfParts>
  <Company>Usuario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Bettio</dc:creator>
  <cp:lastModifiedBy>Lorenzo Contigiani</cp:lastModifiedBy>
  <cp:lastPrinted>2023-01-05T19:11:05Z</cp:lastPrinted>
  <dcterms:created xsi:type="dcterms:W3CDTF">2008-05-02T14:04:52Z</dcterms:created>
  <dcterms:modified xsi:type="dcterms:W3CDTF">2026-01-12T20:05:53Z</dcterms:modified>
</cp:coreProperties>
</file>