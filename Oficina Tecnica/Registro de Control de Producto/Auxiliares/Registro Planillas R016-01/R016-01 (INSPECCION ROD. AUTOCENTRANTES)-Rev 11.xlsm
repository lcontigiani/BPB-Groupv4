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55\utn\REGISTROS\R016-01\"/>
    </mc:Choice>
  </mc:AlternateContent>
  <bookViews>
    <workbookView xWindow="0" yWindow="0" windowWidth="28800" windowHeight="12330" activeTab="2"/>
  </bookViews>
  <sheets>
    <sheet name="R016-03" sheetId="1" r:id="rId1"/>
    <sheet name="SIMBOLOGIA" sheetId="2" r:id="rId2"/>
    <sheet name="Auxiliar" sheetId="3" r:id="rId3"/>
    <sheet name="Hoja observaciones" sheetId="4" r:id="rId4"/>
  </sheets>
  <definedNames>
    <definedName name="_xlnm._FilterDatabase" localSheetId="2" hidden="1">Auxiliar!$A$2:$AJ$405</definedName>
  </definedNames>
  <calcPr calcId="162913"/>
</workbook>
</file>

<file path=xl/calcChain.xml><?xml version="1.0" encoding="utf-8"?>
<calcChain xmlns="http://schemas.openxmlformats.org/spreadsheetml/2006/main">
  <c r="S40" i="1" l="1"/>
  <c r="S39" i="1"/>
  <c r="S38" i="1"/>
  <c r="S32" i="1"/>
  <c r="S31" i="1"/>
  <c r="S27" i="1"/>
  <c r="S26" i="1"/>
  <c r="S25" i="1"/>
  <c r="S24" i="1"/>
  <c r="S23" i="1"/>
  <c r="S22" i="1"/>
  <c r="R22" i="1"/>
  <c r="S21" i="1"/>
  <c r="S20" i="1"/>
  <c r="R20" i="1"/>
  <c r="S19" i="1"/>
  <c r="S18" i="1"/>
  <c r="R18" i="1"/>
  <c r="S17" i="1"/>
  <c r="S16" i="1"/>
  <c r="R16" i="1"/>
  <c r="S15" i="1"/>
  <c r="S14" i="1"/>
  <c r="R14" i="1"/>
  <c r="AD8" i="1"/>
  <c r="X8" i="1"/>
  <c r="P25" i="4"/>
  <c r="N8" i="4"/>
  <c r="H8" i="4"/>
  <c r="C40" i="1"/>
  <c r="C39" i="1"/>
  <c r="C19" i="1"/>
  <c r="C18" i="1"/>
  <c r="C21" i="1"/>
  <c r="C20" i="1"/>
  <c r="B18" i="1"/>
  <c r="B20" i="1"/>
  <c r="C27" i="1"/>
  <c r="C26" i="1"/>
  <c r="C25" i="1"/>
  <c r="C24" i="1"/>
  <c r="C23" i="1"/>
  <c r="C22" i="1"/>
  <c r="C17" i="1"/>
  <c r="C16" i="1"/>
  <c r="C15" i="1"/>
  <c r="C14" i="1"/>
  <c r="C38" i="1"/>
  <c r="C32" i="1"/>
  <c r="C31" i="1"/>
  <c r="B22" i="1"/>
  <c r="B16" i="1"/>
  <c r="B14" i="1"/>
  <c r="N8" i="1"/>
  <c r="H8" i="1"/>
</calcChain>
</file>

<file path=xl/sharedStrings.xml><?xml version="1.0" encoding="utf-8"?>
<sst xmlns="http://schemas.openxmlformats.org/spreadsheetml/2006/main" count="3695" uniqueCount="750">
  <si>
    <t>ITEM</t>
  </si>
  <si>
    <t>Nº 1</t>
  </si>
  <si>
    <t>Nº 2</t>
  </si>
  <si>
    <t>Nº 3</t>
  </si>
  <si>
    <t>Nº 4</t>
  </si>
  <si>
    <t>Nº 5</t>
  </si>
  <si>
    <t>Nº 6</t>
  </si>
  <si>
    <t>Nº 7</t>
  </si>
  <si>
    <t>Nº 8</t>
  </si>
  <si>
    <t>Nº 10</t>
  </si>
  <si>
    <t xml:space="preserve">        C</t>
  </si>
  <si>
    <t xml:space="preserve">        D</t>
  </si>
  <si>
    <t xml:space="preserve">        B</t>
  </si>
  <si>
    <t xml:space="preserve">        d</t>
  </si>
  <si>
    <t xml:space="preserve">                                        </t>
  </si>
  <si>
    <t>PAG. 01 - 01</t>
  </si>
  <si>
    <t>Nº 9</t>
  </si>
  <si>
    <r>
      <t>MEDICIONES /</t>
    </r>
    <r>
      <rPr>
        <sz val="7"/>
        <rFont val="Arial"/>
        <family val="2"/>
      </rPr>
      <t>ACTUAL READINGS</t>
    </r>
    <r>
      <rPr>
        <sz val="8"/>
        <rFont val="Arial"/>
        <family val="2"/>
      </rPr>
      <t xml:space="preserve"> (µm)</t>
    </r>
  </si>
  <si>
    <t>PERMANENTE</t>
  </si>
  <si>
    <r>
      <t xml:space="preserve">D.NOMINAL / </t>
    </r>
    <r>
      <rPr>
        <sz val="5"/>
        <rFont val="Arial"/>
        <family val="2"/>
      </rPr>
      <t>NOMINAL DIM.</t>
    </r>
    <r>
      <rPr>
        <sz val="7"/>
        <rFont val="Arial"/>
        <family val="2"/>
      </rPr>
      <t xml:space="preserve">   (mm)</t>
    </r>
  </si>
  <si>
    <t>DUREZA / HARDNESS (HRC)</t>
  </si>
  <si>
    <t xml:space="preserve"> C:</t>
  </si>
  <si>
    <t>D:</t>
  </si>
  <si>
    <r>
      <t>V</t>
    </r>
    <r>
      <rPr>
        <vertAlign val="subscript"/>
        <sz val="12"/>
        <rFont val="Arial"/>
        <family val="2"/>
      </rPr>
      <t>Dp</t>
    </r>
    <r>
      <rPr>
        <sz val="12"/>
        <rFont val="Arial"/>
        <family val="2"/>
      </rPr>
      <t>:</t>
    </r>
  </si>
  <si>
    <r>
      <t>re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:</t>
    </r>
  </si>
  <si>
    <r>
      <t>re</t>
    </r>
    <r>
      <rPr>
        <vertAlign val="subscript"/>
        <sz val="12"/>
        <rFont val="Arial"/>
        <family val="2"/>
      </rPr>
      <t>R</t>
    </r>
    <r>
      <rPr>
        <sz val="12"/>
        <rFont val="Arial"/>
        <family val="2"/>
      </rPr>
      <t>:</t>
    </r>
  </si>
  <si>
    <t>B:</t>
  </si>
  <si>
    <t>d:</t>
  </si>
  <si>
    <r>
      <t>V</t>
    </r>
    <r>
      <rPr>
        <vertAlign val="subscript"/>
        <sz val="12"/>
        <rFont val="Arial"/>
        <family val="2"/>
      </rPr>
      <t>dp</t>
    </r>
    <r>
      <rPr>
        <sz val="12"/>
        <rFont val="Arial"/>
        <family val="2"/>
      </rPr>
      <t>:</t>
    </r>
  </si>
  <si>
    <r>
      <t>V</t>
    </r>
    <r>
      <rPr>
        <vertAlign val="subscript"/>
        <sz val="12"/>
        <rFont val="Arial"/>
        <family val="2"/>
      </rPr>
      <t>dmp</t>
    </r>
    <r>
      <rPr>
        <sz val="12"/>
        <rFont val="Arial"/>
        <family val="2"/>
      </rPr>
      <t>:</t>
    </r>
  </si>
  <si>
    <r>
      <t>ri</t>
    </r>
    <r>
      <rPr>
        <vertAlign val="subscript"/>
        <sz val="12"/>
        <rFont val="Arial"/>
        <family val="2"/>
      </rPr>
      <t>A</t>
    </r>
    <r>
      <rPr>
        <sz val="12"/>
        <rFont val="Arial"/>
        <family val="2"/>
      </rPr>
      <t>:</t>
    </r>
  </si>
  <si>
    <r>
      <t>ri</t>
    </r>
    <r>
      <rPr>
        <vertAlign val="subscript"/>
        <sz val="12"/>
        <rFont val="Arial"/>
        <family val="2"/>
      </rPr>
      <t>R</t>
    </r>
    <r>
      <rPr>
        <sz val="12"/>
        <rFont val="Arial"/>
        <family val="2"/>
      </rPr>
      <t>:</t>
    </r>
  </si>
  <si>
    <t>Diámetro exterior del rodamiento / Bearing outside diameter</t>
  </si>
  <si>
    <t>Conicidad del agujero del aro interior (diferencia de medida en ambos lados) / Mean bore diameter variation</t>
  </si>
  <si>
    <t>Ancho del aro exterior / Outer ring width</t>
  </si>
  <si>
    <t>Variación del diámetro exterior en un plano radial simple / Outside diameter variation in single radial plane</t>
  </si>
  <si>
    <t>Dimensión axial del chaflán en el aro exterior / Outer ring axial chamfer dimension</t>
  </si>
  <si>
    <t>Dimensión radial del chaflán en el aro exterior / Outer ring radial chamfer dimension</t>
  </si>
  <si>
    <t>Ancho del aro interior / Inner ring width</t>
  </si>
  <si>
    <t>Diámetro del agujero del aro interior del rodamiento / Bearing bore diameter</t>
  </si>
  <si>
    <t>Variación diametral del agujero del aro interior en un plano radial simple / Bore diameter variation in a single radial plane</t>
  </si>
  <si>
    <t>Dimensión axial del chaflán en el aro interior / Inner ring axial chamfer dimension</t>
  </si>
  <si>
    <t>Dimensión radial del claflán en el aro interior / Innedir ring radial chamfer dimension</t>
  </si>
  <si>
    <t>GR:</t>
  </si>
  <si>
    <t>Juego radial</t>
  </si>
  <si>
    <r>
      <t>ARO INTERIOR</t>
    </r>
    <r>
      <rPr>
        <sz val="8"/>
        <rFont val="Arial"/>
        <family val="2"/>
      </rPr>
      <t xml:space="preserve"> /</t>
    </r>
    <r>
      <rPr>
        <sz val="5"/>
        <rFont val="Arial"/>
        <family val="2"/>
      </rPr>
      <t xml:space="preserve"> INNER RING</t>
    </r>
  </si>
  <si>
    <r>
      <t>ARO EXTERIOR</t>
    </r>
    <r>
      <rPr>
        <sz val="7"/>
        <rFont val="Arial"/>
        <family val="2"/>
      </rPr>
      <t xml:space="preserve"> /</t>
    </r>
    <r>
      <rPr>
        <sz val="5"/>
        <rFont val="Arial"/>
        <family val="2"/>
      </rPr>
      <t xml:space="preserve"> OUTER RING</t>
    </r>
  </si>
  <si>
    <r>
      <t xml:space="preserve">UBIC. EN DEPOSITO / </t>
    </r>
    <r>
      <rPr>
        <sz val="6"/>
        <rFont val="Arial"/>
        <family val="2"/>
      </rPr>
      <t>LOCATION IN DEPOSITS</t>
    </r>
    <r>
      <rPr>
        <sz val="8"/>
        <rFont val="Arial"/>
        <family val="2"/>
      </rPr>
      <t>:</t>
    </r>
  </si>
  <si>
    <r>
      <t xml:space="preserve">PROVEEDOR / </t>
    </r>
    <r>
      <rPr>
        <sz val="6"/>
        <rFont val="Arial"/>
        <family val="2"/>
      </rPr>
      <t>SUPPLIER</t>
    </r>
    <r>
      <rPr>
        <sz val="8"/>
        <rFont val="Arial"/>
        <family val="2"/>
      </rPr>
      <t>:</t>
    </r>
  </si>
  <si>
    <r>
      <t xml:space="preserve">CRITERIO DE MUESTRA / </t>
    </r>
    <r>
      <rPr>
        <sz val="6"/>
        <rFont val="Arial"/>
        <family val="2"/>
      </rPr>
      <t>SAMPLE DISCRETION</t>
    </r>
    <r>
      <rPr>
        <sz val="8"/>
        <rFont val="Arial"/>
        <family val="2"/>
      </rPr>
      <t>:</t>
    </r>
  </si>
  <si>
    <r>
      <t xml:space="preserve">        SIGNIFICADO DE LA SIMBOLOGIA            </t>
    </r>
    <r>
      <rPr>
        <sz val="12"/>
        <rFont val="Arial"/>
        <family val="2"/>
      </rPr>
      <t>Symbol Meaning</t>
    </r>
  </si>
  <si>
    <r>
      <t xml:space="preserve">    FIRMA DEL INSPECTOR DE CALIDAD Y FECHA   /   </t>
    </r>
    <r>
      <rPr>
        <sz val="9"/>
        <rFont val="Arial"/>
        <family val="2"/>
      </rPr>
      <t>NAME AND SIGNATURE OF THE INSPECTOR QUALITY</t>
    </r>
  </si>
  <si>
    <t>Codigo</t>
  </si>
  <si>
    <t>TOLERANCIA</t>
  </si>
  <si>
    <t>Elegido</t>
  </si>
  <si>
    <t>C</t>
  </si>
  <si>
    <t>D</t>
  </si>
  <si>
    <t>B</t>
  </si>
  <si>
    <t>d</t>
  </si>
  <si>
    <t>DIMENSION NOMINAL</t>
  </si>
  <si>
    <t>C+</t>
  </si>
  <si>
    <t>C-</t>
  </si>
  <si>
    <t>D+</t>
  </si>
  <si>
    <t>D-</t>
  </si>
  <si>
    <t>B+</t>
  </si>
  <si>
    <t>B-</t>
  </si>
  <si>
    <t>d+</t>
  </si>
  <si>
    <t>d-</t>
  </si>
  <si>
    <t>ARO INT -</t>
  </si>
  <si>
    <t>ARO INT+</t>
  </si>
  <si>
    <t>ARO EXT +</t>
  </si>
  <si>
    <t>ARO EXT -</t>
  </si>
  <si>
    <r>
      <t>LUGAR DE INSPEC.</t>
    </r>
    <r>
      <rPr>
        <sz val="8"/>
        <rFont val="Arial"/>
        <family val="2"/>
      </rPr>
      <t xml:space="preserve"> /    </t>
    </r>
    <r>
      <rPr>
        <sz val="5"/>
        <rFont val="Arial"/>
        <family val="2"/>
      </rPr>
      <t>NAME OF INSPECTION FACILITY</t>
    </r>
    <r>
      <rPr>
        <sz val="8"/>
        <rFont val="Arial"/>
        <family val="2"/>
      </rPr>
      <t xml:space="preserve">: </t>
    </r>
  </si>
  <si>
    <t>Rev.</t>
  </si>
  <si>
    <t>REV.</t>
  </si>
  <si>
    <t>LABORATORIO BPB</t>
  </si>
  <si>
    <r>
      <t xml:space="preserve">PRODUCTO / </t>
    </r>
    <r>
      <rPr>
        <sz val="6"/>
        <rFont val="Arial"/>
        <family val="2"/>
      </rPr>
      <t>PRODUCT</t>
    </r>
    <r>
      <rPr>
        <sz val="8"/>
        <rFont val="Arial"/>
        <family val="2"/>
      </rPr>
      <t>:</t>
    </r>
  </si>
  <si>
    <r>
      <t>ANCLAJE DE SELLOS</t>
    </r>
    <r>
      <rPr>
        <sz val="6"/>
        <rFont val="Arial"/>
        <family val="2"/>
      </rPr>
      <t>/ 
SEAL STACKING TEST</t>
    </r>
  </si>
  <si>
    <r>
      <t>ANGULO DE PRISIONEROS</t>
    </r>
    <r>
      <rPr>
        <sz val="6"/>
        <rFont val="Arial"/>
        <family val="2"/>
      </rPr>
      <t>/
ANGLE OF LOCKING SCREW</t>
    </r>
  </si>
  <si>
    <r>
      <t>GRABADO</t>
    </r>
    <r>
      <rPr>
        <sz val="6"/>
        <rFont val="Arial"/>
        <family val="2"/>
      </rPr>
      <t xml:space="preserve"> / </t>
    </r>
    <r>
      <rPr>
        <sz val="5"/>
        <rFont val="Arial"/>
        <family val="2"/>
      </rPr>
      <t>MARKING</t>
    </r>
  </si>
  <si>
    <t>ASPECTO</t>
  </si>
  <si>
    <t>GIRO</t>
  </si>
  <si>
    <t>RUIDO, SALTO</t>
  </si>
  <si>
    <t xml:space="preserve">OBSERVACION: </t>
  </si>
  <si>
    <r>
      <t>*</t>
    </r>
    <r>
      <rPr>
        <b/>
        <sz val="7"/>
        <rFont val="Arial"/>
        <family val="2"/>
      </rPr>
      <t>R</t>
    </r>
    <r>
      <rPr>
        <sz val="7"/>
        <rFont val="Arial"/>
        <family val="2"/>
      </rPr>
      <t xml:space="preserve">ayas, </t>
    </r>
    <r>
      <rPr>
        <b/>
        <sz val="7"/>
        <rFont val="Arial"/>
        <family val="2"/>
      </rPr>
      <t>G</t>
    </r>
    <r>
      <rPr>
        <sz val="7"/>
        <rFont val="Arial"/>
        <family val="2"/>
      </rPr>
      <t xml:space="preserve">olpes, </t>
    </r>
    <r>
      <rPr>
        <b/>
        <sz val="7"/>
        <rFont val="Arial"/>
        <family val="2"/>
      </rPr>
      <t>O</t>
    </r>
    <r>
      <rPr>
        <sz val="7"/>
        <rFont val="Arial"/>
        <family val="2"/>
      </rPr>
      <t xml:space="preserve">xido, </t>
    </r>
    <r>
      <rPr>
        <b/>
        <sz val="7"/>
        <rFont val="Arial"/>
        <family val="2"/>
      </rPr>
      <t>D</t>
    </r>
    <r>
      <rPr>
        <sz val="7"/>
        <rFont val="Arial"/>
        <family val="2"/>
      </rPr>
      <t>esprendimiento de material</t>
    </r>
  </si>
  <si>
    <t>C3</t>
  </si>
  <si>
    <t>R016 - 01</t>
  </si>
  <si>
    <t>REGISTRO DE INSPECCION DE PRODUCTO - AUTOCENTRANTE</t>
  </si>
  <si>
    <t>INSERT BEARING INSPECTION RECORD</t>
  </si>
  <si>
    <t>ESTADO  DE LOS SELLOS / 
SEAL APPEARANCE</t>
  </si>
  <si>
    <t>C0</t>
  </si>
  <si>
    <t>ORAE30-2RST-C3</t>
  </si>
  <si>
    <t>SL-205-DBL-00</t>
  </si>
  <si>
    <t>SL-207-DBL-00</t>
  </si>
  <si>
    <t>SL-209-DBL-00</t>
  </si>
  <si>
    <t>ACL-207-35RG</t>
  </si>
  <si>
    <t>ECL205-14DG</t>
  </si>
  <si>
    <t>ECL-207-22-DBL</t>
  </si>
  <si>
    <t>ACL-206-19RG</t>
  </si>
  <si>
    <t>ORAE-35-2RST</t>
  </si>
  <si>
    <t>ECL210-50MM-DBL</t>
  </si>
  <si>
    <t>SAB207-20DG</t>
  </si>
  <si>
    <t>ECL211-35DG</t>
  </si>
  <si>
    <t>SAB211-55DG</t>
  </si>
  <si>
    <t>ECL206-20DG</t>
  </si>
  <si>
    <t>NO</t>
  </si>
  <si>
    <t>SAB206-30RG</t>
  </si>
  <si>
    <t>Resultado final de la inspección</t>
  </si>
  <si>
    <t>Total Lote</t>
  </si>
  <si>
    <t>Aprobado</t>
  </si>
  <si>
    <t>Scrap</t>
  </si>
  <si>
    <t>2º Calidad</t>
  </si>
  <si>
    <t>Retrabajar</t>
  </si>
  <si>
    <t>ECL212-39-DBL</t>
  </si>
  <si>
    <t>UK212-60RG</t>
  </si>
  <si>
    <t>SAB216-80DG</t>
  </si>
  <si>
    <t>ASL203-17RG</t>
  </si>
  <si>
    <t>SL-206-30RR1</t>
  </si>
  <si>
    <t>SL-207-35D1</t>
  </si>
  <si>
    <t>Peso Rodamiento / Assembled Bearing Weight</t>
  </si>
  <si>
    <t>Peso Rodamiento sin Grasa / Washed Assembled Bearing Weight</t>
  </si>
  <si>
    <t>Peso de Grasa (grs) / Grease Weight (grs)</t>
  </si>
  <si>
    <t>ECL311-32-RRB3</t>
  </si>
  <si>
    <t>SAB207-35DG</t>
  </si>
  <si>
    <t>ECL-207-35D1</t>
  </si>
  <si>
    <t>SAB208-40MM-DBL</t>
  </si>
  <si>
    <t>ASL-207-35MM</t>
  </si>
  <si>
    <t>SAB205-25MM</t>
  </si>
  <si>
    <t>SAB210-50MM</t>
  </si>
  <si>
    <t>ECL204-20MM</t>
  </si>
  <si>
    <t>SAB207-35MM</t>
  </si>
  <si>
    <t>WSAB207-35MM</t>
  </si>
  <si>
    <t>WSAB209-45MM</t>
  </si>
  <si>
    <t>ECL205-14-DBL</t>
  </si>
  <si>
    <t xml:space="preserve">      DOC. DE REF.
        (PO#/PI#):</t>
  </si>
  <si>
    <r>
      <t xml:space="preserve">   PARTIDA/
     </t>
    </r>
    <r>
      <rPr>
        <sz val="6"/>
        <rFont val="Arial"/>
        <family val="2"/>
      </rPr>
      <t>BATCH:</t>
    </r>
  </si>
  <si>
    <t>ACLR207-35MM</t>
  </si>
  <si>
    <t>ECL307-35MM-DBL</t>
  </si>
  <si>
    <t>SAB207-35D1</t>
  </si>
  <si>
    <t>ECL206-30-DBL</t>
  </si>
  <si>
    <t>SL209-45RR</t>
  </si>
  <si>
    <t>ECL209-45DG</t>
  </si>
  <si>
    <t xml:space="preserve"> Tipo de grasa/
grease type</t>
  </si>
  <si>
    <t>PORCENTAJE DE GRASA</t>
  </si>
  <si>
    <t>TIPO DE GRASA</t>
  </si>
  <si>
    <t>Polyrex</t>
  </si>
  <si>
    <t>ACL207-35R1</t>
  </si>
  <si>
    <t>ACL208-40MM</t>
  </si>
  <si>
    <t>9,75-11,7</t>
  </si>
  <si>
    <t>8,6-9,6</t>
  </si>
  <si>
    <t>SAB206-30DG</t>
  </si>
  <si>
    <t>4,6 - 5,5</t>
  </si>
  <si>
    <t>RESULTADO/
RESULT</t>
  </si>
  <si>
    <t>2,85 - 3,4</t>
  </si>
  <si>
    <t>4,85 - 6,47</t>
  </si>
  <si>
    <t>6 - 7,3</t>
  </si>
  <si>
    <t>16 - 19,2</t>
  </si>
  <si>
    <t>9,75 - 11,7</t>
  </si>
  <si>
    <t>10,15 - 12,2</t>
  </si>
  <si>
    <t>TOLERANCIA /TOLERANCE (µm)</t>
  </si>
  <si>
    <t>50% -60%</t>
  </si>
  <si>
    <t>50% - 60%</t>
  </si>
  <si>
    <t>ACL-207-23</t>
  </si>
  <si>
    <t>5,4 - 6,4</t>
  </si>
  <si>
    <t>Prod.Armado 
           Partes</t>
  </si>
  <si>
    <t>9,75 - 11,7 gr</t>
  </si>
  <si>
    <t>ECL206-30DG</t>
  </si>
  <si>
    <t>10,9 - 13,1</t>
  </si>
  <si>
    <t>SAB210-50DG</t>
  </si>
  <si>
    <t>ECL209-45DBL-3</t>
  </si>
  <si>
    <t>9-10,7</t>
  </si>
  <si>
    <t>ACL207-35</t>
  </si>
  <si>
    <t>5,4-6,4</t>
  </si>
  <si>
    <t xml:space="preserve">6 - 7,3 </t>
  </si>
  <si>
    <t>ECL310-50</t>
  </si>
  <si>
    <t xml:space="preserve">29 - 38,7 </t>
  </si>
  <si>
    <t>Shell Alvania RL3</t>
  </si>
  <si>
    <t>ASL205-14</t>
  </si>
  <si>
    <t>3,98 - 4,55</t>
  </si>
  <si>
    <t xml:space="preserve">       GA/GR</t>
  </si>
  <si>
    <t>GA/GR</t>
  </si>
  <si>
    <t>GR/GA-</t>
  </si>
  <si>
    <t>GR/GA+</t>
  </si>
  <si>
    <t>ACL209-45DG</t>
  </si>
  <si>
    <t>GR C0</t>
  </si>
  <si>
    <t>207-01</t>
  </si>
  <si>
    <t>8,57-10,3gr</t>
  </si>
  <si>
    <t>209-01</t>
  </si>
  <si>
    <t>TORQUE DE SELLOS +</t>
  </si>
  <si>
    <t>TORQUE DE SELLOS -</t>
  </si>
  <si>
    <t>TORQUE DE LOS SELLOS / 
SEAL RUNNING TORQUE</t>
  </si>
  <si>
    <t>…………….</t>
  </si>
  <si>
    <t xml:space="preserve"> Prisionero de virola</t>
  </si>
  <si>
    <t>Pin antirotación</t>
  </si>
  <si>
    <t>0,676Nm</t>
  </si>
  <si>
    <t>0,451Nm</t>
  </si>
  <si>
    <t>ACL210-50MM</t>
  </si>
  <si>
    <t>33cNm / 0,33Nm</t>
  </si>
  <si>
    <t>22cNm / 0,22Nm</t>
  </si>
  <si>
    <t>OR205-A1</t>
  </si>
  <si>
    <t>SAB206-20-02</t>
  </si>
  <si>
    <t>ACL206-20-02</t>
  </si>
  <si>
    <t>OR207-A1</t>
  </si>
  <si>
    <t>ACL207-35-A2</t>
  </si>
  <si>
    <t>ECL207-35-A2</t>
  </si>
  <si>
    <t>SAB207-35-A2</t>
  </si>
  <si>
    <t>ECL206-19DG</t>
  </si>
  <si>
    <t>ACL206-20-C0</t>
  </si>
  <si>
    <t>9,2cNm / 0,092Nm</t>
  </si>
  <si>
    <t>6cNm / 0,06Nm</t>
  </si>
  <si>
    <t>Radial</t>
  </si>
  <si>
    <t>SAB206-20</t>
  </si>
  <si>
    <t>SER-25MM</t>
  </si>
  <si>
    <t>2,5-3</t>
  </si>
  <si>
    <t>5,6cNm / 0,056Nm</t>
  </si>
  <si>
    <t>9,1cNm / 0,091Nm</t>
  </si>
  <si>
    <t>0,796Nm</t>
  </si>
  <si>
    <t>0,531Nm</t>
  </si>
  <si>
    <t>ACL207-22-01</t>
  </si>
  <si>
    <t>ACL207-22-02</t>
  </si>
  <si>
    <t>SAB204-20-01</t>
  </si>
  <si>
    <t>SAB204-20-02</t>
  </si>
  <si>
    <t>ACL205-16-01</t>
  </si>
  <si>
    <t>ACL205-16-02</t>
  </si>
  <si>
    <t>ECL205-16-02</t>
  </si>
  <si>
    <t>ECL205-14-02</t>
  </si>
  <si>
    <t>OR205-01</t>
  </si>
  <si>
    <t>ECL209-27-02</t>
  </si>
  <si>
    <t>ACL207-23-02</t>
  </si>
  <si>
    <t>SAB204-20DG</t>
  </si>
  <si>
    <t>C0/Radial</t>
  </si>
  <si>
    <t>16cNm / 0,16Nm</t>
  </si>
  <si>
    <t>11cNm / 0,11Nm</t>
  </si>
  <si>
    <t>ACL207-35-01</t>
  </si>
  <si>
    <t>ACL207-35-02</t>
  </si>
  <si>
    <t>ACLR208-40-01</t>
  </si>
  <si>
    <t>ACLR208-40-02</t>
  </si>
  <si>
    <t>90cNm / 0,9Nm</t>
  </si>
  <si>
    <t>55cNm / 0,55Nm</t>
  </si>
  <si>
    <t>ACLR208-40R</t>
  </si>
  <si>
    <t>48cNm / 0,48Nm</t>
  </si>
  <si>
    <t>32cNm / 0,32Nm</t>
  </si>
  <si>
    <t>SAB205-25-A2</t>
  </si>
  <si>
    <t>ACL205-25-02</t>
  </si>
  <si>
    <t>ACL205-25</t>
  </si>
  <si>
    <t>ECL206-30-02</t>
  </si>
  <si>
    <t>ECL206-19-02</t>
  </si>
  <si>
    <t>45,1cNm/0,451Nm</t>
  </si>
  <si>
    <t>9-10,</t>
  </si>
  <si>
    <t>REV.
PRINT</t>
  </si>
  <si>
    <t>Fecha Rev. Plano</t>
  </si>
  <si>
    <t>……….</t>
  </si>
  <si>
    <t>………………</t>
  </si>
  <si>
    <t>SAB207-35-02</t>
  </si>
  <si>
    <t>ASL205-25-02</t>
  </si>
  <si>
    <t>53,1cNm / 0,531Nm</t>
  </si>
  <si>
    <t>79,6cNm / 0,796Nm</t>
  </si>
  <si>
    <t>SAB205-25-02</t>
  </si>
  <si>
    <t>SAB205-25-01</t>
  </si>
  <si>
    <t>ACL205-25-A2</t>
  </si>
  <si>
    <t>ECL205-25-02</t>
  </si>
  <si>
    <t>OR205</t>
  </si>
  <si>
    <t>OR205-R</t>
  </si>
  <si>
    <t>OR205-G</t>
  </si>
  <si>
    <t>A</t>
  </si>
  <si>
    <t>SAB209-45-02</t>
  </si>
  <si>
    <t>OR209-G</t>
  </si>
  <si>
    <t>ECL209-45-02</t>
  </si>
  <si>
    <t>OR209-19</t>
  </si>
  <si>
    <t>ACL206-30</t>
  </si>
  <si>
    <t>Radial/C0</t>
  </si>
  <si>
    <t>ECL-305-02</t>
  </si>
  <si>
    <t>OR207</t>
  </si>
  <si>
    <t>1Nm</t>
  </si>
  <si>
    <t>0672Nm</t>
  </si>
  <si>
    <t>SAB206-30-02</t>
  </si>
  <si>
    <t>OR207-G</t>
  </si>
  <si>
    <t>ECL207-35-02</t>
  </si>
  <si>
    <t>ACL206-30-02</t>
  </si>
  <si>
    <t>SAB208-40-02</t>
  </si>
  <si>
    <t>OR208-G</t>
  </si>
  <si>
    <t>ACL205-14-02</t>
  </si>
  <si>
    <t>ACL206-18-02</t>
  </si>
  <si>
    <t>ACL206-19-02</t>
  </si>
  <si>
    <t>ECL206-18-02</t>
  </si>
  <si>
    <t>168cNm / 1,68Nm</t>
  </si>
  <si>
    <t>ECL207-23-02</t>
  </si>
  <si>
    <t>ECL207-22-02</t>
  </si>
  <si>
    <t>60-80%</t>
  </si>
  <si>
    <t>50-60%</t>
  </si>
  <si>
    <t>122cNm/1,22Nm</t>
  </si>
  <si>
    <t>8,1cNm/0,81Nm</t>
  </si>
  <si>
    <t>6,7cNm/0,67Nm</t>
  </si>
  <si>
    <t>100cNm/1Nm</t>
  </si>
  <si>
    <t>ECL211-55-DG</t>
  </si>
  <si>
    <t>SER16</t>
  </si>
  <si>
    <t>19,1</t>
  </si>
  <si>
    <t>34,9</t>
  </si>
  <si>
    <t>25,4</t>
  </si>
  <si>
    <t>SER12</t>
  </si>
  <si>
    <t>15,9</t>
  </si>
  <si>
    <t>19,05</t>
  </si>
  <si>
    <t>SER14</t>
  </si>
  <si>
    <t>SER15</t>
  </si>
  <si>
    <t>SER18</t>
  </si>
  <si>
    <t>22,2</t>
  </si>
  <si>
    <t>38,1</t>
  </si>
  <si>
    <t>SER19</t>
  </si>
  <si>
    <t>23,8</t>
  </si>
  <si>
    <t>42,9</t>
  </si>
  <si>
    <t>112cNm / 1,12Nm</t>
  </si>
  <si>
    <t>SER47</t>
  </si>
  <si>
    <t>77,8</t>
  </si>
  <si>
    <t>51,09-68,12</t>
  </si>
  <si>
    <t>49cNm / 0,49Nm</t>
  </si>
  <si>
    <t>38cNm / 0,38Nm</t>
  </si>
  <si>
    <t>ECL208-40-02</t>
  </si>
  <si>
    <t>42,8</t>
  </si>
  <si>
    <t>OR206-18</t>
  </si>
  <si>
    <t>SAB209-45LG</t>
  </si>
  <si>
    <t>ESTANDAR</t>
  </si>
  <si>
    <t>SER23</t>
  </si>
  <si>
    <t>SAB-214-70MM-DBL</t>
  </si>
  <si>
    <t>25-35%</t>
  </si>
  <si>
    <t>Alvania</t>
  </si>
  <si>
    <t>50 - 60 %</t>
  </si>
  <si>
    <t>6-7.3</t>
  </si>
  <si>
    <t>67,7cNm/0,677Nm</t>
  </si>
  <si>
    <t>ECL209-28DG</t>
  </si>
  <si>
    <t>10.15-12.2</t>
  </si>
  <si>
    <t>45.1cNm / 0,451Nm</t>
  </si>
  <si>
    <t>67.6cNm / 0,676Nm</t>
  </si>
  <si>
    <t>4.6 - 5.5</t>
  </si>
  <si>
    <t>6 - 7.3 gr</t>
  </si>
  <si>
    <t>9 - 10.7</t>
  </si>
  <si>
    <t>0.677Nm</t>
  </si>
  <si>
    <t>0.451Nm</t>
  </si>
  <si>
    <t>2,85 - 3.4</t>
  </si>
  <si>
    <t>ACL208-24RG</t>
  </si>
  <si>
    <t>9.75 - 11.7</t>
  </si>
  <si>
    <t>SAB213-65DG</t>
  </si>
  <si>
    <t>CATALOGO</t>
  </si>
  <si>
    <t>0.448 Nm</t>
  </si>
  <si>
    <t>0.3 Nm</t>
  </si>
  <si>
    <t>B&amp;P-047-SAB-207-35DG - ZJXY</t>
  </si>
  <si>
    <t>B&amp;P-047-ECL-210-50DG - ZJXY</t>
  </si>
  <si>
    <t>0.567 Nm</t>
  </si>
  <si>
    <t>0.378 Nm</t>
  </si>
  <si>
    <t>B&amp;P-047-ECL-208-40DG - ZJXY</t>
  </si>
  <si>
    <t>B&amp;P-047-ACL206-30RR1 - ZJXY</t>
  </si>
  <si>
    <t>B&amp;P-047-SAB-208-40DG - ZJXY</t>
  </si>
  <si>
    <t>0,567 Nm</t>
  </si>
  <si>
    <t>0,378 Nm</t>
  </si>
  <si>
    <t>BPB-047-SAB209-45DG - ZJXY</t>
  </si>
  <si>
    <t>2.85 - 3.4 gr</t>
  </si>
  <si>
    <t>BPB-047-ECL205-16DG - ZJXY</t>
  </si>
  <si>
    <t>B&amp;P-047-ECL-205-25DG - ZJXY</t>
  </si>
  <si>
    <t>2,85 - 3,4 gr</t>
  </si>
  <si>
    <t>BPB-047-SAB205-16DG  - ZJXY</t>
  </si>
  <si>
    <t>B&amp;P-047-ECL207-23DG - ZJXY</t>
  </si>
  <si>
    <t>B&amp;P-047-ECL-207-35DG - ZJXY</t>
  </si>
  <si>
    <t>B&amp;P-047-ECL209-28DG - ZJXY</t>
  </si>
  <si>
    <t>10.15 - 12.2 gr</t>
  </si>
  <si>
    <t>0.676 Nm</t>
  </si>
  <si>
    <t>0.451 Nm</t>
  </si>
  <si>
    <t>BPB-047-ACL206-30RG - ZJXY</t>
  </si>
  <si>
    <t>4.6 - 5.5 gr</t>
  </si>
  <si>
    <t>B&amp;P-047-ASL206-30RR - ZJXY</t>
  </si>
  <si>
    <t>4.85 - 6.47 gr</t>
  </si>
  <si>
    <t>B&amp;P-047-ECL208-24DG - ZJXY</t>
  </si>
  <si>
    <t>9.75 - 11.7 gr</t>
  </si>
  <si>
    <t>B&amp;P-047-ECL-206-30DG - ZJXY</t>
  </si>
  <si>
    <t>B&amp;P-047-SAB-206-30DG - ZJXY</t>
  </si>
  <si>
    <t>B&amp;P-047-SAB208-24DG - ZJXY</t>
  </si>
  <si>
    <t>BPB-047-ACL205-16RG - ZJXY</t>
  </si>
  <si>
    <t>B&amp;P-047-ACLR208-24RR - ZJXY</t>
  </si>
  <si>
    <t>B&amp;P-047-SAB-205-25DG - ZJXY</t>
  </si>
  <si>
    <t>B&amp;P-047-ECL209-27DG - ZJXY</t>
  </si>
  <si>
    <t>B&amp;P-001-OR209-G19 - ZJXY</t>
  </si>
  <si>
    <t>BPB-047-SAB208-40LG - SCB</t>
  </si>
  <si>
    <t>BPB-047-SAB207-35LG - SCB</t>
  </si>
  <si>
    <t>BPB-047-SAB206-30LG - SCB</t>
  </si>
  <si>
    <t>BPB-047-SAB205-25LG - SCB</t>
  </si>
  <si>
    <t>BPB-047-SAB209-45LG - SCB</t>
  </si>
  <si>
    <t>B&amp;P-047-ASL-205-14RG - ZJXY</t>
  </si>
  <si>
    <t>0.091 Nm</t>
  </si>
  <si>
    <t>0.056 Nm</t>
  </si>
  <si>
    <t>B&amp;P-047-ECL-212-60DG - CMI</t>
  </si>
  <si>
    <t>B&amp;P-047-SAB-212-60DG - CMI</t>
  </si>
  <si>
    <t>BPB-048-SER-51 - CMI</t>
  </si>
  <si>
    <t>B&amp;P-001-OR207-17 - ZJXY</t>
  </si>
  <si>
    <t>B&amp;P-001-OR207 - ZJXY</t>
  </si>
  <si>
    <t>B&amp;P-001-OR206-16 - ZJXY</t>
  </si>
  <si>
    <t>B&amp;P-001-OR205-R - ZJXY</t>
  </si>
  <si>
    <t>B&amp;P-001-OR205 - ZJXY</t>
  </si>
  <si>
    <t xml:space="preserve">B&amp;P-047-SAB204-12DG-ZJXY </t>
  </si>
  <si>
    <t>0.169 Nm</t>
  </si>
  <si>
    <t>0.113 Nm</t>
  </si>
  <si>
    <t>BPB-047-ACL206-30RR1-ZJXY</t>
  </si>
  <si>
    <t>BPB-047-GR208-24DG</t>
  </si>
  <si>
    <t>11.7-9.75</t>
  </si>
  <si>
    <t>ACL-207-23RG-ZJXY</t>
  </si>
  <si>
    <t>ACL-205-16RG-ZJXY</t>
  </si>
  <si>
    <t>1 Nm</t>
  </si>
  <si>
    <t>0.67 Nm</t>
  </si>
  <si>
    <t>BPB-047-ECL-211-35-D-ZJXY</t>
  </si>
  <si>
    <t xml:space="preserve">B&amp;P-047-ACL207-20RG-ZJXY </t>
  </si>
  <si>
    <t>6 - 7.3</t>
  </si>
  <si>
    <t>0.813 Nm</t>
  </si>
  <si>
    <t>1.22 Nm</t>
  </si>
  <si>
    <t>BPB-047-ECL-212-39-D-ZJXY</t>
  </si>
  <si>
    <t>BPB-047-SAB215-75DG-HNHL</t>
  </si>
  <si>
    <r>
      <rPr>
        <b/>
        <sz val="10"/>
        <color indexed="8"/>
        <rFont val="Arial"/>
        <family val="2"/>
      </rPr>
      <t>BPB-047-ACL206-20 -ZJXY</t>
    </r>
    <r>
      <rPr>
        <sz val="10"/>
        <color indexed="10"/>
        <rFont val="Arial"/>
        <family val="2"/>
      </rPr>
      <t xml:space="preserve">  </t>
    </r>
  </si>
  <si>
    <t>Radial C0</t>
  </si>
  <si>
    <t>B&amp;P-047-ACLR208-40RG-ZJXY</t>
  </si>
  <si>
    <t>11.7-9.75 gr</t>
  </si>
  <si>
    <t>B&amp;P-047-ECL-209-45DG-ZJXY</t>
  </si>
  <si>
    <t>9-10.7 gr</t>
  </si>
  <si>
    <t>0.677 N.m</t>
  </si>
  <si>
    <t>0.451 N.m</t>
  </si>
  <si>
    <t>BPB-047-ACLR-207-35M-ZJXY</t>
  </si>
  <si>
    <t>BPB-048-SER-47-MX - CMI</t>
  </si>
  <si>
    <t>68.12-51.09 gr</t>
  </si>
  <si>
    <t>0.49 Nm</t>
  </si>
  <si>
    <t>0.38 Nm</t>
  </si>
  <si>
    <t>BPB-047-ACL207-35R1-ZJXY</t>
  </si>
  <si>
    <t>7.3-6 gr</t>
  </si>
  <si>
    <t>BPB-047-ASLR205-16-ZJXY</t>
  </si>
  <si>
    <t>3.4-2.85 gr</t>
  </si>
  <si>
    <t>BPB-047-ASL-205-16-D-ZJXY</t>
  </si>
  <si>
    <t xml:space="preserve">B&amp;P-999-ECL-207-35DG </t>
  </si>
  <si>
    <t xml:space="preserve">B&amp;P-999-ECL-211-55DG </t>
  </si>
  <si>
    <t>16 -19.2 gr</t>
  </si>
  <si>
    <t>B&amp;P-047-ECL-212-60DG - ZJXY</t>
  </si>
  <si>
    <t>BPB-047-ACL207-35DG-ZJXY</t>
  </si>
  <si>
    <t>B&amp;P-047-ACL206-19RG-ZJXY</t>
  </si>
  <si>
    <t>BPB-047-ECL-205-15-DG- HNHL</t>
  </si>
  <si>
    <t>B&amp;P-047-ACL204-20RG-ZJXY</t>
  </si>
  <si>
    <t>0.091Nm</t>
  </si>
  <si>
    <t>0.056Nm</t>
  </si>
  <si>
    <t>B&amp;P-047-SAB-204-20DG-ZJXY</t>
  </si>
  <si>
    <t>0.169Nm</t>
  </si>
  <si>
    <t>0.113Nm</t>
  </si>
  <si>
    <t>B&amp;P-047-ECL-204-20DG-ZJXY</t>
  </si>
  <si>
    <t>0.17Nm</t>
  </si>
  <si>
    <t>0.11Nm</t>
  </si>
  <si>
    <t>B&amp;P-047-SAB-211-55DG-ZJXY</t>
  </si>
  <si>
    <t>16-19.2gr</t>
  </si>
  <si>
    <t>0.672Nm</t>
  </si>
  <si>
    <t>B&amp;P-047-ACL-208-40mm-ZJXY</t>
  </si>
  <si>
    <t>11.7-9.75gr</t>
  </si>
  <si>
    <t>0.176Nm</t>
  </si>
  <si>
    <t>0.127Nm</t>
  </si>
  <si>
    <t>B&amp;P-047-ACL-205-25MM-ZJXY</t>
  </si>
  <si>
    <t>3.4-2.85gr</t>
  </si>
  <si>
    <t>BPB-047-SAB205-16DG-ZJXY</t>
  </si>
  <si>
    <t>0.23Nm</t>
  </si>
  <si>
    <t>0.157Nm</t>
  </si>
  <si>
    <t>B&amp;P-047-SAB-209-45DG-ZJXY</t>
  </si>
  <si>
    <t>12.2 - 10.15 gr</t>
  </si>
  <si>
    <t>0.676Nm</t>
  </si>
  <si>
    <t>B&amp;P-048-UK-208-ZHJG</t>
  </si>
  <si>
    <t>11.7 - 9.75 gr</t>
  </si>
  <si>
    <t>0.567Nm</t>
  </si>
  <si>
    <t>0.378Nm</t>
  </si>
  <si>
    <t>BPB-048-SER-55-MX-CMI</t>
  </si>
  <si>
    <t>B&amp;P-047-ECL-211-55DG-ZJXY</t>
  </si>
  <si>
    <t>19.2-16 gr</t>
  </si>
  <si>
    <t>BPB-048-NTB1613-2RST-YS</t>
  </si>
  <si>
    <t>RADIAL</t>
  </si>
  <si>
    <t>1.6-1.2 gr</t>
  </si>
  <si>
    <t>0.091N.m</t>
  </si>
  <si>
    <t>0.056 N.m</t>
  </si>
  <si>
    <t>B&amp;P-002-SAB207-35-A2-CMI</t>
  </si>
  <si>
    <t>B&amp;P-002-ECL207-35-A2-CMI</t>
  </si>
  <si>
    <t>B&amp;P-001-OR207-A1-CMI</t>
  </si>
  <si>
    <t>B&amp;P-047-ACL207-23RG-ZJXY</t>
  </si>
  <si>
    <t>6-7.3gr</t>
  </si>
  <si>
    <t>B&amp;P-047-ACL-209-45DG-ZJXY</t>
  </si>
  <si>
    <t>12.2-10.15gr</t>
  </si>
  <si>
    <t>0.176 N.m</t>
  </si>
  <si>
    <t>0.127 N.m</t>
  </si>
  <si>
    <t>B&amp;P-047-ECL207-35DD-ZJXY</t>
  </si>
  <si>
    <t>7.3 - 6gr</t>
  </si>
  <si>
    <t>0.448 N.m</t>
  </si>
  <si>
    <t>0.3 N.m</t>
  </si>
  <si>
    <t>B&amp;P-047-SAB-210-50DG-ZJXY</t>
  </si>
  <si>
    <t>13.1-10.9 gr</t>
  </si>
  <si>
    <t>0.796 N.m</t>
  </si>
  <si>
    <t>0.531 N.m</t>
  </si>
  <si>
    <t>BPB-047-ECL210-50D-3-ZJXY</t>
  </si>
  <si>
    <t>BP-13002</t>
  </si>
  <si>
    <t>Axial C3</t>
  </si>
  <si>
    <t>17.6 - 15.4 gr</t>
  </si>
  <si>
    <t>0.5 Nm</t>
  </si>
  <si>
    <t>0.6Nm</t>
  </si>
  <si>
    <t>BPB-047-UC-212-60MM</t>
  </si>
  <si>
    <t>Sin plano</t>
  </si>
  <si>
    <t>-</t>
  </si>
  <si>
    <t>0.353 N.m</t>
  </si>
  <si>
    <t>0.2824 N.m</t>
  </si>
  <si>
    <t>BPB-047-SAB207-20DG</t>
  </si>
  <si>
    <t>B&amp;P-047-SAB207-35DD-ZJXY</t>
  </si>
  <si>
    <t>B&amp;P-047-SAB208-40DD-ZJXY</t>
  </si>
  <si>
    <t>B&amp;P-001-OR208-G21-ZJXY</t>
  </si>
  <si>
    <t>B&amp;P-001-OR207-G-ZJXY</t>
  </si>
  <si>
    <t>B&amp;P-002-ASL207-35-02-ZJXY</t>
  </si>
  <si>
    <t>BPB-047-SAB211-32TG-ZJXY</t>
  </si>
  <si>
    <t>19.2 - 25.6 gr</t>
  </si>
  <si>
    <t>1.74 Nm</t>
  </si>
  <si>
    <t>1.2 Nm</t>
  </si>
  <si>
    <t>Tipo de prisionero</t>
  </si>
  <si>
    <t>BPB-047-ACL205-16RR - ZJXY</t>
  </si>
  <si>
    <t>3.4 gr - 4.53 gr</t>
  </si>
  <si>
    <t>BPB-047-ACL205-16RG - HNHL</t>
  </si>
  <si>
    <t>BPB-047-ACL205-16RR - HNHL</t>
  </si>
  <si>
    <t>B&amp;P-047-ECL206-20TG-HNHL</t>
  </si>
  <si>
    <t>4.6 gr - 5.5 gr</t>
  </si>
  <si>
    <t>B&amp;P-047-SAB-206-30DG - HNHL</t>
  </si>
  <si>
    <t>B&amp;P-047-ECL-209-45DG-HNHL</t>
  </si>
  <si>
    <t>B&amp;P-047-SAB-209-45DG-HNHL</t>
  </si>
  <si>
    <t>B&amp;P-047-ECL-206-30DG - HNHL</t>
  </si>
  <si>
    <t>BPB-047-SAB211-32TG-HNHL</t>
  </si>
  <si>
    <t>BPB-047-ASL207-35RR -ZJXY</t>
  </si>
  <si>
    <t>B&amp;P-047-ECL-205-25DG - HNHL</t>
  </si>
  <si>
    <t>16 - 19.2</t>
  </si>
  <si>
    <t>H</t>
  </si>
  <si>
    <t>B&amp;P-047-SAB-212-60DG - ZJXY</t>
  </si>
  <si>
    <t>B&amp;P-047-ECL210-31TG-HNHL</t>
  </si>
  <si>
    <t>B&amp;P-047-ECL210-31TT-HNHL</t>
  </si>
  <si>
    <t>10.9 - 13.1 gr</t>
  </si>
  <si>
    <t>1.3558 Nm</t>
  </si>
  <si>
    <t>0.9038 Nm</t>
  </si>
  <si>
    <t>BPB-047-ECL207-20MG-HNHL</t>
  </si>
  <si>
    <t>BPB-047-ECL207-22MG-HNHL</t>
  </si>
  <si>
    <t>BPB-047-ECL209-28MM-HNHL</t>
  </si>
  <si>
    <t>BPB-047-SAB205-16MG-HNHL</t>
  </si>
  <si>
    <t>BPB-047-ACL208-24RG-HNHL</t>
  </si>
  <si>
    <t>7.3 - 9.75gr</t>
  </si>
  <si>
    <t>0.092 Nm</t>
  </si>
  <si>
    <t>3.4 - 4.53gr</t>
  </si>
  <si>
    <t>0.0918 Nm</t>
  </si>
  <si>
    <t>0.0564 Nm</t>
  </si>
  <si>
    <t>10.7 - 14.3 gr</t>
  </si>
  <si>
    <t>0.677 Nm</t>
  </si>
  <si>
    <t>11.7 - 15.6 gr</t>
  </si>
  <si>
    <t>BPB-047-ECL205-16MM-ZJXY</t>
  </si>
  <si>
    <t>3.4 - 4.55 gr</t>
  </si>
  <si>
    <t>BPB-047-ACL208-24RG-ZJXY</t>
  </si>
  <si>
    <t>BPB-047-ECL207-20MG-ZJXY</t>
  </si>
  <si>
    <t>BPB-047-ECL207-22MG-ZJXY</t>
  </si>
  <si>
    <t>BPB-047-ECL211-32MG-HNHL</t>
  </si>
  <si>
    <t>19.2 - 25.6gr</t>
  </si>
  <si>
    <t>0.6722 Nm</t>
  </si>
  <si>
    <t>0.2471 Nm</t>
  </si>
  <si>
    <t>BPB-047-ECL211-32MG-ZJXY</t>
  </si>
  <si>
    <t>BPB-047-ECL205-16MM-HNHL</t>
  </si>
  <si>
    <t>0.23 Nm</t>
  </si>
  <si>
    <t>0.157 Nm</t>
  </si>
  <si>
    <t>3.4 - 4.5gr</t>
  </si>
  <si>
    <t>BPB-047-ECL205-16DG - HNHL</t>
  </si>
  <si>
    <t>B&amp;P-047-SAB-210-50DG-HNHL</t>
  </si>
  <si>
    <r>
      <rPr>
        <b/>
        <sz val="10"/>
        <color indexed="8"/>
        <rFont val="Arial"/>
        <family val="2"/>
      </rPr>
      <t>BPB-047-ACL206-20 -HNHL</t>
    </r>
    <r>
      <rPr>
        <sz val="10"/>
        <color indexed="10"/>
        <rFont val="Arial"/>
        <family val="2"/>
      </rPr>
      <t xml:space="preserve"> </t>
    </r>
  </si>
  <si>
    <t>4.6-5.5gr</t>
  </si>
  <si>
    <t>F</t>
  </si>
  <si>
    <t>BPB-047-ECL-207-22-D-ZJXY</t>
  </si>
  <si>
    <t>7.3-9.75gr</t>
  </si>
  <si>
    <t>0.092Nm</t>
  </si>
  <si>
    <t>BPB-047-ECL210-50D-3-HNHL</t>
  </si>
  <si>
    <t>BPB-047-ACL206-30RR1-HNHL</t>
  </si>
  <si>
    <t>B&amp;P-047-ASL206-30RR - HNHL</t>
  </si>
  <si>
    <t>BPB-047-ACL206-30RG - HNHL</t>
  </si>
  <si>
    <t>BPB-047-ECL-211-32-HNHL</t>
  </si>
  <si>
    <t>19.2-25.6gr</t>
  </si>
  <si>
    <t>0.67Nm</t>
  </si>
  <si>
    <t>B&amp;P-047-ECL-211-55DG-HNHL</t>
  </si>
  <si>
    <t>B&amp;P-047-SAB-208-40DG -HNHL</t>
  </si>
  <si>
    <t>4.85 - 4.05 gr</t>
  </si>
  <si>
    <t>BPB-047-ACL-207-35DG-ZJXY</t>
  </si>
  <si>
    <t>B&amp;P-048-ORAE-35-2RST-HNHS</t>
  </si>
  <si>
    <t>B&amp;P-048-ORAE-30-2RST-HNHS</t>
  </si>
  <si>
    <t>0.0918Nm</t>
  </si>
  <si>
    <t>0.0564Nm</t>
  </si>
  <si>
    <t>B&amp;P-047-ECL207-35DD-HNHL</t>
  </si>
  <si>
    <t>B&amp;P-047-ACLR205-14R-HNHL</t>
  </si>
  <si>
    <t>2.85 - 3.4gr</t>
  </si>
  <si>
    <t>0.091 N.m</t>
  </si>
  <si>
    <t>B&amp;P-048-SER-47-CMI</t>
  </si>
  <si>
    <t>E</t>
  </si>
  <si>
    <t>BPB-047-SAB205-16MG-ZJXY</t>
  </si>
  <si>
    <t>B&amp;P-047-SAB-212-60DG - HNHL</t>
  </si>
  <si>
    <t>B&amp;P-001-OR205-G-ZJXY</t>
  </si>
  <si>
    <t>B&amp;P-002-ECL205-25-02-ZJXY</t>
  </si>
  <si>
    <t>BPB-047-ACL-207-35DG-HNHL</t>
  </si>
  <si>
    <t>BPB-047-ASL207-35RR -HNHL</t>
  </si>
  <si>
    <t>B&amp;P-048-SER-51-CMI</t>
  </si>
  <si>
    <t>B&amp;P-047-ASL-205-14RG -HNHL</t>
  </si>
  <si>
    <t>B&amp;P-047-ECL206-20TG-HBZD</t>
  </si>
  <si>
    <t>B&amp;P-047-ACLR208-40RG-HBZD</t>
  </si>
  <si>
    <t>B&amp;P-047-SAB207-20DD-YUN</t>
  </si>
  <si>
    <t>0.3Nm</t>
  </si>
  <si>
    <t>0.448Nm</t>
  </si>
  <si>
    <t>B&amp;P-047-ACL206-30RR1 - HBZD</t>
  </si>
  <si>
    <t>B&amp;P-047-ECL207-35DD-HBZD</t>
  </si>
  <si>
    <t>B&amp;P-047-ECL-212-60DG -HBZD</t>
  </si>
  <si>
    <t>Rojo, Interno</t>
  </si>
  <si>
    <t xml:space="preserve">B&amp;P-047-ACLR206-20RR-HBZD  </t>
  </si>
  <si>
    <t>4.6-5.6gr</t>
  </si>
  <si>
    <t>B&amp;P-047-SAB205-14DG-YUN</t>
  </si>
  <si>
    <t>0.230Nm</t>
  </si>
  <si>
    <t>B&amp;P-047-ASL-205-25MM-HNHL</t>
  </si>
  <si>
    <t>B&amp;P-047-ACL207-35RR1-HNHL</t>
  </si>
  <si>
    <t>B&amp;P-047-ECL206-20DG-HNHL</t>
  </si>
  <si>
    <t>B&amp;P-047-ECL210-50D-3-HNHL</t>
  </si>
  <si>
    <t>Azul, Interno</t>
  </si>
  <si>
    <t>0.33Nm</t>
  </si>
  <si>
    <t>0.22Nm</t>
  </si>
  <si>
    <t>0.796Nm</t>
  </si>
  <si>
    <t>0.531Nm</t>
  </si>
  <si>
    <t>B&amp;P-047-ECL208-24DG-HBZD</t>
  </si>
  <si>
    <t>B&amp;P-047-ECL210-32DG-HBZD</t>
  </si>
  <si>
    <t>B&amp;P-047-ECL209-27DG-HBZD</t>
  </si>
  <si>
    <t>B&amp;P-047-ECL210-31TPL-HBZD</t>
  </si>
  <si>
    <t>ECL-212-60D - 3</t>
  </si>
  <si>
    <t>B&amp;P-OR206-G18-MID</t>
  </si>
  <si>
    <t>B&amp;P-047-ECL206-20TG-MID</t>
  </si>
  <si>
    <t>B&amp;P-999-SAB205-25DG</t>
  </si>
  <si>
    <t>B&amp;P-047-SAB-207-35DG-HNHL</t>
  </si>
  <si>
    <t>Azul</t>
  </si>
  <si>
    <t>BPB-047-ECL-207-22-HNHL</t>
  </si>
  <si>
    <t>0.4491Nm</t>
  </si>
  <si>
    <t>0.2994Nm</t>
  </si>
  <si>
    <t>B&amp;P-047-ECL-207-35DG-HNHL</t>
  </si>
  <si>
    <t>B&amp;P-047-SAB-205-25DG-YUN</t>
  </si>
  <si>
    <t>azul</t>
  </si>
  <si>
    <t>B&amp;P-047-ACL206-30RG-HBZD</t>
  </si>
  <si>
    <t>B&amp;P-047-ASL206-30RR-HBZD</t>
  </si>
  <si>
    <t>B&amp;P-047-ACLR205-14R-HBZD</t>
  </si>
  <si>
    <t>B&amp;P-047-ECL-204-20DG-HBZD</t>
  </si>
  <si>
    <t>B&amp;P-047-ECL-205-14DG-HBZD</t>
  </si>
  <si>
    <t>B&amp;P-047-UK-207-HBZD</t>
  </si>
  <si>
    <t>6-7.3 gr</t>
  </si>
  <si>
    <t>0.449Nm</t>
  </si>
  <si>
    <t>0.299Nm</t>
  </si>
  <si>
    <t>B&amp;P-047-UK-209-HBZD</t>
  </si>
  <si>
    <t>0.45Nm</t>
  </si>
  <si>
    <t>27C189:U189</t>
  </si>
  <si>
    <t>B&amp;P-047-ECL-212-39DG-HBZD2</t>
  </si>
  <si>
    <t>azul-interno</t>
  </si>
  <si>
    <t>B&amp;P-047-SAB-204-20DG-YUN</t>
  </si>
  <si>
    <t>B&amp;P-047-ACL205-14RG-HNHL</t>
  </si>
  <si>
    <t>0.13Nm</t>
  </si>
  <si>
    <t>B&amp;P-047-ECL-311-32-R-HBZD</t>
  </si>
  <si>
    <t>rojo</t>
  </si>
  <si>
    <t>B&amp;P-047-ECL211-35D-HBZD</t>
  </si>
  <si>
    <t>B&amp;P-047-SAB-213-65DG-HBZD</t>
  </si>
  <si>
    <t>1.39Nm</t>
  </si>
  <si>
    <t>0.93Nm</t>
  </si>
  <si>
    <t>B&amp;P-047-SAB-216-80DG-HBZD</t>
  </si>
  <si>
    <t>2.064Nm</t>
  </si>
  <si>
    <t>1.376Nm</t>
  </si>
  <si>
    <t>B&amp;P-047-SAB-218-90DG-HBZD</t>
  </si>
  <si>
    <t>2.9724Nm</t>
  </si>
  <si>
    <t>1.9816Nm</t>
  </si>
  <si>
    <t>B&amp;P-047-ACL-205-25MM-HNHL</t>
  </si>
  <si>
    <t>B&amp;P-047-ECL209-28DG-HBZD</t>
  </si>
  <si>
    <t>9 - 10.7gr</t>
  </si>
  <si>
    <t>B&amp;P-047-ASL-207-35MM-HBZD</t>
  </si>
  <si>
    <t>B&amp;P-047-ACL207-23RG-HBZD</t>
  </si>
  <si>
    <t>B&amp;P-047-ECL-207-35DG-HBZD</t>
  </si>
  <si>
    <t>B&amp;P-048-UK-208-HBZD</t>
  </si>
  <si>
    <t>11.7-15.6gr</t>
  </si>
  <si>
    <t>B&amp;P-047-ACL204-20RG-HBZD</t>
  </si>
  <si>
    <t>B&amp;P-047-ECL206-18DG-HBZD</t>
  </si>
  <si>
    <t>B&amp;P-047-ACL-208-40mm-HBZD</t>
  </si>
  <si>
    <t>B&amp;P-047-ECL-205-25DG - HBZD</t>
  </si>
  <si>
    <t>B&amp;P-047-ECL305-25DG-HBZD</t>
  </si>
  <si>
    <t>B&amp;P-047-ACL-209-28-HBZD</t>
  </si>
  <si>
    <t>B&amp;P-047-ECL308-40DG-HBZD</t>
  </si>
  <si>
    <t>0.452Nm</t>
  </si>
  <si>
    <t>B&amp;P-047-ECL205-16DG-HBZD</t>
  </si>
  <si>
    <t>B&amp;P-047-SAB-208-40DG-HBZD</t>
  </si>
  <si>
    <t>15,6 - 11,7</t>
  </si>
  <si>
    <t>B&amp;P-047-ECL306-30DG-CMI</t>
  </si>
  <si>
    <t>standard</t>
  </si>
  <si>
    <t>B&amp;P-047-ECL307-35DG-CMI</t>
  </si>
  <si>
    <t>0.44 Nm</t>
  </si>
  <si>
    <t>BPB-047-SAB209-45DG - AIHUA</t>
  </si>
  <si>
    <t>SIN PLANO</t>
  </si>
  <si>
    <t>BPB-047-ECL-206-30MM - AIHUA</t>
  </si>
  <si>
    <t>0,448Nm</t>
  </si>
  <si>
    <t>0,3Nm</t>
  </si>
  <si>
    <t>Rojo</t>
  </si>
  <si>
    <t>B&amp;P-047-SAB207-P-CMI</t>
  </si>
  <si>
    <t>B&amp;P-047-ECL-206-30DG-HBZD</t>
  </si>
  <si>
    <t>B&amp;P-047-SAB-209-45DG-HBZD</t>
  </si>
  <si>
    <t>B&amp;P-047-ECL-210-50DG-HBZD</t>
  </si>
  <si>
    <t>B&amp;P-047-SS-UC-205-25-ZJSC</t>
  </si>
  <si>
    <t>Standard</t>
  </si>
  <si>
    <t>B&amp;P-047-ACL205-16RG-HBZD</t>
  </si>
  <si>
    <t>0,091Nm</t>
  </si>
  <si>
    <t>0,056Nm</t>
  </si>
  <si>
    <t>BPB-047-ASL-203-17MM-RODATECNICA</t>
  </si>
  <si>
    <t>Se controlo con catalogo Peer</t>
  </si>
  <si>
    <t>B&amp;P-047-ACL-205-25MM-CMI</t>
  </si>
  <si>
    <t>B&amp;P-047-ECL-211-55DG-CMI</t>
  </si>
  <si>
    <t>B&amp;P-047-ACL207-20RG-CMI</t>
  </si>
  <si>
    <t>0.488Nm</t>
  </si>
  <si>
    <t>B&amp;P-047-SAB-207-35DG-HBZD</t>
  </si>
  <si>
    <t>B&amp;P-047-SAB209-28DG-HBZD</t>
  </si>
  <si>
    <t>80-60%</t>
  </si>
  <si>
    <t>B&amp;P-047-SAB-206-30DG-HBZD</t>
  </si>
  <si>
    <t>0,33Nm</t>
  </si>
  <si>
    <t>0,22Nm</t>
  </si>
  <si>
    <t>B&amp;P-047-ASL205-14RG-HBZD</t>
  </si>
  <si>
    <t>2.85gr - 3.4gr</t>
  </si>
  <si>
    <t>B&amp;P-047-SAB-205-25DG-HBZD</t>
  </si>
  <si>
    <t>2.85gr - 3.4gr (60-80%)</t>
  </si>
  <si>
    <t>B&amp;P-047-ACL-208-40RG-HBZD</t>
  </si>
  <si>
    <t>B&amp;P-047-ECL212-39DG-HBZD</t>
  </si>
  <si>
    <t>B&amp;P-047-SAB-214-70DG</t>
  </si>
  <si>
    <t>1.56 Nm</t>
  </si>
  <si>
    <t>2.85 - 3.4 gr (60-80%)</t>
  </si>
  <si>
    <t>B&amp;P-047-ASL206-30RG-HBZD</t>
  </si>
  <si>
    <t>0,091 Nm</t>
  </si>
  <si>
    <t>0,056 Nm</t>
  </si>
  <si>
    <t>BPB-047-ACL206-20-HBZD</t>
  </si>
  <si>
    <t>0,0918 Nm</t>
  </si>
  <si>
    <t>B&amp;P-047-SAB-210-50DG-HBZD</t>
  </si>
  <si>
    <t>0.796 Nm</t>
  </si>
  <si>
    <t>0.531 Nm</t>
  </si>
  <si>
    <t>B&amp;P-047-ACL206-18RG-HBZD</t>
  </si>
  <si>
    <t>Rojo,interno</t>
  </si>
  <si>
    <t>B&amp;P-047-ACLR208-24RR -HBZD</t>
  </si>
  <si>
    <t>B&amp;P-047-ECL208-24DG-CMI</t>
  </si>
  <si>
    <t>B&amp;P-047-SAB-206-30DG-CMI</t>
  </si>
  <si>
    <t>4,6 - 5,5 gr</t>
  </si>
  <si>
    <t>0,33 Nm</t>
  </si>
  <si>
    <t>0,22 Nm</t>
  </si>
  <si>
    <t>B&amp;P-047-ECL211-35D-CMI</t>
  </si>
  <si>
    <t>0,67 Nm</t>
  </si>
  <si>
    <t>J</t>
  </si>
  <si>
    <t>B&amp;P-047-ACL206-18RG-CMI</t>
  </si>
  <si>
    <t>BPB-047-ACL206-20-CMI</t>
  </si>
  <si>
    <t>B&amp;P-047-ACL206-30RG-CMI</t>
  </si>
  <si>
    <t>B&amp;P-047-ACL206-30RR1-CMI</t>
  </si>
  <si>
    <t xml:space="preserve">4,6 - 5.5 gr (50-60%) </t>
  </si>
  <si>
    <t>I</t>
  </si>
  <si>
    <t>B&amp;P-047-ASL-205-25MM-CMI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</si>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</sst>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#,##0.000"/>
    <numFmt numFmtId="166" formatCode="0.000"/>
  </numFmts>
  <fonts count="33" x14ac:knownFonts="1">
    <font>
      <sz val="10"/>
      <name val="Arial"/>
    </font>
    <font>
      <sz val="8"/>
      <name val="Arial"/>
      <family val="2"/>
    </font>
    <font>
      <sz val="7"/>
      <name val="Arial"/>
      <family val="2"/>
    </font>
    <font>
      <b/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5"/>
      <name val="Arial"/>
      <family val="2"/>
    </font>
    <font>
      <sz val="12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6"/>
      <name val="Arial"/>
      <family val="2"/>
    </font>
    <font>
      <sz val="14"/>
      <name val="Arial"/>
      <family val="2"/>
    </font>
    <font>
      <vertAlign val="subscript"/>
      <sz val="12"/>
      <name val="Arial"/>
      <family val="2"/>
    </font>
    <font>
      <b/>
      <sz val="7"/>
      <name val="Arial"/>
      <family val="2"/>
    </font>
    <font>
      <sz val="16"/>
      <name val="Arial"/>
      <family val="2"/>
    </font>
    <font>
      <b/>
      <sz val="9"/>
      <name val="Arial"/>
      <family val="2"/>
    </font>
    <font>
      <b/>
      <i/>
      <sz val="12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sz val="9"/>
      <color indexed="9"/>
      <name val="Arial"/>
      <family val="2"/>
    </font>
    <font>
      <sz val="8"/>
      <name val="Arial"/>
      <family val="2"/>
    </font>
    <font>
      <sz val="6"/>
      <name val="Arial"/>
      <family val="2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name val="Calibri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b/>
      <sz val="10"/>
      <color rgb="FF222222"/>
      <name val="Arial"/>
      <family val="2"/>
    </font>
    <font>
      <b/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/>
    <xf numFmtId="0" fontId="8" fillId="0" borderId="0"/>
    <xf numFmtId="0" fontId="8" fillId="0" borderId="0"/>
  </cellStyleXfs>
  <cellXfs count="295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2" fillId="0" borderId="1" xfId="0" applyFont="1" applyBorder="1" applyAlignment="1">
      <alignment horizont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>
      <alignment readingOrder="1"/>
    </xf>
    <xf numFmtId="0" fontId="10" fillId="0" borderId="0" xfId="0" applyFont="1" applyBorder="1" applyAlignment="1">
      <alignment vertical="top"/>
    </xf>
    <xf numFmtId="0" fontId="0" fillId="0" borderId="2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7" fillId="0" borderId="0" xfId="0" applyFont="1"/>
    <xf numFmtId="0" fontId="7" fillId="2" borderId="0" xfId="0" applyFont="1" applyFill="1"/>
    <xf numFmtId="0" fontId="16" fillId="3" borderId="1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wrapText="1"/>
    </xf>
    <xf numFmtId="0" fontId="0" fillId="0" borderId="5" xfId="0" applyFill="1" applyBorder="1" applyAlignment="1">
      <alignment horizontal="center" wrapText="1"/>
    </xf>
    <xf numFmtId="0" fontId="0" fillId="0" borderId="6" xfId="0" applyFill="1" applyBorder="1" applyAlignment="1">
      <alignment horizontal="center" wrapText="1"/>
    </xf>
    <xf numFmtId="0" fontId="16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/>
    <xf numFmtId="0" fontId="3" fillId="3" borderId="0" xfId="0" applyFont="1" applyFill="1" applyAlignment="1"/>
    <xf numFmtId="0" fontId="0" fillId="0" borderId="0" xfId="0" applyAlignment="1"/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wrapText="1"/>
    </xf>
    <xf numFmtId="0" fontId="8" fillId="0" borderId="1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vertical="center" wrapText="1" shrinkToFit="1"/>
    </xf>
    <xf numFmtId="0" fontId="0" fillId="0" borderId="3" xfId="0" applyBorder="1" applyAlignment="1"/>
    <xf numFmtId="0" fontId="0" fillId="0" borderId="9" xfId="0" applyBorder="1" applyAlignment="1"/>
    <xf numFmtId="0" fontId="2" fillId="0" borderId="3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3" fillId="0" borderId="9" xfId="0" applyFont="1" applyFill="1" applyBorder="1" applyAlignment="1">
      <alignment horizontal="center" vertical="center" wrapText="1"/>
    </xf>
    <xf numFmtId="0" fontId="10" fillId="0" borderId="10" xfId="0" applyFont="1" applyBorder="1" applyAlignment="1">
      <alignment vertical="center"/>
    </xf>
    <xf numFmtId="0" fontId="10" fillId="0" borderId="9" xfId="0" applyFont="1" applyBorder="1" applyAlignment="1">
      <alignment vertical="center"/>
    </xf>
    <xf numFmtId="0" fontId="23" fillId="0" borderId="2" xfId="0" applyFont="1" applyBorder="1" applyAlignment="1">
      <alignment horizontal="center" vertical="center" wrapText="1" shrinkToFit="1"/>
    </xf>
    <xf numFmtId="0" fontId="2" fillId="0" borderId="5" xfId="0" applyFont="1" applyBorder="1" applyAlignment="1">
      <alignment horizontal="center"/>
    </xf>
    <xf numFmtId="0" fontId="5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wrapText="1"/>
    </xf>
    <xf numFmtId="0" fontId="2" fillId="0" borderId="4" xfId="0" applyFont="1" applyBorder="1" applyAlignment="1">
      <alignment horizontal="center" wrapText="1"/>
    </xf>
    <xf numFmtId="0" fontId="0" fillId="0" borderId="7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8" xfId="0" applyBorder="1" applyAlignment="1"/>
    <xf numFmtId="0" fontId="5" fillId="0" borderId="1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/>
    </xf>
    <xf numFmtId="0" fontId="0" fillId="0" borderId="13" xfId="0" applyBorder="1" applyAlignment="1"/>
    <xf numFmtId="0" fontId="0" fillId="0" borderId="14" xfId="0" applyBorder="1" applyAlignment="1"/>
    <xf numFmtId="0" fontId="7" fillId="2" borderId="0" xfId="0" applyFont="1" applyFill="1" applyAlignment="1">
      <alignment horizontal="left" vertical="top"/>
    </xf>
    <xf numFmtId="0" fontId="7" fillId="5" borderId="1" xfId="0" applyFont="1" applyFill="1" applyBorder="1" applyAlignment="1" applyProtection="1">
      <alignment horizontal="left" vertical="top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horizontal="left" vertical="top"/>
      <protection locked="0"/>
    </xf>
    <xf numFmtId="0" fontId="7" fillId="0" borderId="1" xfId="0" applyFont="1" applyBorder="1" applyAlignment="1">
      <alignment horizontal="left" vertical="top"/>
    </xf>
    <xf numFmtId="0" fontId="7" fillId="0" borderId="5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0" fontId="7" fillId="0" borderId="0" xfId="0" applyFont="1" applyAlignment="1">
      <alignment horizontal="left" vertical="top"/>
    </xf>
    <xf numFmtId="0" fontId="18" fillId="0" borderId="1" xfId="0" applyFont="1" applyBorder="1" applyAlignment="1">
      <alignment horizontal="left" vertical="top"/>
    </xf>
    <xf numFmtId="0" fontId="8" fillId="0" borderId="11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9" fontId="0" fillId="6" borderId="1" xfId="0" applyNumberForma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14" fontId="8" fillId="0" borderId="1" xfId="0" applyNumberFormat="1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 vertical="top"/>
    </xf>
    <xf numFmtId="0" fontId="7" fillId="0" borderId="5" xfId="0" applyFont="1" applyBorder="1" applyAlignment="1" applyProtection="1">
      <alignment horizontal="left" vertical="top"/>
      <protection locked="0"/>
    </xf>
    <xf numFmtId="0" fontId="8" fillId="0" borderId="1" xfId="0" applyFont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7" fillId="0" borderId="1" xfId="0" applyFont="1" applyBorder="1"/>
    <xf numFmtId="0" fontId="28" fillId="0" borderId="16" xfId="0" applyFont="1" applyBorder="1" applyAlignment="1">
      <alignment vertical="center"/>
    </xf>
    <xf numFmtId="0" fontId="29" fillId="0" borderId="16" xfId="0" applyFont="1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0" fontId="16" fillId="8" borderId="0" xfId="0" applyFont="1" applyFill="1"/>
    <xf numFmtId="0" fontId="8" fillId="0" borderId="6" xfId="0" applyFont="1" applyFill="1" applyBorder="1" applyAlignment="1">
      <alignment horizontal="center" vertical="center"/>
    </xf>
    <xf numFmtId="0" fontId="23" fillId="0" borderId="0" xfId="0" applyFont="1" applyAlignment="1"/>
    <xf numFmtId="0" fontId="1" fillId="0" borderId="0" xfId="0" applyFont="1" applyAlignment="1">
      <alignment horizontal="center" vertical="center"/>
    </xf>
    <xf numFmtId="0" fontId="27" fillId="0" borderId="0" xfId="0" applyFont="1"/>
    <xf numFmtId="0" fontId="8" fillId="0" borderId="0" xfId="0" applyFont="1" applyAlignment="1">
      <alignment horizontal="center"/>
    </xf>
    <xf numFmtId="0" fontId="2" fillId="0" borderId="12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 shrinkToFit="1"/>
    </xf>
    <xf numFmtId="0" fontId="23" fillId="0" borderId="0" xfId="0" applyFont="1" applyBorder="1" applyAlignment="1">
      <alignment vertical="center" wrapText="1" shrinkToFit="1"/>
    </xf>
    <xf numFmtId="0" fontId="0" fillId="0" borderId="17" xfId="0" applyFill="1" applyBorder="1" applyAlignment="1">
      <alignment horizontal="center" wrapText="1"/>
    </xf>
    <xf numFmtId="0" fontId="2" fillId="0" borderId="7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" fillId="0" borderId="17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0" fillId="0" borderId="1" xfId="0" applyFont="1" applyBorder="1"/>
    <xf numFmtId="0" fontId="31" fillId="0" borderId="0" xfId="0" applyFont="1"/>
    <xf numFmtId="0" fontId="32" fillId="0" borderId="0" xfId="0" applyFont="1"/>
    <xf numFmtId="9" fontId="0" fillId="0" borderId="1" xfId="0" applyNumberFormat="1" applyBorder="1" applyAlignment="1">
      <alignment horizontal="center" vertical="center"/>
    </xf>
    <xf numFmtId="14" fontId="8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8" fillId="0" borderId="17" xfId="0" applyFont="1" applyBorder="1" applyAlignment="1">
      <alignment horizontal="center" vertical="top" wrapText="1"/>
    </xf>
    <xf numFmtId="0" fontId="3" fillId="0" borderId="0" xfId="0" applyFont="1" applyBorder="1" applyAlignment="1">
      <alignment horizontal="right"/>
    </xf>
    <xf numFmtId="0" fontId="19" fillId="0" borderId="0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22" fillId="7" borderId="18" xfId="0" applyFont="1" applyFill="1" applyBorder="1" applyAlignment="1">
      <alignment horizontal="center" vertical="center" wrapText="1"/>
    </xf>
    <xf numFmtId="0" fontId="22" fillId="7" borderId="19" xfId="0" applyFont="1" applyFill="1" applyBorder="1" applyAlignment="1">
      <alignment horizontal="center" vertical="center" wrapText="1"/>
    </xf>
    <xf numFmtId="0" fontId="22" fillId="7" borderId="20" xfId="0" applyFont="1" applyFill="1" applyBorder="1" applyAlignment="1">
      <alignment horizontal="center" vertical="center" wrapText="1"/>
    </xf>
    <xf numFmtId="0" fontId="22" fillId="7" borderId="21" xfId="0" applyFont="1" applyFill="1" applyBorder="1" applyAlignment="1">
      <alignment horizontal="center" vertical="center" wrapText="1"/>
    </xf>
    <xf numFmtId="0" fontId="11" fillId="0" borderId="22" xfId="0" applyFont="1" applyFill="1" applyBorder="1" applyAlignment="1">
      <alignment horizontal="center" vertical="center" wrapText="1"/>
    </xf>
    <xf numFmtId="0" fontId="11" fillId="0" borderId="14" xfId="0" applyFont="1" applyFill="1" applyBorder="1" applyAlignment="1">
      <alignment horizontal="center" vertical="center" wrapText="1"/>
    </xf>
    <xf numFmtId="0" fontId="11" fillId="0" borderId="13" xfId="0" applyFont="1" applyFill="1" applyBorder="1" applyAlignment="1">
      <alignment horizontal="center" vertical="center" wrapText="1"/>
    </xf>
    <xf numFmtId="0" fontId="11" fillId="0" borderId="1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49" fontId="14" fillId="5" borderId="23" xfId="0" applyNumberFormat="1" applyFont="1" applyFill="1" applyBorder="1" applyAlignment="1">
      <alignment horizontal="center" vertical="distributed"/>
    </xf>
    <xf numFmtId="49" fontId="14" fillId="5" borderId="24" xfId="0" applyNumberFormat="1" applyFont="1" applyFill="1" applyBorder="1" applyAlignment="1">
      <alignment horizontal="center" vertical="distributed"/>
    </xf>
    <xf numFmtId="49" fontId="14" fillId="5" borderId="25" xfId="0" applyNumberFormat="1" applyFont="1" applyFill="1" applyBorder="1" applyAlignment="1">
      <alignment horizontal="center" vertical="distributed"/>
    </xf>
    <xf numFmtId="49" fontId="14" fillId="5" borderId="16" xfId="0" applyNumberFormat="1" applyFont="1" applyFill="1" applyBorder="1" applyAlignment="1">
      <alignment horizontal="center" vertical="distributed"/>
    </xf>
    <xf numFmtId="0" fontId="2" fillId="0" borderId="1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0" borderId="7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23" fillId="0" borderId="2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2" fillId="0" borderId="6" xfId="0" applyFont="1" applyBorder="1" applyAlignment="1">
      <alignment horizontal="center" vertical="center" wrapText="1" shrinkToFit="1"/>
    </xf>
    <xf numFmtId="0" fontId="2" fillId="0" borderId="4" xfId="0" applyFont="1" applyBorder="1" applyAlignment="1">
      <alignment horizontal="center" vertical="center" wrapText="1" shrinkToFit="1"/>
    </xf>
    <xf numFmtId="0" fontId="4" fillId="0" borderId="5" xfId="0" applyFont="1" applyBorder="1" applyAlignment="1">
      <alignment horizontal="center" vertical="center" wrapText="1" shrinkToFit="1"/>
    </xf>
    <xf numFmtId="0" fontId="1" fillId="0" borderId="7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4" fillId="0" borderId="12" xfId="0" applyFont="1" applyBorder="1" applyAlignment="1">
      <alignment horizontal="center" vertical="center" wrapText="1"/>
    </xf>
    <xf numFmtId="0" fontId="24" fillId="0" borderId="2" xfId="0" applyFont="1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0" fillId="0" borderId="10" xfId="0" applyBorder="1"/>
    <xf numFmtId="0" fontId="23" fillId="0" borderId="3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21" fillId="0" borderId="3" xfId="0" applyNumberFormat="1" applyFont="1" applyBorder="1" applyAlignment="1">
      <alignment horizontal="center" vertical="center" wrapText="1"/>
    </xf>
    <xf numFmtId="14" fontId="21" fillId="0" borderId="10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wrapText="1"/>
    </xf>
    <xf numFmtId="0" fontId="7" fillId="0" borderId="17" xfId="0" applyFont="1" applyBorder="1" applyAlignment="1">
      <alignment horizontal="center" wrapText="1"/>
    </xf>
    <xf numFmtId="0" fontId="7" fillId="0" borderId="12" xfId="0" applyFont="1" applyBorder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164" fontId="12" fillId="0" borderId="7" xfId="0" applyNumberFormat="1" applyFont="1" applyBorder="1" applyAlignment="1">
      <alignment horizontal="center" vertical="center" wrapText="1"/>
    </xf>
    <xf numFmtId="164" fontId="12" fillId="0" borderId="17" xfId="0" applyNumberFormat="1" applyFont="1" applyBorder="1" applyAlignment="1">
      <alignment horizontal="center" vertical="center" wrapText="1"/>
    </xf>
    <xf numFmtId="164" fontId="12" fillId="0" borderId="11" xfId="0" applyNumberFormat="1" applyFont="1" applyBorder="1" applyAlignment="1">
      <alignment horizontal="center" vertical="center" wrapText="1"/>
    </xf>
    <xf numFmtId="164" fontId="12" fillId="0" borderId="15" xfId="0" applyNumberFormat="1" applyFont="1" applyBorder="1" applyAlignment="1">
      <alignment horizontal="center"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1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top" wrapText="1"/>
    </xf>
    <xf numFmtId="0" fontId="10" fillId="0" borderId="10" xfId="0" applyFont="1" applyBorder="1" applyAlignment="1">
      <alignment horizontal="left" vertical="center"/>
    </xf>
    <xf numFmtId="0" fontId="10" fillId="0" borderId="9" xfId="0" applyFont="1" applyBorder="1" applyAlignment="1">
      <alignment horizontal="left" vertical="center"/>
    </xf>
    <xf numFmtId="0" fontId="14" fillId="5" borderId="7" xfId="0" applyFont="1" applyFill="1" applyBorder="1" applyAlignment="1">
      <alignment horizontal="center"/>
    </xf>
    <xf numFmtId="0" fontId="14" fillId="5" borderId="17" xfId="0" applyFont="1" applyFill="1" applyBorder="1" applyAlignment="1">
      <alignment horizontal="center"/>
    </xf>
    <xf numFmtId="0" fontId="14" fillId="5" borderId="12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6" xfId="0" applyBorder="1" applyAlignment="1">
      <alignment horizontal="center"/>
    </xf>
    <xf numFmtId="0" fontId="13" fillId="0" borderId="7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49" fontId="14" fillId="5" borderId="27" xfId="0" applyNumberFormat="1" applyFont="1" applyFill="1" applyBorder="1" applyAlignment="1">
      <alignment horizontal="center" vertical="distributed"/>
    </xf>
    <xf numFmtId="49" fontId="14" fillId="5" borderId="28" xfId="0" applyNumberFormat="1" applyFont="1" applyFill="1" applyBorder="1" applyAlignment="1">
      <alignment horizontal="center" vertical="distributed"/>
    </xf>
    <xf numFmtId="0" fontId="22" fillId="7" borderId="22" xfId="0" applyFont="1" applyFill="1" applyBorder="1" applyAlignment="1">
      <alignment horizontal="center" vertical="center" wrapText="1"/>
    </xf>
    <xf numFmtId="0" fontId="22" fillId="7" borderId="14" xfId="0" applyFont="1" applyFill="1" applyBorder="1" applyAlignment="1">
      <alignment horizontal="center" vertical="center" wrapText="1"/>
    </xf>
    <xf numFmtId="0" fontId="22" fillId="7" borderId="13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 shrinkToFit="1"/>
    </xf>
    <xf numFmtId="0" fontId="22" fillId="7" borderId="16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19" fillId="0" borderId="7" xfId="0" applyFont="1" applyFill="1" applyBorder="1" applyAlignment="1">
      <alignment horizontal="center" vertical="center" wrapText="1"/>
    </xf>
    <xf numFmtId="0" fontId="19" fillId="0" borderId="17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9" xfId="0" applyFont="1" applyFill="1" applyBorder="1" applyAlignment="1">
      <alignment horizontal="center" vertical="center" wrapText="1"/>
    </xf>
  </cellXfs>
  <cellStyles count="3">
    <cellStyle name="Normal" xfId="0" builtinId="0"/>
    <cellStyle name="Normal 2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Auxiliar!$B$1:$B$178" fmlaRange="Auxiliar!$B$3:$Y$978" sel="356" val="352"/>
</file>

<file path=xl/ctrlProps/ctrlProp2.xml><?xml version="1.0" encoding="utf-8"?>
<formControlPr xmlns="http://schemas.microsoft.com/office/spreadsheetml/2009/9/main" objectType="Drop" dropStyle="combo" dx="22" fmlaLink="Auxiliar!$B$1:$B$178" fmlaRange="Auxiliar!$B$3:$Y$978" sel="356" val="271"/>
</file>

<file path=xl/ctrlProps/ctrlProp3.xml><?xml version="1.0" encoding="utf-8"?>
<formControlPr xmlns="http://schemas.microsoft.com/office/spreadsheetml/2009/9/main" objectType="Drop" dropStyle="combo" dx="22" fmlaLink="Auxiliar!$B$1:$B$178" fmlaRange="Auxiliar!$B$3:$Y$478" sel="356" val="26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142875</xdr:rowOff>
    </xdr:from>
    <xdr:to>
      <xdr:col>2</xdr:col>
      <xdr:colOff>638175</xdr:colOff>
      <xdr:row>5</xdr:row>
      <xdr:rowOff>19050</xdr:rowOff>
    </xdr:to>
    <xdr:pic>
      <xdr:nvPicPr>
        <xdr:cNvPr id="20842" name="Picture 15" descr="SOLI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2875"/>
          <a:ext cx="17430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47625</xdr:colOff>
      <xdr:row>13</xdr:row>
      <xdr:rowOff>76200</xdr:rowOff>
    </xdr:from>
    <xdr:to>
      <xdr:col>0</xdr:col>
      <xdr:colOff>223564</xdr:colOff>
      <xdr:row>14</xdr:row>
      <xdr:rowOff>85725</xdr:rowOff>
    </xdr:to>
    <xdr:sp macro="" textlink="">
      <xdr:nvSpPr>
        <xdr:cNvPr id="1043" name="Oval 19"/>
        <xdr:cNvSpPr>
          <a:spLocks noChangeArrowheads="1"/>
        </xdr:cNvSpPr>
      </xdr:nvSpPr>
      <xdr:spPr bwMode="auto">
        <a:xfrm>
          <a:off x="47625" y="2743200"/>
          <a:ext cx="171450" cy="16192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0</xdr:col>
      <xdr:colOff>38100</xdr:colOff>
      <xdr:row>15</xdr:row>
      <xdr:rowOff>57150</xdr:rowOff>
    </xdr:from>
    <xdr:to>
      <xdr:col>0</xdr:col>
      <xdr:colOff>209550</xdr:colOff>
      <xdr:row>16</xdr:row>
      <xdr:rowOff>74350</xdr:rowOff>
    </xdr:to>
    <xdr:sp macro="" textlink="">
      <xdr:nvSpPr>
        <xdr:cNvPr id="1044" name="Oval 20"/>
        <xdr:cNvSpPr>
          <a:spLocks noChangeArrowheads="1"/>
        </xdr:cNvSpPr>
      </xdr:nvSpPr>
      <xdr:spPr bwMode="auto">
        <a:xfrm>
          <a:off x="38100" y="3028950"/>
          <a:ext cx="171450" cy="16192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xdr:txBody>
    </xdr:sp>
    <xdr:clientData/>
  </xdr:twoCellAnchor>
  <xdr:twoCellAnchor>
    <xdr:from>
      <xdr:col>0</xdr:col>
      <xdr:colOff>38100</xdr:colOff>
      <xdr:row>17</xdr:row>
      <xdr:rowOff>59055</xdr:rowOff>
    </xdr:from>
    <xdr:to>
      <xdr:col>0</xdr:col>
      <xdr:colOff>209550</xdr:colOff>
      <xdr:row>18</xdr:row>
      <xdr:rowOff>66601</xdr:rowOff>
    </xdr:to>
    <xdr:sp macro="" textlink="">
      <xdr:nvSpPr>
        <xdr:cNvPr id="1048" name="Oval 24"/>
        <xdr:cNvSpPr>
          <a:spLocks noChangeArrowheads="1"/>
        </xdr:cNvSpPr>
      </xdr:nvSpPr>
      <xdr:spPr bwMode="auto">
        <a:xfrm>
          <a:off x="38100" y="3333750"/>
          <a:ext cx="171450" cy="16192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6</a:t>
          </a:r>
        </a:p>
      </xdr:txBody>
    </xdr:sp>
    <xdr:clientData/>
  </xdr:twoCellAnchor>
  <xdr:twoCellAnchor>
    <xdr:from>
      <xdr:col>0</xdr:col>
      <xdr:colOff>38100</xdr:colOff>
      <xdr:row>19</xdr:row>
      <xdr:rowOff>41910</xdr:rowOff>
    </xdr:from>
    <xdr:to>
      <xdr:col>0</xdr:col>
      <xdr:colOff>209550</xdr:colOff>
      <xdr:row>20</xdr:row>
      <xdr:rowOff>68088</xdr:rowOff>
    </xdr:to>
    <xdr:sp macro="" textlink="">
      <xdr:nvSpPr>
        <xdr:cNvPr id="1049" name="Oval 25"/>
        <xdr:cNvSpPr>
          <a:spLocks noChangeArrowheads="1"/>
        </xdr:cNvSpPr>
      </xdr:nvSpPr>
      <xdr:spPr bwMode="auto">
        <a:xfrm>
          <a:off x="38100" y="3638550"/>
          <a:ext cx="171450" cy="16192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7</a:t>
          </a:r>
        </a:p>
      </xdr:txBody>
    </xdr:sp>
    <xdr:clientData/>
  </xdr:twoCellAnchor>
  <xdr:twoCellAnchor>
    <xdr:from>
      <xdr:col>0</xdr:col>
      <xdr:colOff>38100</xdr:colOff>
      <xdr:row>21</xdr:row>
      <xdr:rowOff>55938</xdr:rowOff>
    </xdr:from>
    <xdr:to>
      <xdr:col>0</xdr:col>
      <xdr:colOff>209550</xdr:colOff>
      <xdr:row>22</xdr:row>
      <xdr:rowOff>74757</xdr:rowOff>
    </xdr:to>
    <xdr:sp macro="" textlink="">
      <xdr:nvSpPr>
        <xdr:cNvPr id="1053" name="Oval 29"/>
        <xdr:cNvSpPr>
          <a:spLocks noChangeArrowheads="1"/>
        </xdr:cNvSpPr>
      </xdr:nvSpPr>
      <xdr:spPr bwMode="auto">
        <a:xfrm>
          <a:off x="38100" y="3943350"/>
          <a:ext cx="171450" cy="161925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12</a:t>
          </a:r>
        </a:p>
      </xdr:txBody>
    </xdr:sp>
    <xdr:clientData/>
  </xdr:twoCellAnchor>
  <xdr:twoCellAnchor editAs="oneCell">
    <xdr:from>
      <xdr:col>15</xdr:col>
      <xdr:colOff>19050</xdr:colOff>
      <xdr:row>11</xdr:row>
      <xdr:rowOff>66675</xdr:rowOff>
    </xdr:from>
    <xdr:to>
      <xdr:col>15</xdr:col>
      <xdr:colOff>704850</xdr:colOff>
      <xdr:row>21</xdr:row>
      <xdr:rowOff>66675</xdr:rowOff>
    </xdr:to>
    <xdr:pic>
      <xdr:nvPicPr>
        <xdr:cNvPr id="20848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0" y="2514600"/>
          <a:ext cx="685800" cy="152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6</xdr:row>
          <xdr:rowOff>66675</xdr:rowOff>
        </xdr:from>
        <xdr:to>
          <xdr:col>14</xdr:col>
          <xdr:colOff>219075</xdr:colOff>
          <xdr:row>6</xdr:row>
          <xdr:rowOff>266700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14</xdr:col>
      <xdr:colOff>117323</xdr:colOff>
      <xdr:row>8</xdr:row>
      <xdr:rowOff>42800</xdr:rowOff>
    </xdr:from>
    <xdr:to>
      <xdr:col>14</xdr:col>
      <xdr:colOff>232817</xdr:colOff>
      <xdr:row>8</xdr:row>
      <xdr:rowOff>147281</xdr:rowOff>
    </xdr:to>
    <xdr:sp macro="" textlink="">
      <xdr:nvSpPr>
        <xdr:cNvPr id="15" name="14 Rectángulo"/>
        <xdr:cNvSpPr/>
      </xdr:nvSpPr>
      <xdr:spPr>
        <a:xfrm>
          <a:off x="6050019" y="1793328"/>
          <a:ext cx="111672" cy="105103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AR"/>
        </a:p>
      </xdr:txBody>
    </xdr:sp>
    <xdr:clientData/>
  </xdr:twoCellAnchor>
  <xdr:twoCellAnchor>
    <xdr:from>
      <xdr:col>14</xdr:col>
      <xdr:colOff>117323</xdr:colOff>
      <xdr:row>8</xdr:row>
      <xdr:rowOff>152597</xdr:rowOff>
    </xdr:from>
    <xdr:to>
      <xdr:col>14</xdr:col>
      <xdr:colOff>232817</xdr:colOff>
      <xdr:row>8</xdr:row>
      <xdr:rowOff>227326</xdr:rowOff>
    </xdr:to>
    <xdr:sp macro="" textlink="">
      <xdr:nvSpPr>
        <xdr:cNvPr id="2" name="Rectangle 46"/>
        <xdr:cNvSpPr/>
      </xdr:nvSpPr>
      <xdr:spPr>
        <a:xfrm>
          <a:off x="6050019" y="1793328"/>
          <a:ext cx="111672" cy="105103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AR"/>
        </a:p>
      </xdr:txBody>
    </xdr:sp>
    <xdr:clientData/>
  </xdr:twoCellAnchor>
  <xdr:twoCellAnchor editAs="oneCell">
    <xdr:from>
      <xdr:col>16</xdr:col>
      <xdr:colOff>19050</xdr:colOff>
      <xdr:row>0</xdr:row>
      <xdr:rowOff>142875</xdr:rowOff>
    </xdr:from>
    <xdr:to>
      <xdr:col>19</xdr:col>
      <xdr:colOff>9525</xdr:colOff>
      <xdr:row>5</xdr:row>
      <xdr:rowOff>0</xdr:rowOff>
    </xdr:to>
    <xdr:pic>
      <xdr:nvPicPr>
        <xdr:cNvPr id="20851" name="Picture 15" descr="SOLI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42875"/>
          <a:ext cx="1724025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47625</xdr:colOff>
      <xdr:row>13</xdr:row>
      <xdr:rowOff>76200</xdr:rowOff>
    </xdr:from>
    <xdr:to>
      <xdr:col>16</xdr:col>
      <xdr:colOff>223564</xdr:colOff>
      <xdr:row>14</xdr:row>
      <xdr:rowOff>85725</xdr:rowOff>
    </xdr:to>
    <xdr:sp macro="" textlink="">
      <xdr:nvSpPr>
        <xdr:cNvPr id="13" name="Oval 19"/>
        <xdr:cNvSpPr>
          <a:spLocks noChangeArrowheads="1"/>
        </xdr:cNvSpPr>
      </xdr:nvSpPr>
      <xdr:spPr bwMode="auto">
        <a:xfrm>
          <a:off x="47625" y="2790825"/>
          <a:ext cx="175939" cy="152400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twoCellAnchor>
  <xdr:twoCellAnchor>
    <xdr:from>
      <xdr:col>16</xdr:col>
      <xdr:colOff>38100</xdr:colOff>
      <xdr:row>15</xdr:row>
      <xdr:rowOff>57150</xdr:rowOff>
    </xdr:from>
    <xdr:to>
      <xdr:col>16</xdr:col>
      <xdr:colOff>209550</xdr:colOff>
      <xdr:row>16</xdr:row>
      <xdr:rowOff>74350</xdr:rowOff>
    </xdr:to>
    <xdr:sp macro="" textlink="">
      <xdr:nvSpPr>
        <xdr:cNvPr id="14" name="Oval 20"/>
        <xdr:cNvSpPr>
          <a:spLocks noChangeArrowheads="1"/>
        </xdr:cNvSpPr>
      </xdr:nvSpPr>
      <xdr:spPr bwMode="auto">
        <a:xfrm>
          <a:off x="38100" y="3089275"/>
          <a:ext cx="171450" cy="175950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2</a:t>
          </a:r>
        </a:p>
      </xdr:txBody>
    </xdr:sp>
    <xdr:clientData/>
  </xdr:twoCellAnchor>
  <xdr:twoCellAnchor>
    <xdr:from>
      <xdr:col>16</xdr:col>
      <xdr:colOff>38100</xdr:colOff>
      <xdr:row>17</xdr:row>
      <xdr:rowOff>59055</xdr:rowOff>
    </xdr:from>
    <xdr:to>
      <xdr:col>16</xdr:col>
      <xdr:colOff>209550</xdr:colOff>
      <xdr:row>18</xdr:row>
      <xdr:rowOff>66601</xdr:rowOff>
    </xdr:to>
    <xdr:sp macro="" textlink="">
      <xdr:nvSpPr>
        <xdr:cNvPr id="16" name="Oval 24"/>
        <xdr:cNvSpPr>
          <a:spLocks noChangeArrowheads="1"/>
        </xdr:cNvSpPr>
      </xdr:nvSpPr>
      <xdr:spPr bwMode="auto">
        <a:xfrm>
          <a:off x="38100" y="3408680"/>
          <a:ext cx="171450" cy="150421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6</a:t>
          </a:r>
        </a:p>
      </xdr:txBody>
    </xdr:sp>
    <xdr:clientData/>
  </xdr:twoCellAnchor>
  <xdr:twoCellAnchor>
    <xdr:from>
      <xdr:col>16</xdr:col>
      <xdr:colOff>38100</xdr:colOff>
      <xdr:row>19</xdr:row>
      <xdr:rowOff>41910</xdr:rowOff>
    </xdr:from>
    <xdr:to>
      <xdr:col>16</xdr:col>
      <xdr:colOff>209550</xdr:colOff>
      <xdr:row>20</xdr:row>
      <xdr:rowOff>68088</xdr:rowOff>
    </xdr:to>
    <xdr:sp macro="" textlink="">
      <xdr:nvSpPr>
        <xdr:cNvPr id="17" name="Oval 25"/>
        <xdr:cNvSpPr>
          <a:spLocks noChangeArrowheads="1"/>
        </xdr:cNvSpPr>
      </xdr:nvSpPr>
      <xdr:spPr bwMode="auto">
        <a:xfrm>
          <a:off x="38100" y="3693160"/>
          <a:ext cx="171450" cy="200803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7</a:t>
          </a:r>
        </a:p>
      </xdr:txBody>
    </xdr:sp>
    <xdr:clientData/>
  </xdr:twoCellAnchor>
  <xdr:twoCellAnchor>
    <xdr:from>
      <xdr:col>16</xdr:col>
      <xdr:colOff>38100</xdr:colOff>
      <xdr:row>21</xdr:row>
      <xdr:rowOff>55938</xdr:rowOff>
    </xdr:from>
    <xdr:to>
      <xdr:col>16</xdr:col>
      <xdr:colOff>209550</xdr:colOff>
      <xdr:row>22</xdr:row>
      <xdr:rowOff>74757</xdr:rowOff>
    </xdr:to>
    <xdr:sp macro="" textlink="">
      <xdr:nvSpPr>
        <xdr:cNvPr id="18" name="Oval 29"/>
        <xdr:cNvSpPr>
          <a:spLocks noChangeArrowheads="1"/>
        </xdr:cNvSpPr>
      </xdr:nvSpPr>
      <xdr:spPr bwMode="auto">
        <a:xfrm>
          <a:off x="38100" y="4024688"/>
          <a:ext cx="171450" cy="193444"/>
        </a:xfrm>
        <a:prstGeom prst="ellipse">
          <a:avLst/>
        </a:prstGeom>
        <a:solidFill>
          <a:srgbClr val="FFFFFF"/>
        </a:soli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1">
            <a:defRPr sz="1000"/>
          </a:pPr>
          <a:r>
            <a:rPr lang="es-ES" sz="700" b="0" i="0" strike="noStrike">
              <a:solidFill>
                <a:srgbClr val="000000"/>
              </a:solidFill>
              <a:latin typeface="Arial"/>
              <a:cs typeface="Arial"/>
            </a:rPr>
            <a:t>12</a:t>
          </a:r>
        </a:p>
      </xdr:txBody>
    </xdr:sp>
    <xdr:clientData/>
  </xdr:twoCellAnchor>
  <xdr:twoCellAnchor editAs="oneCell">
    <xdr:from>
      <xdr:col>31</xdr:col>
      <xdr:colOff>19050</xdr:colOff>
      <xdr:row>11</xdr:row>
      <xdr:rowOff>66675</xdr:rowOff>
    </xdr:from>
    <xdr:to>
      <xdr:col>31</xdr:col>
      <xdr:colOff>704850</xdr:colOff>
      <xdr:row>21</xdr:row>
      <xdr:rowOff>38100</xdr:rowOff>
    </xdr:to>
    <xdr:pic>
      <xdr:nvPicPr>
        <xdr:cNvPr id="20857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92200" y="2514600"/>
          <a:ext cx="685800" cy="1495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57150</xdr:colOff>
          <xdr:row>6</xdr:row>
          <xdr:rowOff>66675</xdr:rowOff>
        </xdr:from>
        <xdr:to>
          <xdr:col>30</xdr:col>
          <xdr:colOff>219075</xdr:colOff>
          <xdr:row>6</xdr:row>
          <xdr:rowOff>266700</xdr:rowOff>
        </xdr:to>
        <xdr:sp macro="" textlink="">
          <xdr:nvSpPr>
            <xdr:cNvPr id="9963" name="Drop Down 1771" hidden="1">
              <a:extLst>
                <a:ext uri="{63B3BB69-23CF-44E3-9099-C40C66FF867C}">
                  <a14:compatExt spid="_x0000_s9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30</xdr:col>
      <xdr:colOff>117323</xdr:colOff>
      <xdr:row>8</xdr:row>
      <xdr:rowOff>42800</xdr:rowOff>
    </xdr:from>
    <xdr:to>
      <xdr:col>30</xdr:col>
      <xdr:colOff>232817</xdr:colOff>
      <xdr:row>8</xdr:row>
      <xdr:rowOff>147281</xdr:rowOff>
    </xdr:to>
    <xdr:sp macro="" textlink="">
      <xdr:nvSpPr>
        <xdr:cNvPr id="20" name="14 Rectángulo"/>
        <xdr:cNvSpPr/>
      </xdr:nvSpPr>
      <xdr:spPr>
        <a:xfrm>
          <a:off x="6372073" y="1630300"/>
          <a:ext cx="115494" cy="10448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AR"/>
        </a:p>
      </xdr:txBody>
    </xdr:sp>
    <xdr:clientData/>
  </xdr:twoCellAnchor>
  <xdr:twoCellAnchor>
    <xdr:from>
      <xdr:col>30</xdr:col>
      <xdr:colOff>117323</xdr:colOff>
      <xdr:row>8</xdr:row>
      <xdr:rowOff>152597</xdr:rowOff>
    </xdr:from>
    <xdr:to>
      <xdr:col>30</xdr:col>
      <xdr:colOff>232817</xdr:colOff>
      <xdr:row>8</xdr:row>
      <xdr:rowOff>227326</xdr:rowOff>
    </xdr:to>
    <xdr:sp macro="" textlink="">
      <xdr:nvSpPr>
        <xdr:cNvPr id="21" name="Rectangle 46"/>
        <xdr:cNvSpPr/>
      </xdr:nvSpPr>
      <xdr:spPr>
        <a:xfrm>
          <a:off x="6372073" y="1740097"/>
          <a:ext cx="115494" cy="7472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AR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2</xdr:row>
      <xdr:rowOff>9525</xdr:rowOff>
    </xdr:from>
    <xdr:to>
      <xdr:col>2</xdr:col>
      <xdr:colOff>342900</xdr:colOff>
      <xdr:row>4</xdr:row>
      <xdr:rowOff>142875</xdr:rowOff>
    </xdr:to>
    <xdr:pic>
      <xdr:nvPicPr>
        <xdr:cNvPr id="2710" name="Picture 1" descr="SOLI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333375"/>
          <a:ext cx="16478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142875</xdr:rowOff>
    </xdr:from>
    <xdr:to>
      <xdr:col>2</xdr:col>
      <xdr:colOff>638175</xdr:colOff>
      <xdr:row>5</xdr:row>
      <xdr:rowOff>19050</xdr:rowOff>
    </xdr:to>
    <xdr:pic>
      <xdr:nvPicPr>
        <xdr:cNvPr id="11138" name="Picture 15" descr="SOLID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2875"/>
          <a:ext cx="17430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15</xdr:col>
      <xdr:colOff>19050</xdr:colOff>
      <xdr:row>11</xdr:row>
      <xdr:rowOff>66675</xdr:rowOff>
    </xdr:from>
    <xdr:to>
      <xdr:col>15</xdr:col>
      <xdr:colOff>704850</xdr:colOff>
      <xdr:row>19</xdr:row>
      <xdr:rowOff>19050</xdr:rowOff>
    </xdr:to>
    <xdr:pic>
      <xdr:nvPicPr>
        <xdr:cNvPr id="11139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0800" y="2543175"/>
          <a:ext cx="685800" cy="155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6</xdr:row>
          <xdr:rowOff>66675</xdr:rowOff>
        </xdr:from>
        <xdr:to>
          <xdr:col>14</xdr:col>
          <xdr:colOff>219075</xdr:colOff>
          <xdr:row>6</xdr:row>
          <xdr:rowOff>276225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14</xdr:col>
      <xdr:colOff>117323</xdr:colOff>
      <xdr:row>8</xdr:row>
      <xdr:rowOff>42800</xdr:rowOff>
    </xdr:from>
    <xdr:to>
      <xdr:col>14</xdr:col>
      <xdr:colOff>232817</xdr:colOff>
      <xdr:row>8</xdr:row>
      <xdr:rowOff>147281</xdr:rowOff>
    </xdr:to>
    <xdr:sp macro="" textlink="">
      <xdr:nvSpPr>
        <xdr:cNvPr id="10" name="14 Rectángulo"/>
        <xdr:cNvSpPr/>
      </xdr:nvSpPr>
      <xdr:spPr>
        <a:xfrm>
          <a:off x="6222848" y="1643000"/>
          <a:ext cx="115494" cy="10448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AR"/>
        </a:p>
      </xdr:txBody>
    </xdr:sp>
    <xdr:clientData/>
  </xdr:twoCellAnchor>
  <xdr:twoCellAnchor>
    <xdr:from>
      <xdr:col>14</xdr:col>
      <xdr:colOff>117323</xdr:colOff>
      <xdr:row>8</xdr:row>
      <xdr:rowOff>152597</xdr:rowOff>
    </xdr:from>
    <xdr:to>
      <xdr:col>14</xdr:col>
      <xdr:colOff>232817</xdr:colOff>
      <xdr:row>8</xdr:row>
      <xdr:rowOff>227326</xdr:rowOff>
    </xdr:to>
    <xdr:sp macro="" textlink="">
      <xdr:nvSpPr>
        <xdr:cNvPr id="11" name="Rectangle 46"/>
        <xdr:cNvSpPr/>
      </xdr:nvSpPr>
      <xdr:spPr>
        <a:xfrm>
          <a:off x="6222848" y="1752797"/>
          <a:ext cx="115494" cy="7472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AR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F90"/>
  <sheetViews>
    <sheetView showGridLines="0" zoomScale="130" zoomScaleNormal="130" workbookViewId="0">
      <selection activeCell="M9" sqref="M9:N9"/>
    </sheetView>
  </sheetViews>
  <sheetFormatPr baseColWidth="10" defaultRowHeight="12.75" x14ac:dyDescent="0.2"/>
  <cols>
    <col min="1" max="2" width="8.42578125" customWidth="1"/>
    <col min="3" max="3" width="10.5703125" customWidth="1"/>
    <col min="4" max="8" width="5.7109375" customWidth="1"/>
    <col min="9" max="9" width="8.28515625" customWidth="1"/>
    <col min="10" max="10" width="8.5703125" customWidth="1"/>
    <col min="11" max="13" width="5.7109375" customWidth="1"/>
    <col min="14" max="15" width="4.140625" customWidth="1"/>
    <col min="17" max="18" width="8.42578125" customWidth="1"/>
    <col min="19" max="19" width="9.140625" customWidth="1"/>
    <col min="20" max="24" width="5.7109375" customWidth="1"/>
    <col min="25" max="25" width="8.28515625" customWidth="1"/>
    <col min="26" max="26" width="8.5703125" customWidth="1"/>
    <col min="27" max="29" width="5.7109375" customWidth="1"/>
    <col min="30" max="31" width="4.140625" customWidth="1"/>
  </cols>
  <sheetData>
    <row r="1" spans="1:32" ht="12.75" customHeight="1" x14ac:dyDescent="0.2">
      <c r="A1" s="223" t="s">
        <v>14</v>
      </c>
      <c r="B1" s="224"/>
      <c r="C1" s="225"/>
      <c r="D1" s="232" t="s">
        <v>87</v>
      </c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  <c r="Q1" s="223" t="s">
        <v>14</v>
      </c>
      <c r="R1" s="224"/>
      <c r="S1" s="225"/>
      <c r="T1" s="232" t="s">
        <v>87</v>
      </c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4"/>
    </row>
    <row r="2" spans="1:32" ht="12.75" customHeight="1" x14ac:dyDescent="0.2">
      <c r="A2" s="226"/>
      <c r="B2" s="227"/>
      <c r="C2" s="228"/>
      <c r="D2" s="235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7"/>
      <c r="Q2" s="226"/>
      <c r="R2" s="227"/>
      <c r="S2" s="228"/>
      <c r="T2" s="235"/>
      <c r="U2" s="236"/>
      <c r="V2" s="236"/>
      <c r="W2" s="236"/>
      <c r="X2" s="236"/>
      <c r="Y2" s="236"/>
      <c r="Z2" s="236"/>
      <c r="AA2" s="236"/>
      <c r="AB2" s="236"/>
      <c r="AC2" s="236"/>
      <c r="AD2" s="236"/>
      <c r="AE2" s="237"/>
    </row>
    <row r="3" spans="1:32" ht="12.75" customHeight="1" x14ac:dyDescent="0.2">
      <c r="A3" s="226"/>
      <c r="B3" s="227"/>
      <c r="C3" s="228"/>
      <c r="D3" s="238" t="s">
        <v>88</v>
      </c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40"/>
      <c r="Q3" s="226"/>
      <c r="R3" s="227"/>
      <c r="S3" s="228"/>
      <c r="T3" s="238" t="s">
        <v>88</v>
      </c>
      <c r="U3" s="239"/>
      <c r="V3" s="239"/>
      <c r="W3" s="239"/>
      <c r="X3" s="239"/>
      <c r="Y3" s="239"/>
      <c r="Z3" s="239"/>
      <c r="AA3" s="239"/>
      <c r="AB3" s="239"/>
      <c r="AC3" s="239"/>
      <c r="AD3" s="239"/>
      <c r="AE3" s="240"/>
    </row>
    <row r="4" spans="1:32" ht="12.75" customHeight="1" x14ac:dyDescent="0.2">
      <c r="A4" s="226"/>
      <c r="B4" s="227"/>
      <c r="C4" s="228"/>
      <c r="D4" s="241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3"/>
      <c r="Q4" s="226"/>
      <c r="R4" s="227"/>
      <c r="S4" s="228"/>
      <c r="T4" s="241"/>
      <c r="U4" s="242"/>
      <c r="V4" s="242"/>
      <c r="W4" s="242"/>
      <c r="X4" s="242"/>
      <c r="Y4" s="242"/>
      <c r="Z4" s="242"/>
      <c r="AA4" s="242"/>
      <c r="AB4" s="242"/>
      <c r="AC4" s="242"/>
      <c r="AD4" s="242"/>
      <c r="AE4" s="243"/>
    </row>
    <row r="5" spans="1:32" ht="12.75" customHeight="1" x14ac:dyDescent="0.2">
      <c r="A5" s="226"/>
      <c r="B5" s="227"/>
      <c r="C5" s="228"/>
      <c r="D5" s="223" t="s">
        <v>86</v>
      </c>
      <c r="E5" s="224"/>
      <c r="F5" s="224"/>
      <c r="G5" s="225"/>
      <c r="H5" s="244">
        <v>42611</v>
      </c>
      <c r="I5" s="245"/>
      <c r="J5" s="248" t="s">
        <v>74</v>
      </c>
      <c r="K5" s="250">
        <v>11</v>
      </c>
      <c r="L5" s="252" t="s">
        <v>15</v>
      </c>
      <c r="M5" s="248"/>
      <c r="N5" s="248"/>
      <c r="O5" s="250"/>
      <c r="Q5" s="226"/>
      <c r="R5" s="227"/>
      <c r="S5" s="228"/>
      <c r="T5" s="223" t="s">
        <v>86</v>
      </c>
      <c r="U5" s="224"/>
      <c r="V5" s="224"/>
      <c r="W5" s="225"/>
      <c r="X5" s="244">
        <v>42611</v>
      </c>
      <c r="Y5" s="245"/>
      <c r="Z5" s="248" t="s">
        <v>74</v>
      </c>
      <c r="AA5" s="250">
        <v>11</v>
      </c>
      <c r="AB5" s="252" t="s">
        <v>15</v>
      </c>
      <c r="AC5" s="248"/>
      <c r="AD5" s="248"/>
      <c r="AE5" s="250"/>
    </row>
    <row r="6" spans="1:32" ht="12.75" customHeight="1" x14ac:dyDescent="0.2">
      <c r="A6" s="229"/>
      <c r="B6" s="230"/>
      <c r="C6" s="231"/>
      <c r="D6" s="229"/>
      <c r="E6" s="230"/>
      <c r="F6" s="230"/>
      <c r="G6" s="231"/>
      <c r="H6" s="246"/>
      <c r="I6" s="247"/>
      <c r="J6" s="249"/>
      <c r="K6" s="251"/>
      <c r="L6" s="253"/>
      <c r="M6" s="249"/>
      <c r="N6" s="249"/>
      <c r="O6" s="251"/>
      <c r="Q6" s="229"/>
      <c r="R6" s="230"/>
      <c r="S6" s="231"/>
      <c r="T6" s="229"/>
      <c r="U6" s="230"/>
      <c r="V6" s="230"/>
      <c r="W6" s="231"/>
      <c r="X6" s="246"/>
      <c r="Y6" s="247"/>
      <c r="Z6" s="249"/>
      <c r="AA6" s="251"/>
      <c r="AB6" s="253"/>
      <c r="AC6" s="249"/>
      <c r="AD6" s="249"/>
      <c r="AE6" s="251"/>
    </row>
    <row r="7" spans="1:32" ht="24.95" customHeight="1" x14ac:dyDescent="0.2">
      <c r="A7" s="212" t="s">
        <v>47</v>
      </c>
      <c r="B7" s="201"/>
      <c r="C7" s="213"/>
      <c r="D7" s="213"/>
      <c r="E7" s="213"/>
      <c r="F7" s="213"/>
      <c r="G7" s="214"/>
      <c r="H7" s="212" t="s">
        <v>76</v>
      </c>
      <c r="I7" s="201"/>
      <c r="J7" s="201"/>
      <c r="K7" s="215"/>
      <c r="L7" s="215"/>
      <c r="M7" s="215"/>
      <c r="N7" s="215"/>
      <c r="O7" s="216"/>
      <c r="Q7" s="212" t="s">
        <v>47</v>
      </c>
      <c r="R7" s="201"/>
      <c r="S7" s="213"/>
      <c r="T7" s="213"/>
      <c r="U7" s="213"/>
      <c r="V7" s="213"/>
      <c r="W7" s="214"/>
      <c r="X7" s="212" t="s">
        <v>76</v>
      </c>
      <c r="Y7" s="201"/>
      <c r="Z7" s="201"/>
      <c r="AA7" s="215"/>
      <c r="AB7" s="215"/>
      <c r="AC7" s="215"/>
      <c r="AD7" s="215"/>
      <c r="AE7" s="216"/>
    </row>
    <row r="8" spans="1:32" ht="24.95" customHeight="1" x14ac:dyDescent="0.2">
      <c r="A8" s="212" t="s">
        <v>48</v>
      </c>
      <c r="B8" s="201"/>
      <c r="C8" s="206"/>
      <c r="D8" s="206"/>
      <c r="E8" s="206"/>
      <c r="F8" s="206"/>
      <c r="G8" s="217"/>
      <c r="H8" s="218">
        <f>VLOOKUP(Auxiliar!B1,Auxiliar!A3:AO479,26,FALSE)</f>
        <v>45631</v>
      </c>
      <c r="I8" s="219"/>
      <c r="J8" s="219"/>
      <c r="K8" s="220" t="s">
        <v>249</v>
      </c>
      <c r="L8" s="220"/>
      <c r="M8" s="220"/>
      <c r="N8" s="221" t="str">
        <f>VLOOKUP(Auxiliar!B1,Auxiliar!A3:AO479,27,FALSE)</f>
        <v>E</v>
      </c>
      <c r="O8" s="222"/>
      <c r="P8" s="3"/>
      <c r="Q8" s="212" t="s">
        <v>48</v>
      </c>
      <c r="R8" s="201"/>
      <c r="S8" s="206"/>
      <c r="T8" s="206"/>
      <c r="U8" s="206"/>
      <c r="V8" s="206"/>
      <c r="W8" s="217"/>
      <c r="X8" s="218">
        <f>VLOOKUP(Auxiliar!B1,Auxiliar!A3:AO479,26,FALSE)</f>
        <v>45631</v>
      </c>
      <c r="Y8" s="219"/>
      <c r="Z8" s="219"/>
      <c r="AA8" s="220" t="s">
        <v>249</v>
      </c>
      <c r="AB8" s="220"/>
      <c r="AC8" s="220"/>
      <c r="AD8" s="221" t="str">
        <f>VLOOKUP(Auxiliar!B1,Auxiliar!A3:AO479,27,FALSE)</f>
        <v>E</v>
      </c>
      <c r="AE8" s="222"/>
      <c r="AF8" s="3"/>
    </row>
    <row r="9" spans="1:32" ht="28.5" customHeight="1" x14ac:dyDescent="0.2">
      <c r="A9" s="150" t="s">
        <v>72</v>
      </c>
      <c r="B9" s="201"/>
      <c r="C9" s="202" t="s">
        <v>75</v>
      </c>
      <c r="D9" s="202"/>
      <c r="E9" s="202"/>
      <c r="F9" s="202"/>
      <c r="G9" s="203"/>
      <c r="H9" s="150" t="s">
        <v>49</v>
      </c>
      <c r="I9" s="204"/>
      <c r="J9" s="204"/>
      <c r="K9" s="41"/>
      <c r="L9" s="41"/>
      <c r="M9" s="205" t="s">
        <v>164</v>
      </c>
      <c r="N9" s="206"/>
      <c r="O9" s="42"/>
      <c r="Q9" s="150" t="s">
        <v>72</v>
      </c>
      <c r="R9" s="201"/>
      <c r="S9" s="202" t="s">
        <v>75</v>
      </c>
      <c r="T9" s="202"/>
      <c r="U9" s="202"/>
      <c r="V9" s="202"/>
      <c r="W9" s="203"/>
      <c r="X9" s="150" t="s">
        <v>49</v>
      </c>
      <c r="Y9" s="204"/>
      <c r="Z9" s="204"/>
      <c r="AA9" s="41"/>
      <c r="AB9" s="41"/>
      <c r="AC9" s="205" t="s">
        <v>164</v>
      </c>
      <c r="AD9" s="206"/>
      <c r="AE9" s="42"/>
    </row>
    <row r="10" spans="1:32" ht="24.95" customHeight="1" x14ac:dyDescent="0.2">
      <c r="A10" s="207" t="s">
        <v>134</v>
      </c>
      <c r="B10" s="208"/>
      <c r="C10" s="208"/>
      <c r="D10" s="208"/>
      <c r="E10" s="208"/>
      <c r="F10" s="208"/>
      <c r="G10" s="209"/>
      <c r="H10" s="207" t="s">
        <v>135</v>
      </c>
      <c r="I10" s="210"/>
      <c r="J10" s="210"/>
      <c r="K10" s="210"/>
      <c r="L10" s="210"/>
      <c r="M10" s="210"/>
      <c r="N10" s="210"/>
      <c r="O10" s="211"/>
      <c r="Q10" s="207" t="s">
        <v>134</v>
      </c>
      <c r="R10" s="208"/>
      <c r="S10" s="208"/>
      <c r="T10" s="208"/>
      <c r="U10" s="208"/>
      <c r="V10" s="208"/>
      <c r="W10" s="209"/>
      <c r="X10" s="207" t="s">
        <v>135</v>
      </c>
      <c r="Y10" s="210"/>
      <c r="Z10" s="210"/>
      <c r="AA10" s="210"/>
      <c r="AB10" s="210"/>
      <c r="AC10" s="210"/>
      <c r="AD10" s="210"/>
      <c r="AE10" s="211"/>
    </row>
    <row r="11" spans="1:32" ht="13.7" customHeight="1" x14ac:dyDescent="0.2">
      <c r="A11" s="184" t="s">
        <v>0</v>
      </c>
      <c r="B11" s="185" t="s">
        <v>19</v>
      </c>
      <c r="C11" s="188" t="s">
        <v>159</v>
      </c>
      <c r="D11" s="189" t="s">
        <v>17</v>
      </c>
      <c r="E11" s="190"/>
      <c r="F11" s="190"/>
      <c r="G11" s="190"/>
      <c r="H11" s="190"/>
      <c r="I11" s="190"/>
      <c r="J11" s="190"/>
      <c r="K11" s="190"/>
      <c r="L11" s="190"/>
      <c r="M11" s="191"/>
      <c r="N11" s="195" t="s">
        <v>152</v>
      </c>
      <c r="O11" s="196"/>
      <c r="Q11" s="184" t="s">
        <v>0</v>
      </c>
      <c r="R11" s="185" t="s">
        <v>19</v>
      </c>
      <c r="S11" s="188" t="s">
        <v>159</v>
      </c>
      <c r="T11" s="189" t="s">
        <v>17</v>
      </c>
      <c r="U11" s="190"/>
      <c r="V11" s="190"/>
      <c r="W11" s="190"/>
      <c r="X11" s="190"/>
      <c r="Y11" s="190"/>
      <c r="Z11" s="190"/>
      <c r="AA11" s="190"/>
      <c r="AB11" s="190"/>
      <c r="AC11" s="191"/>
      <c r="AD11" s="195" t="s">
        <v>152</v>
      </c>
      <c r="AE11" s="196"/>
    </row>
    <row r="12" spans="1:32" ht="9.9499999999999993" customHeight="1" x14ac:dyDescent="0.2">
      <c r="A12" s="184"/>
      <c r="B12" s="186"/>
      <c r="C12" s="186"/>
      <c r="D12" s="192"/>
      <c r="E12" s="193"/>
      <c r="F12" s="193"/>
      <c r="G12" s="193"/>
      <c r="H12" s="193"/>
      <c r="I12" s="193"/>
      <c r="J12" s="193"/>
      <c r="K12" s="193"/>
      <c r="L12" s="193"/>
      <c r="M12" s="194"/>
      <c r="N12" s="197"/>
      <c r="O12" s="198"/>
      <c r="Q12" s="184"/>
      <c r="R12" s="186"/>
      <c r="S12" s="186"/>
      <c r="T12" s="192"/>
      <c r="U12" s="193"/>
      <c r="V12" s="193"/>
      <c r="W12" s="193"/>
      <c r="X12" s="193"/>
      <c r="Y12" s="193"/>
      <c r="Z12" s="193"/>
      <c r="AA12" s="193"/>
      <c r="AB12" s="193"/>
      <c r="AC12" s="194"/>
      <c r="AD12" s="197"/>
      <c r="AE12" s="198"/>
    </row>
    <row r="13" spans="1:32" ht="11.25" customHeight="1" x14ac:dyDescent="0.2">
      <c r="A13" s="184"/>
      <c r="B13" s="187"/>
      <c r="C13" s="186"/>
      <c r="D13" s="1" t="s">
        <v>1</v>
      </c>
      <c r="E13" s="1" t="s">
        <v>2</v>
      </c>
      <c r="F13" s="1" t="s">
        <v>3</v>
      </c>
      <c r="G13" s="1" t="s">
        <v>4</v>
      </c>
      <c r="H13" s="1" t="s">
        <v>5</v>
      </c>
      <c r="I13" s="1" t="s">
        <v>6</v>
      </c>
      <c r="J13" s="1" t="s">
        <v>7</v>
      </c>
      <c r="K13" s="1" t="s">
        <v>8</v>
      </c>
      <c r="L13" s="1" t="s">
        <v>16</v>
      </c>
      <c r="M13" s="1" t="s">
        <v>9</v>
      </c>
      <c r="N13" s="199"/>
      <c r="O13" s="200"/>
      <c r="Q13" s="184"/>
      <c r="R13" s="187"/>
      <c r="S13" s="186"/>
      <c r="T13" s="1" t="s">
        <v>1</v>
      </c>
      <c r="U13" s="1" t="s">
        <v>2</v>
      </c>
      <c r="V13" s="1" t="s">
        <v>3</v>
      </c>
      <c r="W13" s="1" t="s">
        <v>4</v>
      </c>
      <c r="X13" s="1" t="s">
        <v>5</v>
      </c>
      <c r="Y13" s="1" t="s">
        <v>6</v>
      </c>
      <c r="Z13" s="1" t="s">
        <v>7</v>
      </c>
      <c r="AA13" s="1" t="s">
        <v>8</v>
      </c>
      <c r="AB13" s="1" t="s">
        <v>16</v>
      </c>
      <c r="AC13" s="1" t="s">
        <v>9</v>
      </c>
      <c r="AD13" s="199"/>
      <c r="AE13" s="200"/>
    </row>
    <row r="14" spans="1:32" ht="11.25" customHeight="1" x14ac:dyDescent="0.2">
      <c r="A14" s="162" t="s">
        <v>10</v>
      </c>
      <c r="B14" s="176">
        <f>VLOOKUP(Auxiliar!B1,Auxiliar!A3:AO479,3,FALSE)</f>
        <v>22</v>
      </c>
      <c r="C14" s="22">
        <f>VLOOKUP(Auxiliar!B1,Auxiliar!A3:AO479,4,FALSE)</f>
        <v>0</v>
      </c>
      <c r="D14" s="179"/>
      <c r="E14" s="162"/>
      <c r="F14" s="162"/>
      <c r="G14" s="162"/>
      <c r="H14" s="162"/>
      <c r="I14" s="162"/>
      <c r="J14" s="162"/>
      <c r="K14" s="162"/>
      <c r="L14" s="162"/>
      <c r="M14" s="162"/>
      <c r="N14" s="178"/>
      <c r="O14" s="179"/>
      <c r="Q14" s="162" t="s">
        <v>10</v>
      </c>
      <c r="R14" s="176">
        <f>VLOOKUP(Auxiliar!B1,Auxiliar!A3:AO479,3,FALSE)</f>
        <v>22</v>
      </c>
      <c r="S14" s="22">
        <f>VLOOKUP(Auxiliar!B1,Auxiliar!A3:AO479,4,FALSE)</f>
        <v>0</v>
      </c>
      <c r="T14" s="179"/>
      <c r="U14" s="162"/>
      <c r="V14" s="162"/>
      <c r="W14" s="162"/>
      <c r="X14" s="162"/>
      <c r="Y14" s="162"/>
      <c r="Z14" s="162"/>
      <c r="AA14" s="162"/>
      <c r="AB14" s="162"/>
      <c r="AC14" s="162"/>
      <c r="AD14" s="178"/>
      <c r="AE14" s="179"/>
    </row>
    <row r="15" spans="1:32" ht="13.7" customHeight="1" x14ac:dyDescent="0.2">
      <c r="A15" s="163"/>
      <c r="B15" s="177"/>
      <c r="C15" s="23">
        <f>VLOOKUP(Auxiliar!B1,Auxiliar!A3:AO479,5,FALSE)</f>
        <v>-120</v>
      </c>
      <c r="D15" s="181"/>
      <c r="E15" s="163"/>
      <c r="F15" s="163"/>
      <c r="G15" s="163"/>
      <c r="H15" s="163"/>
      <c r="I15" s="163"/>
      <c r="J15" s="163"/>
      <c r="K15" s="163"/>
      <c r="L15" s="163"/>
      <c r="M15" s="163"/>
      <c r="N15" s="180"/>
      <c r="O15" s="181"/>
      <c r="Q15" s="163"/>
      <c r="R15" s="177"/>
      <c r="S15" s="23">
        <f>VLOOKUP(Auxiliar!B1,Auxiliar!A3:AO479,5,FALSE)</f>
        <v>-120</v>
      </c>
      <c r="T15" s="181"/>
      <c r="U15" s="163"/>
      <c r="V15" s="163"/>
      <c r="W15" s="163"/>
      <c r="X15" s="163"/>
      <c r="Y15" s="163"/>
      <c r="Z15" s="163"/>
      <c r="AA15" s="163"/>
      <c r="AB15" s="163"/>
      <c r="AC15" s="163"/>
      <c r="AD15" s="180"/>
      <c r="AE15" s="181"/>
    </row>
    <row r="16" spans="1:32" ht="12.75" customHeight="1" x14ac:dyDescent="0.2">
      <c r="A16" s="174" t="s">
        <v>11</v>
      </c>
      <c r="B16" s="176">
        <f>VLOOKUP(Auxiliar!B1,Auxiliar!A3:AO479,6,FALSE)</f>
        <v>80</v>
      </c>
      <c r="C16" s="22">
        <f>VLOOKUP(Auxiliar!B1,Auxiliar!A3:AO479,7,FALSE)</f>
        <v>0</v>
      </c>
      <c r="D16" s="160"/>
      <c r="E16" s="160"/>
      <c r="F16" s="160"/>
      <c r="G16" s="160"/>
      <c r="H16" s="162"/>
      <c r="I16" s="162"/>
      <c r="J16" s="162"/>
      <c r="K16" s="162"/>
      <c r="L16" s="162"/>
      <c r="M16" s="162"/>
      <c r="N16" s="178"/>
      <c r="O16" s="179"/>
      <c r="Q16" s="174" t="s">
        <v>11</v>
      </c>
      <c r="R16" s="176">
        <f>VLOOKUP(Auxiliar!B1,Auxiliar!A3:AO479,6,FALSE)</f>
        <v>80</v>
      </c>
      <c r="S16" s="22">
        <f>VLOOKUP(Auxiliar!B1,Auxiliar!A3:AO479,7,FALSE)</f>
        <v>0</v>
      </c>
      <c r="T16" s="160"/>
      <c r="U16" s="160"/>
      <c r="V16" s="160"/>
      <c r="W16" s="160"/>
      <c r="X16" s="162"/>
      <c r="Y16" s="162"/>
      <c r="Z16" s="162"/>
      <c r="AA16" s="162"/>
      <c r="AB16" s="162"/>
      <c r="AC16" s="162"/>
      <c r="AD16" s="178"/>
      <c r="AE16" s="179"/>
    </row>
    <row r="17" spans="1:32" ht="12.75" customHeight="1" x14ac:dyDescent="0.2">
      <c r="A17" s="175"/>
      <c r="B17" s="177"/>
      <c r="C17" s="21">
        <f>VLOOKUP(Auxiliar!B1,Auxiliar!A3:AO479,8,FALSE)</f>
        <v>-13</v>
      </c>
      <c r="D17" s="161"/>
      <c r="E17" s="161"/>
      <c r="F17" s="161"/>
      <c r="G17" s="161"/>
      <c r="H17" s="163"/>
      <c r="I17" s="163"/>
      <c r="J17" s="163"/>
      <c r="K17" s="163"/>
      <c r="L17" s="163"/>
      <c r="M17" s="163"/>
      <c r="N17" s="180"/>
      <c r="O17" s="181"/>
      <c r="Q17" s="175"/>
      <c r="R17" s="177"/>
      <c r="S17" s="21">
        <f>VLOOKUP(Auxiliar!B1,Auxiliar!A3:AO479,8,FALSE)</f>
        <v>-13</v>
      </c>
      <c r="T17" s="161"/>
      <c r="U17" s="161"/>
      <c r="V17" s="161"/>
      <c r="W17" s="161"/>
      <c r="X17" s="163"/>
      <c r="Y17" s="163"/>
      <c r="Z17" s="163"/>
      <c r="AA17" s="163"/>
      <c r="AB17" s="163"/>
      <c r="AC17" s="163"/>
      <c r="AD17" s="180"/>
      <c r="AE17" s="181"/>
    </row>
    <row r="18" spans="1:32" ht="11.25" customHeight="1" x14ac:dyDescent="0.2">
      <c r="A18" s="174" t="s">
        <v>12</v>
      </c>
      <c r="B18" s="182">
        <f>VLOOKUP(Auxiliar!B1,Auxiliar!A3:AO479,9,FALSE)</f>
        <v>30.2</v>
      </c>
      <c r="C18" s="22">
        <f>VLOOKUP(Auxiliar!B1,Auxiliar!A3:AO479,10,FALSE)</f>
        <v>0</v>
      </c>
      <c r="D18" s="160"/>
      <c r="E18" s="160"/>
      <c r="F18" s="160"/>
      <c r="G18" s="160"/>
      <c r="H18" s="160"/>
      <c r="I18" s="160"/>
      <c r="J18" s="160"/>
      <c r="K18" s="160"/>
      <c r="L18" s="162"/>
      <c r="M18" s="160"/>
      <c r="N18" s="164"/>
      <c r="O18" s="165"/>
      <c r="Q18" s="174" t="s">
        <v>12</v>
      </c>
      <c r="R18" s="182">
        <f>VLOOKUP(Auxiliar!B1,Auxiliar!A3:AO479,9,FALSE)</f>
        <v>30.2</v>
      </c>
      <c r="S18" s="22">
        <f>VLOOKUP(Auxiliar!B1,Auxiliar!A3:AO479,10,FALSE)</f>
        <v>0</v>
      </c>
      <c r="T18" s="160"/>
      <c r="U18" s="160"/>
      <c r="V18" s="160"/>
      <c r="W18" s="160"/>
      <c r="X18" s="160"/>
      <c r="Y18" s="160"/>
      <c r="Z18" s="160"/>
      <c r="AA18" s="160"/>
      <c r="AB18" s="162"/>
      <c r="AC18" s="160"/>
      <c r="AD18" s="164"/>
      <c r="AE18" s="165"/>
    </row>
    <row r="19" spans="1:32" ht="12" customHeight="1" x14ac:dyDescent="0.2">
      <c r="A19" s="175"/>
      <c r="B19" s="183"/>
      <c r="C19" s="21">
        <f>VLOOKUP(Auxiliar!B1,Auxiliar!A3:AO479,11,FALSE)</f>
        <v>-120</v>
      </c>
      <c r="D19" s="161"/>
      <c r="E19" s="161"/>
      <c r="F19" s="161"/>
      <c r="G19" s="161"/>
      <c r="H19" s="161"/>
      <c r="I19" s="161"/>
      <c r="J19" s="161"/>
      <c r="K19" s="161"/>
      <c r="L19" s="163"/>
      <c r="M19" s="161"/>
      <c r="N19" s="166"/>
      <c r="O19" s="167"/>
      <c r="Q19" s="175"/>
      <c r="R19" s="183"/>
      <c r="S19" s="21">
        <f>VLOOKUP(Auxiliar!B1,Auxiliar!A3:AO479,11,FALSE)</f>
        <v>-120</v>
      </c>
      <c r="T19" s="161"/>
      <c r="U19" s="161"/>
      <c r="V19" s="161"/>
      <c r="W19" s="161"/>
      <c r="X19" s="161"/>
      <c r="Y19" s="161"/>
      <c r="Z19" s="161"/>
      <c r="AA19" s="161"/>
      <c r="AB19" s="163"/>
      <c r="AC19" s="161"/>
      <c r="AD19" s="166"/>
      <c r="AE19" s="167"/>
    </row>
    <row r="20" spans="1:32" ht="14.25" customHeight="1" x14ac:dyDescent="0.2">
      <c r="A20" s="174" t="s">
        <v>13</v>
      </c>
      <c r="B20" s="176">
        <f>VLOOKUP(Auxiliar!B1,Auxiliar!A3:AO479,12,FALSE)</f>
        <v>38.1</v>
      </c>
      <c r="C20" s="22">
        <f>VLOOKUP(Auxiliar!B1,Auxiliar!A3:AO479,13,FALSE)</f>
        <v>21</v>
      </c>
      <c r="D20" s="160"/>
      <c r="E20" s="160"/>
      <c r="F20" s="160"/>
      <c r="G20" s="160"/>
      <c r="H20" s="160"/>
      <c r="I20" s="160"/>
      <c r="J20" s="160"/>
      <c r="K20" s="160"/>
      <c r="L20" s="162"/>
      <c r="M20" s="160"/>
      <c r="N20" s="164"/>
      <c r="O20" s="165"/>
      <c r="Q20" s="174" t="s">
        <v>13</v>
      </c>
      <c r="R20" s="176">
        <f>VLOOKUP(Auxiliar!B1,Auxiliar!A3:AO479,12,FALSE)</f>
        <v>38.1</v>
      </c>
      <c r="S20" s="22">
        <f>VLOOKUP(Auxiliar!B1,Auxiliar!A3:AO479,13,FALSE)</f>
        <v>21</v>
      </c>
      <c r="T20" s="160"/>
      <c r="U20" s="160"/>
      <c r="V20" s="160"/>
      <c r="W20" s="160"/>
      <c r="X20" s="160"/>
      <c r="Y20" s="160"/>
      <c r="Z20" s="160"/>
      <c r="AA20" s="160"/>
      <c r="AB20" s="162"/>
      <c r="AC20" s="160"/>
      <c r="AD20" s="164"/>
      <c r="AE20" s="165"/>
    </row>
    <row r="21" spans="1:32" ht="11.25" customHeight="1" x14ac:dyDescent="0.2">
      <c r="A21" s="175"/>
      <c r="B21" s="177"/>
      <c r="C21" s="23">
        <f>VLOOKUP(Auxiliar!B1,Auxiliar!A3:AO479,14,FALSE)</f>
        <v>0</v>
      </c>
      <c r="D21" s="161"/>
      <c r="E21" s="161"/>
      <c r="F21" s="161"/>
      <c r="G21" s="161"/>
      <c r="H21" s="161"/>
      <c r="I21" s="161"/>
      <c r="J21" s="161"/>
      <c r="K21" s="161"/>
      <c r="L21" s="163"/>
      <c r="M21" s="161"/>
      <c r="N21" s="166"/>
      <c r="O21" s="167"/>
      <c r="Q21" s="175"/>
      <c r="R21" s="177"/>
      <c r="S21" s="23">
        <f>VLOOKUP(Auxiliar!B1,Auxiliar!A3:AO479,14,FALSE)</f>
        <v>0</v>
      </c>
      <c r="T21" s="161"/>
      <c r="U21" s="161"/>
      <c r="V21" s="161"/>
      <c r="W21" s="161"/>
      <c r="X21" s="161"/>
      <c r="Y21" s="161"/>
      <c r="Z21" s="161"/>
      <c r="AA21" s="161"/>
      <c r="AB21" s="163"/>
      <c r="AC21" s="161"/>
      <c r="AD21" s="166"/>
      <c r="AE21" s="167"/>
    </row>
    <row r="22" spans="1:32" ht="13.7" customHeight="1" x14ac:dyDescent="0.2">
      <c r="A22" s="174" t="s">
        <v>179</v>
      </c>
      <c r="B22" s="176" t="str">
        <f>VLOOKUP(Auxiliar!B1,Auxiliar!A3:AO479,15,FALSE)</f>
        <v>C0</v>
      </c>
      <c r="C22" s="22">
        <f>VLOOKUP(Auxiliar!B1,Auxiliar!A3:AO479,16,FALSE)</f>
        <v>6</v>
      </c>
      <c r="D22" s="170"/>
      <c r="E22" s="160"/>
      <c r="F22" s="160"/>
      <c r="G22" s="160"/>
      <c r="H22" s="160"/>
      <c r="I22" s="160"/>
      <c r="J22" s="160"/>
      <c r="K22" s="160"/>
      <c r="L22" s="162"/>
      <c r="M22" s="160"/>
      <c r="N22" s="164"/>
      <c r="O22" s="165"/>
      <c r="Q22" s="174" t="s">
        <v>179</v>
      </c>
      <c r="R22" s="176" t="str">
        <f>VLOOKUP(Auxiliar!B1,Auxiliar!A3:AO479,15,FALSE)</f>
        <v>C0</v>
      </c>
      <c r="S22" s="22">
        <f>VLOOKUP(Auxiliar!B1,Auxiliar!A3:AO479,16,FALSE)</f>
        <v>6</v>
      </c>
      <c r="T22" s="170"/>
      <c r="U22" s="160"/>
      <c r="V22" s="160"/>
      <c r="W22" s="160"/>
      <c r="X22" s="160"/>
      <c r="Y22" s="160"/>
      <c r="Z22" s="160"/>
      <c r="AA22" s="160"/>
      <c r="AB22" s="162"/>
      <c r="AC22" s="160"/>
      <c r="AD22" s="164"/>
      <c r="AE22" s="165"/>
    </row>
    <row r="23" spans="1:32" ht="11.25" customHeight="1" x14ac:dyDescent="0.2">
      <c r="A23" s="175"/>
      <c r="B23" s="177"/>
      <c r="C23" s="21">
        <f>VLOOKUP(Auxiliar!B1,Auxiliar!A3:AO479,17,FALSE)</f>
        <v>20</v>
      </c>
      <c r="D23" s="171"/>
      <c r="E23" s="161"/>
      <c r="F23" s="161"/>
      <c r="G23" s="161"/>
      <c r="H23" s="161"/>
      <c r="I23" s="161"/>
      <c r="J23" s="161"/>
      <c r="K23" s="161"/>
      <c r="L23" s="163"/>
      <c r="M23" s="161"/>
      <c r="N23" s="166"/>
      <c r="O23" s="167"/>
      <c r="Q23" s="175"/>
      <c r="R23" s="177"/>
      <c r="S23" s="21">
        <f>VLOOKUP(Auxiliar!B1,Auxiliar!A3:AO479,17,FALSE)</f>
        <v>20</v>
      </c>
      <c r="T23" s="171"/>
      <c r="U23" s="161"/>
      <c r="V23" s="161"/>
      <c r="W23" s="161"/>
      <c r="X23" s="161"/>
      <c r="Y23" s="161"/>
      <c r="Z23" s="161"/>
      <c r="AA23" s="161"/>
      <c r="AB23" s="163"/>
      <c r="AC23" s="161"/>
      <c r="AD23" s="166"/>
      <c r="AE23" s="167"/>
    </row>
    <row r="24" spans="1:32" ht="12.75" customHeight="1" x14ac:dyDescent="0.2">
      <c r="A24" s="162" t="s">
        <v>20</v>
      </c>
      <c r="B24" s="168" t="s">
        <v>45</v>
      </c>
      <c r="C24" s="22">
        <f>VLOOKUP(Auxiliar!B1,Auxiliar!A3:AO479,18,FALSE)</f>
        <v>64</v>
      </c>
      <c r="D24" s="170"/>
      <c r="E24" s="160"/>
      <c r="F24" s="160"/>
      <c r="G24" s="160"/>
      <c r="H24" s="160"/>
      <c r="I24" s="160"/>
      <c r="J24" s="160"/>
      <c r="K24" s="160"/>
      <c r="L24" s="162"/>
      <c r="M24" s="160"/>
      <c r="N24" s="164"/>
      <c r="O24" s="165"/>
      <c r="Q24" s="162" t="s">
        <v>20</v>
      </c>
      <c r="R24" s="168" t="s">
        <v>45</v>
      </c>
      <c r="S24" s="22">
        <f>VLOOKUP(Auxiliar!B1,Auxiliar!A3:AO479,18,FALSE)</f>
        <v>64</v>
      </c>
      <c r="T24" s="170"/>
      <c r="U24" s="160"/>
      <c r="V24" s="160"/>
      <c r="W24" s="160"/>
      <c r="X24" s="160"/>
      <c r="Y24" s="160"/>
      <c r="Z24" s="160"/>
      <c r="AA24" s="160"/>
      <c r="AB24" s="162"/>
      <c r="AC24" s="160"/>
      <c r="AD24" s="164"/>
      <c r="AE24" s="165"/>
    </row>
    <row r="25" spans="1:32" ht="14.25" customHeight="1" x14ac:dyDescent="0.2">
      <c r="A25" s="173"/>
      <c r="B25" s="169"/>
      <c r="C25" s="23">
        <f>VLOOKUP(Auxiliar!B1,Auxiliar!A3:AO479,19,FALSE)</f>
        <v>58</v>
      </c>
      <c r="D25" s="171"/>
      <c r="E25" s="161"/>
      <c r="F25" s="161"/>
      <c r="G25" s="161"/>
      <c r="H25" s="161"/>
      <c r="I25" s="161"/>
      <c r="J25" s="161"/>
      <c r="K25" s="161"/>
      <c r="L25" s="163"/>
      <c r="M25" s="161"/>
      <c r="N25" s="166"/>
      <c r="O25" s="167"/>
      <c r="P25" s="172"/>
      <c r="Q25" s="173"/>
      <c r="R25" s="169"/>
      <c r="S25" s="23">
        <f>VLOOKUP(Auxiliar!B1,Auxiliar!A3:AO479,19,FALSE)</f>
        <v>58</v>
      </c>
      <c r="T25" s="171"/>
      <c r="U25" s="161"/>
      <c r="V25" s="161"/>
      <c r="W25" s="161"/>
      <c r="X25" s="161"/>
      <c r="Y25" s="161"/>
      <c r="Z25" s="161"/>
      <c r="AA25" s="161"/>
      <c r="AB25" s="163"/>
      <c r="AC25" s="161"/>
      <c r="AD25" s="166"/>
      <c r="AE25" s="167"/>
      <c r="AF25" s="172"/>
    </row>
    <row r="26" spans="1:32" ht="13.7" customHeight="1" x14ac:dyDescent="0.2">
      <c r="A26" s="173"/>
      <c r="B26" s="168" t="s">
        <v>46</v>
      </c>
      <c r="C26" s="22">
        <f>VLOOKUP(Auxiliar!B1,Auxiliar!A3:AO479,20,FALSE)</f>
        <v>64</v>
      </c>
      <c r="D26" s="170"/>
      <c r="E26" s="160"/>
      <c r="F26" s="160"/>
      <c r="G26" s="160"/>
      <c r="H26" s="160"/>
      <c r="I26" s="160"/>
      <c r="J26" s="160"/>
      <c r="K26" s="160"/>
      <c r="L26" s="162"/>
      <c r="M26" s="160"/>
      <c r="N26" s="164"/>
      <c r="O26" s="165"/>
      <c r="P26" s="172"/>
      <c r="Q26" s="173"/>
      <c r="R26" s="168" t="s">
        <v>46</v>
      </c>
      <c r="S26" s="22">
        <f>VLOOKUP(Auxiliar!B1,Auxiliar!A3:AO479,20,FALSE)</f>
        <v>64</v>
      </c>
      <c r="T26" s="170"/>
      <c r="U26" s="160"/>
      <c r="V26" s="160"/>
      <c r="W26" s="160"/>
      <c r="X26" s="160"/>
      <c r="Y26" s="160"/>
      <c r="Z26" s="160"/>
      <c r="AA26" s="160"/>
      <c r="AB26" s="162"/>
      <c r="AC26" s="160"/>
      <c r="AD26" s="164"/>
      <c r="AE26" s="165"/>
      <c r="AF26" s="172"/>
    </row>
    <row r="27" spans="1:32" ht="13.7" customHeight="1" x14ac:dyDescent="0.2">
      <c r="A27" s="163"/>
      <c r="B27" s="169"/>
      <c r="C27" s="21">
        <f>VLOOKUP(Auxiliar!B1,Auxiliar!A3:AO479,21,FALSE)</f>
        <v>58</v>
      </c>
      <c r="D27" s="171"/>
      <c r="E27" s="161"/>
      <c r="F27" s="161"/>
      <c r="G27" s="161"/>
      <c r="H27" s="161"/>
      <c r="I27" s="161"/>
      <c r="J27" s="161"/>
      <c r="K27" s="161"/>
      <c r="L27" s="163"/>
      <c r="M27" s="161"/>
      <c r="N27" s="166"/>
      <c r="O27" s="167"/>
      <c r="P27" s="172"/>
      <c r="Q27" s="163"/>
      <c r="R27" s="169"/>
      <c r="S27" s="21">
        <f>VLOOKUP(Auxiliar!B1,Auxiliar!A3:AO479,21,FALSE)</f>
        <v>58</v>
      </c>
      <c r="T27" s="171"/>
      <c r="U27" s="161"/>
      <c r="V27" s="161"/>
      <c r="W27" s="161"/>
      <c r="X27" s="161"/>
      <c r="Y27" s="161"/>
      <c r="Z27" s="161"/>
      <c r="AA27" s="161"/>
      <c r="AB27" s="163"/>
      <c r="AC27" s="161"/>
      <c r="AD27" s="166"/>
      <c r="AE27" s="167"/>
      <c r="AF27" s="172"/>
    </row>
    <row r="28" spans="1:32" ht="24" customHeight="1" x14ac:dyDescent="0.2">
      <c r="A28" s="150" t="s">
        <v>89</v>
      </c>
      <c r="B28" s="151"/>
      <c r="C28" s="152"/>
      <c r="D28" s="5"/>
      <c r="E28" s="2"/>
      <c r="F28" s="2"/>
      <c r="G28" s="2"/>
      <c r="H28" s="2"/>
      <c r="I28" s="2"/>
      <c r="J28" s="2"/>
      <c r="K28" s="2"/>
      <c r="L28" s="1"/>
      <c r="M28" s="2"/>
      <c r="N28" s="36"/>
      <c r="O28" s="37"/>
      <c r="P28" s="172"/>
      <c r="Q28" s="150" t="s">
        <v>89</v>
      </c>
      <c r="R28" s="151"/>
      <c r="S28" s="152"/>
      <c r="T28" s="5"/>
      <c r="U28" s="2"/>
      <c r="V28" s="2"/>
      <c r="W28" s="2"/>
      <c r="X28" s="2"/>
      <c r="Y28" s="2"/>
      <c r="Z28" s="2"/>
      <c r="AA28" s="2"/>
      <c r="AB28" s="1"/>
      <c r="AC28" s="2"/>
      <c r="AD28" s="36"/>
      <c r="AE28" s="37"/>
      <c r="AF28" s="172"/>
    </row>
    <row r="29" spans="1:32" ht="24" customHeight="1" x14ac:dyDescent="0.2">
      <c r="A29" s="150" t="s">
        <v>77</v>
      </c>
      <c r="B29" s="151"/>
      <c r="C29" s="152"/>
      <c r="D29" s="5"/>
      <c r="E29" s="2"/>
      <c r="F29" s="2"/>
      <c r="G29" s="2"/>
      <c r="H29" s="2"/>
      <c r="I29" s="2"/>
      <c r="J29" s="2"/>
      <c r="K29" s="2"/>
      <c r="L29" s="1"/>
      <c r="M29" s="2"/>
      <c r="N29" s="36"/>
      <c r="O29" s="37"/>
      <c r="P29" s="172"/>
      <c r="Q29" s="150" t="s">
        <v>77</v>
      </c>
      <c r="R29" s="151"/>
      <c r="S29" s="152"/>
      <c r="T29" s="5"/>
      <c r="U29" s="2"/>
      <c r="V29" s="2"/>
      <c r="W29" s="2"/>
      <c r="X29" s="2"/>
      <c r="Y29" s="2"/>
      <c r="Z29" s="2"/>
      <c r="AA29" s="2"/>
      <c r="AB29" s="1"/>
      <c r="AC29" s="2"/>
      <c r="AD29" s="36"/>
      <c r="AE29" s="37"/>
      <c r="AF29" s="172"/>
    </row>
    <row r="30" spans="1:32" ht="24" customHeight="1" x14ac:dyDescent="0.2">
      <c r="A30" s="150" t="s">
        <v>78</v>
      </c>
      <c r="B30" s="151"/>
      <c r="C30" s="153"/>
      <c r="D30" s="5"/>
      <c r="E30" s="2"/>
      <c r="F30" s="2"/>
      <c r="G30" s="2"/>
      <c r="H30" s="2"/>
      <c r="I30" s="2"/>
      <c r="J30" s="2"/>
      <c r="K30" s="2"/>
      <c r="L30" s="1"/>
      <c r="M30" s="2"/>
      <c r="N30" s="36"/>
      <c r="O30" s="37"/>
      <c r="P30" s="172"/>
      <c r="Q30" s="150" t="s">
        <v>78</v>
      </c>
      <c r="R30" s="151"/>
      <c r="S30" s="153"/>
      <c r="T30" s="5"/>
      <c r="U30" s="2"/>
      <c r="V30" s="2"/>
      <c r="W30" s="2"/>
      <c r="X30" s="2"/>
      <c r="Y30" s="2"/>
      <c r="Z30" s="2"/>
      <c r="AA30" s="2"/>
      <c r="AB30" s="1"/>
      <c r="AC30" s="2"/>
      <c r="AD30" s="36"/>
      <c r="AE30" s="37"/>
      <c r="AF30" s="172"/>
    </row>
    <row r="31" spans="1:32" ht="20.100000000000001" customHeight="1" x14ac:dyDescent="0.2">
      <c r="A31" s="154" t="s">
        <v>190</v>
      </c>
      <c r="B31" s="153"/>
      <c r="C31" s="53">
        <f>VLOOKUP(Auxiliar!B1,Auxiliar!A3:AO479,24,FALSE)</f>
        <v>0.17599999999999999</v>
      </c>
      <c r="D31" s="47"/>
      <c r="E31" s="44"/>
      <c r="F31" s="44"/>
      <c r="G31" s="44"/>
      <c r="H31" s="44"/>
      <c r="I31" s="44"/>
      <c r="J31" s="44"/>
      <c r="K31" s="44"/>
      <c r="L31" s="46"/>
      <c r="M31" s="44"/>
      <c r="N31" s="49"/>
      <c r="O31" s="51"/>
      <c r="P31" s="43"/>
      <c r="Q31" s="154" t="s">
        <v>190</v>
      </c>
      <c r="R31" s="153"/>
      <c r="S31" s="53">
        <f>VLOOKUP(Auxiliar!B1,Auxiliar!A3:AO479,24,FALSE)</f>
        <v>0.17599999999999999</v>
      </c>
      <c r="T31" s="47"/>
      <c r="U31" s="44"/>
      <c r="V31" s="44"/>
      <c r="W31" s="44"/>
      <c r="X31" s="44"/>
      <c r="Y31" s="44"/>
      <c r="Z31" s="44"/>
      <c r="AA31" s="44"/>
      <c r="AB31" s="46"/>
      <c r="AC31" s="44"/>
      <c r="AD31" s="49"/>
      <c r="AE31" s="51"/>
      <c r="AF31" s="43"/>
    </row>
    <row r="32" spans="1:32" ht="20.100000000000001" customHeight="1" x14ac:dyDescent="0.2">
      <c r="A32" s="155"/>
      <c r="B32" s="156"/>
      <c r="C32" s="45">
        <f>VLOOKUP(Auxiliar!B1,Auxiliar!A3:AO479,25,FALSE)</f>
        <v>0.127</v>
      </c>
      <c r="D32" s="48"/>
      <c r="E32" s="31"/>
      <c r="F32" s="31"/>
      <c r="G32" s="31"/>
      <c r="H32" s="31"/>
      <c r="I32" s="31"/>
      <c r="J32" s="31"/>
      <c r="K32" s="31"/>
      <c r="L32" s="32"/>
      <c r="M32" s="31"/>
      <c r="N32" s="50"/>
      <c r="O32" s="52"/>
      <c r="P32" s="43"/>
      <c r="Q32" s="155"/>
      <c r="R32" s="156"/>
      <c r="S32" s="45">
        <f>VLOOKUP(Auxiliar!B1,Auxiliar!A3:AO479,25,FALSE)</f>
        <v>0.127</v>
      </c>
      <c r="T32" s="48"/>
      <c r="U32" s="31"/>
      <c r="V32" s="31"/>
      <c r="W32" s="31"/>
      <c r="X32" s="31"/>
      <c r="Y32" s="31"/>
      <c r="Z32" s="31"/>
      <c r="AA32" s="31"/>
      <c r="AB32" s="32"/>
      <c r="AC32" s="31"/>
      <c r="AD32" s="50"/>
      <c r="AE32" s="52"/>
      <c r="AF32" s="43"/>
    </row>
    <row r="33" spans="1:32" ht="24" customHeight="1" x14ac:dyDescent="0.2">
      <c r="A33" s="147" t="s">
        <v>79</v>
      </c>
      <c r="B33" s="148"/>
      <c r="C33" s="157"/>
      <c r="D33" s="5"/>
      <c r="E33" s="2"/>
      <c r="F33" s="2"/>
      <c r="G33" s="2"/>
      <c r="H33" s="2"/>
      <c r="I33" s="2"/>
      <c r="J33" s="2"/>
      <c r="K33" s="2"/>
      <c r="L33" s="1"/>
      <c r="M33" s="2"/>
      <c r="N33" s="36"/>
      <c r="O33" s="37"/>
      <c r="P33" s="35"/>
      <c r="Q33" s="147" t="s">
        <v>79</v>
      </c>
      <c r="R33" s="148"/>
      <c r="S33" s="157"/>
      <c r="T33" s="5"/>
      <c r="U33" s="2"/>
      <c r="V33" s="2"/>
      <c r="W33" s="2"/>
      <c r="X33" s="2"/>
      <c r="Y33" s="2"/>
      <c r="Z33" s="2"/>
      <c r="AA33" s="2"/>
      <c r="AB33" s="1"/>
      <c r="AC33" s="2"/>
      <c r="AD33" s="36"/>
      <c r="AE33" s="37"/>
      <c r="AF33" s="35"/>
    </row>
    <row r="34" spans="1:32" ht="24" customHeight="1" x14ac:dyDescent="0.2">
      <c r="A34" s="25" t="s">
        <v>80</v>
      </c>
      <c r="B34" s="158" t="s">
        <v>84</v>
      </c>
      <c r="C34" s="159"/>
      <c r="D34" s="5"/>
      <c r="E34" s="2"/>
      <c r="F34" s="2"/>
      <c r="G34" s="2"/>
      <c r="H34" s="2"/>
      <c r="I34" s="2"/>
      <c r="J34" s="2"/>
      <c r="K34" s="2"/>
      <c r="L34" s="1"/>
      <c r="M34" s="2"/>
      <c r="N34" s="36"/>
      <c r="O34" s="37"/>
      <c r="P34" s="35"/>
      <c r="Q34" s="25" t="s">
        <v>80</v>
      </c>
      <c r="R34" s="158" t="s">
        <v>84</v>
      </c>
      <c r="S34" s="159"/>
      <c r="T34" s="5"/>
      <c r="U34" s="2"/>
      <c r="V34" s="2"/>
      <c r="W34" s="2"/>
      <c r="X34" s="2"/>
      <c r="Y34" s="2"/>
      <c r="Z34" s="2"/>
      <c r="AA34" s="2"/>
      <c r="AB34" s="1"/>
      <c r="AC34" s="2"/>
      <c r="AD34" s="36"/>
      <c r="AE34" s="37"/>
      <c r="AF34" s="35"/>
    </row>
    <row r="35" spans="1:32" ht="24" customHeight="1" x14ac:dyDescent="0.2">
      <c r="A35" s="25" t="s">
        <v>81</v>
      </c>
      <c r="B35" s="146" t="s">
        <v>82</v>
      </c>
      <c r="C35" s="146"/>
      <c r="D35" s="5"/>
      <c r="E35" s="2"/>
      <c r="F35" s="2"/>
      <c r="G35" s="2"/>
      <c r="H35" s="2"/>
      <c r="I35" s="2"/>
      <c r="J35" s="2"/>
      <c r="K35" s="2"/>
      <c r="L35" s="1"/>
      <c r="M35" s="2"/>
      <c r="N35" s="36"/>
      <c r="O35" s="37"/>
      <c r="P35" s="35"/>
      <c r="Q35" s="25" t="s">
        <v>81</v>
      </c>
      <c r="R35" s="146" t="s">
        <v>82</v>
      </c>
      <c r="S35" s="146"/>
      <c r="T35" s="5"/>
      <c r="U35" s="2"/>
      <c r="V35" s="2"/>
      <c r="W35" s="2"/>
      <c r="X35" s="2"/>
      <c r="Y35" s="2"/>
      <c r="Z35" s="2"/>
      <c r="AA35" s="2"/>
      <c r="AB35" s="1"/>
      <c r="AC35" s="2"/>
      <c r="AD35" s="36"/>
      <c r="AE35" s="37"/>
      <c r="AF35" s="35"/>
    </row>
    <row r="36" spans="1:32" ht="24" customHeight="1" x14ac:dyDescent="0.2">
      <c r="A36" s="147" t="s">
        <v>119</v>
      </c>
      <c r="B36" s="148"/>
      <c r="C36" s="149"/>
      <c r="D36" s="5"/>
      <c r="E36" s="2"/>
      <c r="F36" s="2"/>
      <c r="G36" s="2"/>
      <c r="H36" s="2"/>
      <c r="I36" s="2"/>
      <c r="J36" s="2"/>
      <c r="K36" s="2"/>
      <c r="L36" s="1"/>
      <c r="M36" s="2"/>
      <c r="N36" s="36"/>
      <c r="O36" s="37"/>
      <c r="Q36" s="147" t="s">
        <v>119</v>
      </c>
      <c r="R36" s="148"/>
      <c r="S36" s="149"/>
      <c r="T36" s="5"/>
      <c r="U36" s="2"/>
      <c r="V36" s="2"/>
      <c r="W36" s="2"/>
      <c r="X36" s="2"/>
      <c r="Y36" s="2"/>
      <c r="Z36" s="2"/>
      <c r="AA36" s="2"/>
      <c r="AB36" s="1"/>
      <c r="AC36" s="2"/>
      <c r="AD36" s="36"/>
      <c r="AE36" s="37"/>
    </row>
    <row r="37" spans="1:32" ht="24" customHeight="1" x14ac:dyDescent="0.2">
      <c r="A37" s="147" t="s">
        <v>120</v>
      </c>
      <c r="B37" s="148"/>
      <c r="C37" s="149"/>
      <c r="D37" s="5"/>
      <c r="E37" s="2"/>
      <c r="F37" s="2"/>
      <c r="G37" s="2"/>
      <c r="H37" s="2"/>
      <c r="I37" s="2"/>
      <c r="J37" s="2"/>
      <c r="K37" s="2"/>
      <c r="L37" s="1"/>
      <c r="M37" s="2"/>
      <c r="N37" s="36"/>
      <c r="O37" s="37"/>
      <c r="Q37" s="147" t="s">
        <v>120</v>
      </c>
      <c r="R37" s="148"/>
      <c r="S37" s="149"/>
      <c r="T37" s="5"/>
      <c r="U37" s="2"/>
      <c r="V37" s="2"/>
      <c r="W37" s="2"/>
      <c r="X37" s="2"/>
      <c r="Y37" s="2"/>
      <c r="Z37" s="2"/>
      <c r="AA37" s="2"/>
      <c r="AB37" s="1"/>
      <c r="AC37" s="2"/>
      <c r="AD37" s="36"/>
      <c r="AE37" s="37"/>
    </row>
    <row r="38" spans="1:32" ht="21.75" customHeight="1" x14ac:dyDescent="0.2">
      <c r="A38" s="147" t="s">
        <v>121</v>
      </c>
      <c r="B38" s="149"/>
      <c r="C38" s="40" t="str">
        <f>VLOOKUP(Auxiliar!B1,Auxiliar!A3:AO479,22,FALSE)</f>
        <v>9.75 - 11.7 gr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38"/>
      <c r="O38" s="39"/>
      <c r="Q38" s="147" t="s">
        <v>121</v>
      </c>
      <c r="R38" s="149"/>
      <c r="S38" s="40" t="str">
        <f>VLOOKUP(Auxiliar!B1,Auxiliar!A3:AO479,22,FALSE)</f>
        <v>9.75 - 11.7 gr</v>
      </c>
      <c r="T38" s="5"/>
      <c r="U38" s="5"/>
      <c r="V38" s="5"/>
      <c r="W38" s="5"/>
      <c r="X38" s="5"/>
      <c r="Y38" s="5"/>
      <c r="Z38" s="5"/>
      <c r="AA38" s="5"/>
      <c r="AB38" s="5"/>
      <c r="AC38" s="5"/>
      <c r="AD38" s="38"/>
      <c r="AE38" s="39"/>
    </row>
    <row r="39" spans="1:32" ht="21.75" customHeight="1" x14ac:dyDescent="0.2">
      <c r="A39" s="140" t="s">
        <v>142</v>
      </c>
      <c r="B39" s="141"/>
      <c r="C39" s="34" t="str">
        <f>VLOOKUP(Auxiliar!B1,Auxiliar!A3:AO479,23,FALSE)</f>
        <v>Polyrex</v>
      </c>
      <c r="D39" s="33"/>
      <c r="E39" s="31"/>
      <c r="F39" s="31"/>
      <c r="G39" s="31"/>
      <c r="H39" s="31"/>
      <c r="I39" s="31"/>
      <c r="J39" s="31"/>
      <c r="K39" s="31"/>
      <c r="L39" s="32"/>
      <c r="M39" s="31"/>
      <c r="N39" s="49"/>
      <c r="O39" s="51"/>
      <c r="Q39" s="140" t="s">
        <v>142</v>
      </c>
      <c r="R39" s="141"/>
      <c r="S39" s="34" t="str">
        <f>VLOOKUP(Auxiliar!B1,Auxiliar!A3:AO479,23,FALSE)</f>
        <v>Polyrex</v>
      </c>
      <c r="T39" s="33"/>
      <c r="U39" s="31"/>
      <c r="V39" s="31"/>
      <c r="W39" s="31"/>
      <c r="X39" s="31"/>
      <c r="Y39" s="31"/>
      <c r="Z39" s="31"/>
      <c r="AA39" s="31"/>
      <c r="AB39" s="32"/>
      <c r="AC39" s="31"/>
      <c r="AD39" s="49"/>
      <c r="AE39" s="51"/>
    </row>
    <row r="40" spans="1:32" ht="21.75" customHeight="1" x14ac:dyDescent="0.2">
      <c r="A40" s="140" t="s">
        <v>511</v>
      </c>
      <c r="B40" s="141"/>
      <c r="C40" s="34" t="str">
        <f>VLOOKUP(Auxiliar!B1,Auxiliar!A3:AO479,28,FALSE)</f>
        <v>Azul, Interno</v>
      </c>
      <c r="D40" s="33"/>
      <c r="E40" s="31"/>
      <c r="F40" s="31"/>
      <c r="G40" s="31"/>
      <c r="H40" s="31"/>
      <c r="I40" s="31"/>
      <c r="J40" s="31"/>
      <c r="K40" s="31"/>
      <c r="L40" s="32"/>
      <c r="M40" s="54"/>
      <c r="N40" s="49"/>
      <c r="O40" s="51"/>
      <c r="Q40" s="140" t="s">
        <v>511</v>
      </c>
      <c r="R40" s="141"/>
      <c r="S40" s="34" t="str">
        <f>VLOOKUP(Auxiliar!B1,Auxiliar!A3:AO479,28,FALSE)</f>
        <v>Azul, Interno</v>
      </c>
      <c r="T40" s="33"/>
      <c r="U40" s="31"/>
      <c r="V40" s="31"/>
      <c r="W40" s="31"/>
      <c r="X40" s="31"/>
      <c r="Y40" s="31"/>
      <c r="Z40" s="31"/>
      <c r="AA40" s="31"/>
      <c r="AB40" s="32"/>
      <c r="AC40" s="54"/>
      <c r="AD40" s="49"/>
      <c r="AE40" s="51"/>
    </row>
    <row r="41" spans="1:32" ht="21.75" customHeight="1" x14ac:dyDescent="0.2">
      <c r="A41" s="140" t="s">
        <v>193</v>
      </c>
      <c r="B41" s="141"/>
      <c r="C41" s="34"/>
      <c r="D41" s="33"/>
      <c r="E41" s="31"/>
      <c r="F41" s="31"/>
      <c r="G41" s="31"/>
      <c r="H41" s="31"/>
      <c r="I41" s="31"/>
      <c r="J41" s="31"/>
      <c r="K41" s="31"/>
      <c r="L41" s="32"/>
      <c r="M41" s="54"/>
      <c r="N41" s="36"/>
      <c r="O41" s="37"/>
      <c r="Q41" s="140" t="s">
        <v>193</v>
      </c>
      <c r="R41" s="141"/>
      <c r="S41" s="34"/>
      <c r="T41" s="33"/>
      <c r="U41" s="31"/>
      <c r="V41" s="31"/>
      <c r="W41" s="31"/>
      <c r="X41" s="31"/>
      <c r="Y41" s="31"/>
      <c r="Z41" s="31"/>
      <c r="AA41" s="31"/>
      <c r="AB41" s="32"/>
      <c r="AC41" s="54"/>
      <c r="AD41" s="36"/>
      <c r="AE41" s="37"/>
    </row>
    <row r="42" spans="1:32" ht="21.75" customHeight="1" thickBot="1" x14ac:dyDescent="0.25">
      <c r="A42" s="140" t="s">
        <v>192</v>
      </c>
      <c r="B42" s="141"/>
      <c r="C42" s="34"/>
      <c r="D42" s="33"/>
      <c r="E42" s="31"/>
      <c r="F42" s="31"/>
      <c r="G42" s="31"/>
      <c r="H42" s="31"/>
      <c r="I42" s="31"/>
      <c r="J42" s="31"/>
      <c r="K42" s="31"/>
      <c r="L42" s="32"/>
      <c r="M42" s="31"/>
      <c r="N42" s="55"/>
      <c r="O42" s="56"/>
      <c r="Q42" s="140" t="s">
        <v>192</v>
      </c>
      <c r="R42" s="141"/>
      <c r="S42" s="34"/>
      <c r="T42" s="33"/>
      <c r="U42" s="31"/>
      <c r="V42" s="31"/>
      <c r="W42" s="31"/>
      <c r="X42" s="31"/>
      <c r="Y42" s="31"/>
      <c r="Z42" s="31"/>
      <c r="AA42" s="31"/>
      <c r="AB42" s="32"/>
      <c r="AC42" s="31"/>
      <c r="AD42" s="55"/>
      <c r="AE42" s="56"/>
    </row>
    <row r="43" spans="1:32" ht="24" customHeight="1" thickBot="1" x14ac:dyDescent="0.25">
      <c r="A43" s="142" t="s">
        <v>107</v>
      </c>
      <c r="B43" s="143"/>
      <c r="C43" s="134" t="s">
        <v>108</v>
      </c>
      <c r="D43" s="133"/>
      <c r="E43" s="132" t="s">
        <v>109</v>
      </c>
      <c r="F43" s="134"/>
      <c r="G43" s="133"/>
      <c r="H43" s="132" t="s">
        <v>112</v>
      </c>
      <c r="I43" s="134"/>
      <c r="J43" s="133"/>
      <c r="K43" s="132" t="s">
        <v>110</v>
      </c>
      <c r="L43" s="133"/>
      <c r="M43" s="132" t="s">
        <v>111</v>
      </c>
      <c r="N43" s="134"/>
      <c r="O43" s="135"/>
      <c r="Q43" s="142" t="s">
        <v>107</v>
      </c>
      <c r="R43" s="143"/>
      <c r="S43" s="134" t="s">
        <v>108</v>
      </c>
      <c r="T43" s="133"/>
      <c r="U43" s="132" t="s">
        <v>109</v>
      </c>
      <c r="V43" s="134"/>
      <c r="W43" s="133"/>
      <c r="X43" s="132" t="s">
        <v>112</v>
      </c>
      <c r="Y43" s="134"/>
      <c r="Z43" s="133"/>
      <c r="AA43" s="132" t="s">
        <v>110</v>
      </c>
      <c r="AB43" s="133"/>
      <c r="AC43" s="132" t="s">
        <v>111</v>
      </c>
      <c r="AD43" s="134"/>
      <c r="AE43" s="135"/>
    </row>
    <row r="44" spans="1:32" ht="27.95" customHeight="1" thickBot="1" x14ac:dyDescent="0.25">
      <c r="A44" s="144"/>
      <c r="B44" s="145"/>
      <c r="C44" s="136"/>
      <c r="D44" s="137"/>
      <c r="E44" s="138"/>
      <c r="F44" s="136"/>
      <c r="G44" s="137"/>
      <c r="H44" s="138"/>
      <c r="I44" s="136"/>
      <c r="J44" s="137"/>
      <c r="K44" s="138"/>
      <c r="L44" s="137"/>
      <c r="M44" s="138"/>
      <c r="N44" s="136"/>
      <c r="O44" s="139"/>
      <c r="Q44" s="144"/>
      <c r="R44" s="145"/>
      <c r="S44" s="136"/>
      <c r="T44" s="137"/>
      <c r="U44" s="138"/>
      <c r="V44" s="136"/>
      <c r="W44" s="137"/>
      <c r="X44" s="138"/>
      <c r="Y44" s="136"/>
      <c r="Z44" s="137"/>
      <c r="AA44" s="138"/>
      <c r="AB44" s="137"/>
      <c r="AC44" s="138"/>
      <c r="AD44" s="136"/>
      <c r="AE44" s="139"/>
    </row>
    <row r="45" spans="1:32" ht="24" customHeight="1" x14ac:dyDescent="0.2">
      <c r="A45" s="129" t="s">
        <v>83</v>
      </c>
      <c r="B45" s="129"/>
      <c r="C45" s="129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Q45" s="129" t="s">
        <v>83</v>
      </c>
      <c r="R45" s="129"/>
      <c r="S45" s="129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</row>
    <row r="46" spans="1:32" ht="16.5" customHeight="1" x14ac:dyDescent="0.2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</row>
    <row r="47" spans="1:32" ht="18.95" customHeight="1" x14ac:dyDescent="0.2">
      <c r="A47" s="126"/>
      <c r="B47" s="126"/>
      <c r="C47" s="126"/>
      <c r="D47" s="126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</row>
    <row r="48" spans="1:32" ht="16.5" customHeight="1" x14ac:dyDescent="0.2">
      <c r="A48" s="126"/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</row>
    <row r="49" spans="1:31" ht="16.5" customHeight="1" x14ac:dyDescent="0.2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</row>
    <row r="50" spans="1:31" ht="16.5" customHeight="1" x14ac:dyDescent="0.2">
      <c r="A50" s="126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</row>
    <row r="51" spans="1:31" ht="18" hidden="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  <c r="AA51" s="126"/>
      <c r="AB51" s="126"/>
      <c r="AC51" s="126"/>
      <c r="AD51" s="126"/>
      <c r="AE51" s="126"/>
    </row>
    <row r="52" spans="1:31" ht="34.5" customHeight="1" x14ac:dyDescent="0.2">
      <c r="A52" s="4"/>
      <c r="B52" s="6"/>
      <c r="C52" s="4"/>
      <c r="D52" s="7"/>
      <c r="E52" s="8"/>
      <c r="F52" s="8"/>
      <c r="G52" s="8"/>
      <c r="H52" s="8"/>
      <c r="I52" s="8"/>
      <c r="J52" s="8"/>
      <c r="K52" s="8"/>
      <c r="L52" s="9"/>
      <c r="M52" s="8"/>
      <c r="N52" s="4"/>
      <c r="O52" s="4"/>
      <c r="Q52" s="4"/>
      <c r="R52" s="6"/>
      <c r="S52" s="4"/>
      <c r="T52" s="7"/>
      <c r="U52" s="8"/>
      <c r="V52" s="8"/>
      <c r="W52" s="8"/>
      <c r="X52" s="8"/>
      <c r="Y52" s="8"/>
      <c r="Z52" s="8"/>
      <c r="AA52" s="8"/>
      <c r="AB52" s="9"/>
      <c r="AC52" s="8"/>
      <c r="AD52" s="4"/>
      <c r="AE52" s="4"/>
    </row>
    <row r="53" spans="1:31" ht="12" hidden="1" customHeight="1" x14ac:dyDescent="0.2">
      <c r="A53" s="4"/>
      <c r="B53" s="6"/>
      <c r="C53" s="4"/>
      <c r="D53" s="7"/>
      <c r="E53" s="8"/>
      <c r="F53" s="8"/>
      <c r="G53" s="8"/>
      <c r="H53" s="8"/>
      <c r="I53" s="8"/>
      <c r="J53" s="8"/>
      <c r="K53" s="8"/>
      <c r="L53" s="9"/>
      <c r="M53" s="8"/>
      <c r="N53" s="4"/>
      <c r="O53" s="4"/>
      <c r="Q53" s="4"/>
      <c r="R53" s="6"/>
      <c r="S53" s="4"/>
      <c r="T53" s="7"/>
      <c r="U53" s="8"/>
      <c r="V53" s="8"/>
      <c r="W53" s="8"/>
      <c r="X53" s="8"/>
      <c r="Y53" s="8"/>
      <c r="Z53" s="8"/>
      <c r="AA53" s="8"/>
      <c r="AB53" s="9"/>
      <c r="AC53" s="8"/>
      <c r="AD53" s="4"/>
      <c r="AE53" s="4"/>
    </row>
    <row r="54" spans="1:31" ht="27" customHeight="1" x14ac:dyDescent="0.25">
      <c r="A54" s="127" t="s">
        <v>51</v>
      </c>
      <c r="B54" s="127"/>
      <c r="C54" s="127"/>
      <c r="D54" s="127"/>
      <c r="E54" s="127"/>
      <c r="F54" s="127"/>
      <c r="G54" s="127"/>
      <c r="H54" s="11"/>
      <c r="I54" s="128" t="s">
        <v>18</v>
      </c>
      <c r="J54" s="128"/>
      <c r="K54" s="128"/>
      <c r="L54" s="128"/>
      <c r="M54" s="128"/>
      <c r="N54" s="128"/>
      <c r="O54" s="128"/>
      <c r="Q54" s="127" t="s">
        <v>51</v>
      </c>
      <c r="R54" s="127"/>
      <c r="S54" s="127"/>
      <c r="T54" s="127"/>
      <c r="U54" s="127"/>
      <c r="V54" s="127"/>
      <c r="W54" s="127"/>
      <c r="X54" s="11"/>
      <c r="Y54" s="128" t="s">
        <v>18</v>
      </c>
      <c r="Z54" s="128"/>
      <c r="AA54" s="128"/>
      <c r="AB54" s="128"/>
      <c r="AC54" s="128"/>
      <c r="AD54" s="128"/>
      <c r="AE54" s="128"/>
    </row>
    <row r="55" spans="1:31" ht="33" customHeight="1" x14ac:dyDescent="0.2"/>
    <row r="56" spans="1:31" ht="15" customHeight="1" x14ac:dyDescent="0.2"/>
    <row r="57" spans="1:31" ht="24" customHeight="1" x14ac:dyDescent="0.2"/>
    <row r="58" spans="1:31" ht="24" customHeight="1" x14ac:dyDescent="0.2"/>
    <row r="59" spans="1:31" ht="24" customHeight="1" x14ac:dyDescent="0.2"/>
    <row r="60" spans="1:31" ht="15" customHeight="1" x14ac:dyDescent="0.2"/>
    <row r="61" spans="1:31" ht="32.1" customHeight="1" x14ac:dyDescent="0.2"/>
    <row r="62" spans="1:31" ht="32.1" customHeight="1" x14ac:dyDescent="0.2"/>
    <row r="63" spans="1:31" ht="32.1" customHeight="1" x14ac:dyDescent="0.2"/>
    <row r="64" spans="1:31" ht="32.1" customHeight="1" x14ac:dyDescent="0.2"/>
    <row r="65" ht="32.1" customHeight="1" x14ac:dyDescent="0.2"/>
    <row r="66" ht="32.1" customHeight="1" x14ac:dyDescent="0.2"/>
    <row r="67" ht="32.1" customHeight="1" x14ac:dyDescent="0.2"/>
    <row r="68" ht="32.1" customHeight="1" x14ac:dyDescent="0.2"/>
    <row r="69" ht="32.1" customHeight="1" x14ac:dyDescent="0.2"/>
    <row r="70" ht="32.1" customHeight="1" x14ac:dyDescent="0.2"/>
    <row r="71" ht="32.1" customHeight="1" x14ac:dyDescent="0.2"/>
    <row r="72" ht="32.1" customHeight="1" x14ac:dyDescent="0.2"/>
    <row r="73" ht="32.1" customHeight="1" x14ac:dyDescent="0.2"/>
    <row r="74" ht="32.1" customHeight="1" x14ac:dyDescent="0.2"/>
    <row r="75" ht="32.1" customHeight="1" x14ac:dyDescent="0.2"/>
    <row r="76" ht="32.1" customHeight="1" x14ac:dyDescent="0.2"/>
    <row r="77" ht="32.1" customHeight="1" x14ac:dyDescent="0.2"/>
    <row r="78" ht="32.1" customHeight="1" x14ac:dyDescent="0.2"/>
    <row r="79" ht="32.1" customHeight="1" x14ac:dyDescent="0.2"/>
    <row r="80" ht="32.1" customHeight="1" x14ac:dyDescent="0.2"/>
    <row r="81" ht="32.1" customHeight="1" x14ac:dyDescent="0.2"/>
    <row r="82" ht="32.1" customHeight="1" x14ac:dyDescent="0.2"/>
    <row r="83" ht="32.1" customHeight="1" x14ac:dyDescent="0.2"/>
    <row r="84" ht="32.1" customHeight="1" x14ac:dyDescent="0.2"/>
    <row r="85" ht="24" customHeight="1" x14ac:dyDescent="0.2"/>
    <row r="86" ht="24" customHeight="1" x14ac:dyDescent="0.2"/>
    <row r="87" ht="24" customHeight="1" x14ac:dyDescent="0.2"/>
    <row r="88" ht="24" customHeight="1" x14ac:dyDescent="0.2"/>
    <row r="89" ht="24" customHeight="1" x14ac:dyDescent="0.2"/>
    <row r="90" ht="24" customHeight="1" x14ac:dyDescent="0.2"/>
  </sheetData>
  <mergeCells count="308">
    <mergeCell ref="P25:P30"/>
    <mergeCell ref="A38:B38"/>
    <mergeCell ref="A39:B39"/>
    <mergeCell ref="H26:H27"/>
    <mergeCell ref="A33:C33"/>
    <mergeCell ref="B34:C34"/>
    <mergeCell ref="A29:C29"/>
    <mergeCell ref="A36:C36"/>
    <mergeCell ref="A24:A27"/>
    <mergeCell ref="F24:F25"/>
    <mergeCell ref="A51:O51"/>
    <mergeCell ref="A46:O46"/>
    <mergeCell ref="A47:O47"/>
    <mergeCell ref="A48:O48"/>
    <mergeCell ref="A49:O49"/>
    <mergeCell ref="A50:O50"/>
    <mergeCell ref="A45:C45"/>
    <mergeCell ref="D45:O45"/>
    <mergeCell ref="K44:L44"/>
    <mergeCell ref="M44:O44"/>
    <mergeCell ref="A43:B44"/>
    <mergeCell ref="E44:G44"/>
    <mergeCell ref="C44:D44"/>
    <mergeCell ref="H44:J44"/>
    <mergeCell ref="H43:J43"/>
    <mergeCell ref="K43:L43"/>
    <mergeCell ref="M43:O43"/>
    <mergeCell ref="B35:C35"/>
    <mergeCell ref="C43:D43"/>
    <mergeCell ref="E43:G43"/>
    <mergeCell ref="A30:C30"/>
    <mergeCell ref="A42:B42"/>
    <mergeCell ref="A41:B41"/>
    <mergeCell ref="A40:B40"/>
    <mergeCell ref="A28:C28"/>
    <mergeCell ref="A31:B32"/>
    <mergeCell ref="D22:D23"/>
    <mergeCell ref="M26:M27"/>
    <mergeCell ref="I26:I27"/>
    <mergeCell ref="J26:J27"/>
    <mergeCell ref="L24:L25"/>
    <mergeCell ref="K24:K25"/>
    <mergeCell ref="J24:J25"/>
    <mergeCell ref="K26:K27"/>
    <mergeCell ref="L26:L27"/>
    <mergeCell ref="I24:I25"/>
    <mergeCell ref="D18:D19"/>
    <mergeCell ref="D20:D21"/>
    <mergeCell ref="J18:J19"/>
    <mergeCell ref="J20:J21"/>
    <mergeCell ref="K20:K21"/>
    <mergeCell ref="A20:A21"/>
    <mergeCell ref="B18:B19"/>
    <mergeCell ref="H18:H19"/>
    <mergeCell ref="E18:E19"/>
    <mergeCell ref="E20:E21"/>
    <mergeCell ref="F18:F19"/>
    <mergeCell ref="I18:I19"/>
    <mergeCell ref="H20:H21"/>
    <mergeCell ref="I20:I21"/>
    <mergeCell ref="G18:G19"/>
    <mergeCell ref="A10:G10"/>
    <mergeCell ref="H10:O10"/>
    <mergeCell ref="L5:O6"/>
    <mergeCell ref="H5:I6"/>
    <mergeCell ref="J5:J6"/>
    <mergeCell ref="K5:K6"/>
    <mergeCell ref="A8:B8"/>
    <mergeCell ref="A9:B9"/>
    <mergeCell ref="F16:F17"/>
    <mergeCell ref="H9:J9"/>
    <mergeCell ref="J14:J15"/>
    <mergeCell ref="H14:H15"/>
    <mergeCell ref="I14:I15"/>
    <mergeCell ref="J16:J17"/>
    <mergeCell ref="C9:G9"/>
    <mergeCell ref="D16:D17"/>
    <mergeCell ref="H16:H17"/>
    <mergeCell ref="I16:I17"/>
    <mergeCell ref="N14:O15"/>
    <mergeCell ref="A14:A15"/>
    <mergeCell ref="B14:B15"/>
    <mergeCell ref="D14:D15"/>
    <mergeCell ref="E14:E15"/>
    <mergeCell ref="F14:F15"/>
    <mergeCell ref="I54:O54"/>
    <mergeCell ref="A54:G54"/>
    <mergeCell ref="D11:M12"/>
    <mergeCell ref="B11:B13"/>
    <mergeCell ref="A11:A13"/>
    <mergeCell ref="C11:C13"/>
    <mergeCell ref="A37:C37"/>
    <mergeCell ref="L14:L15"/>
    <mergeCell ref="M18:M19"/>
    <mergeCell ref="L18:L19"/>
    <mergeCell ref="N11:O13"/>
    <mergeCell ref="N22:O23"/>
    <mergeCell ref="M16:M17"/>
    <mergeCell ref="K14:K15"/>
    <mergeCell ref="G14:G15"/>
    <mergeCell ref="M14:M15"/>
    <mergeCell ref="A16:A17"/>
    <mergeCell ref="B16:B17"/>
    <mergeCell ref="F20:F21"/>
    <mergeCell ref="G16:G17"/>
    <mergeCell ref="E16:E17"/>
    <mergeCell ref="G20:G21"/>
    <mergeCell ref="A18:A19"/>
    <mergeCell ref="B20:B21"/>
    <mergeCell ref="N24:O25"/>
    <mergeCell ref="N26:O27"/>
    <mergeCell ref="A22:A23"/>
    <mergeCell ref="J22:J23"/>
    <mergeCell ref="G22:G23"/>
    <mergeCell ref="M22:M23"/>
    <mergeCell ref="L22:L23"/>
    <mergeCell ref="M24:M25"/>
    <mergeCell ref="G26:G27"/>
    <mergeCell ref="E24:E25"/>
    <mergeCell ref="H24:H25"/>
    <mergeCell ref="F26:F27"/>
    <mergeCell ref="G24:G25"/>
    <mergeCell ref="E26:E27"/>
    <mergeCell ref="K22:K23"/>
    <mergeCell ref="E22:E23"/>
    <mergeCell ref="F22:F23"/>
    <mergeCell ref="H22:H23"/>
    <mergeCell ref="I22:I23"/>
    <mergeCell ref="B26:B27"/>
    <mergeCell ref="D26:D27"/>
    <mergeCell ref="B24:B25"/>
    <mergeCell ref="D24:D25"/>
    <mergeCell ref="B22:B23"/>
    <mergeCell ref="K8:M8"/>
    <mergeCell ref="N18:O19"/>
    <mergeCell ref="N20:O21"/>
    <mergeCell ref="K16:K17"/>
    <mergeCell ref="L20:L21"/>
    <mergeCell ref="L16:L17"/>
    <mergeCell ref="K18:K19"/>
    <mergeCell ref="M20:M21"/>
    <mergeCell ref="N16:O17"/>
    <mergeCell ref="M9:N9"/>
    <mergeCell ref="Q1:S6"/>
    <mergeCell ref="T1:AE2"/>
    <mergeCell ref="T3:AE4"/>
    <mergeCell ref="T5:W6"/>
    <mergeCell ref="X5:Y6"/>
    <mergeCell ref="Z5:Z6"/>
    <mergeCell ref="AA5:AA6"/>
    <mergeCell ref="AB5:AE6"/>
    <mergeCell ref="N8:O8"/>
    <mergeCell ref="D1:O2"/>
    <mergeCell ref="H8:J8"/>
    <mergeCell ref="C7:G7"/>
    <mergeCell ref="K7:O7"/>
    <mergeCell ref="H7:J7"/>
    <mergeCell ref="C8:G8"/>
    <mergeCell ref="A1:C6"/>
    <mergeCell ref="D5:G6"/>
    <mergeCell ref="A7:B7"/>
    <mergeCell ref="D3:O4"/>
    <mergeCell ref="Q9:R9"/>
    <mergeCell ref="S9:W9"/>
    <mergeCell ref="X9:Z9"/>
    <mergeCell ref="AC9:AD9"/>
    <mergeCell ref="Q10:W10"/>
    <mergeCell ref="X10:AE10"/>
    <mergeCell ref="Q7:R7"/>
    <mergeCell ref="S7:W7"/>
    <mergeCell ref="X7:Z7"/>
    <mergeCell ref="AA7:AE7"/>
    <mergeCell ref="Q8:R8"/>
    <mergeCell ref="S8:W8"/>
    <mergeCell ref="X8:Z8"/>
    <mergeCell ref="AA8:AC8"/>
    <mergeCell ref="AD8:AE8"/>
    <mergeCell ref="Q11:Q13"/>
    <mergeCell ref="R11:R13"/>
    <mergeCell ref="S11:S13"/>
    <mergeCell ref="T11:AC12"/>
    <mergeCell ref="AD11:AE13"/>
    <mergeCell ref="Q14:Q15"/>
    <mergeCell ref="R14:R15"/>
    <mergeCell ref="T14:T15"/>
    <mergeCell ref="U14:U15"/>
    <mergeCell ref="V14:V15"/>
    <mergeCell ref="AC14:AC15"/>
    <mergeCell ref="AD14:AE15"/>
    <mergeCell ref="Q16:Q17"/>
    <mergeCell ref="R16:R17"/>
    <mergeCell ref="T16:T17"/>
    <mergeCell ref="U16:U17"/>
    <mergeCell ref="V16:V17"/>
    <mergeCell ref="W16:W17"/>
    <mergeCell ref="X16:X17"/>
    <mergeCell ref="Y16:Y17"/>
    <mergeCell ref="W14:W15"/>
    <mergeCell ref="X14:X15"/>
    <mergeCell ref="Y14:Y15"/>
    <mergeCell ref="Z14:Z15"/>
    <mergeCell ref="AA14:AA15"/>
    <mergeCell ref="AB14:AB15"/>
    <mergeCell ref="Z16:Z17"/>
    <mergeCell ref="AA16:AA17"/>
    <mergeCell ref="AB16:AB17"/>
    <mergeCell ref="AC16:AC17"/>
    <mergeCell ref="AD16:AE17"/>
    <mergeCell ref="Q18:Q19"/>
    <mergeCell ref="R18:R19"/>
    <mergeCell ref="T18:T19"/>
    <mergeCell ref="U18:U19"/>
    <mergeCell ref="V18:V19"/>
    <mergeCell ref="AC18:AC19"/>
    <mergeCell ref="AD18:AE19"/>
    <mergeCell ref="Q20:Q21"/>
    <mergeCell ref="R20:R21"/>
    <mergeCell ref="T20:T21"/>
    <mergeCell ref="U20:U21"/>
    <mergeCell ref="V20:V21"/>
    <mergeCell ref="W20:W21"/>
    <mergeCell ref="X20:X21"/>
    <mergeCell ref="Y20:Y21"/>
    <mergeCell ref="W18:W19"/>
    <mergeCell ref="X18:X19"/>
    <mergeCell ref="Y18:Y19"/>
    <mergeCell ref="Z18:Z19"/>
    <mergeCell ref="AA18:AA19"/>
    <mergeCell ref="AB18:AB19"/>
    <mergeCell ref="Z20:Z21"/>
    <mergeCell ref="AA20:AA21"/>
    <mergeCell ref="AB20:AB21"/>
    <mergeCell ref="AC20:AC21"/>
    <mergeCell ref="AD20:AE21"/>
    <mergeCell ref="Q22:Q23"/>
    <mergeCell ref="R22:R23"/>
    <mergeCell ref="T22:T23"/>
    <mergeCell ref="U22:U23"/>
    <mergeCell ref="V22:V23"/>
    <mergeCell ref="Z24:Z25"/>
    <mergeCell ref="AA24:AA25"/>
    <mergeCell ref="AB24:AB25"/>
    <mergeCell ref="AC24:AC25"/>
    <mergeCell ref="AD24:AE25"/>
    <mergeCell ref="AF25:AF30"/>
    <mergeCell ref="AC22:AC23"/>
    <mergeCell ref="AD22:AE23"/>
    <mergeCell ref="Q24:Q27"/>
    <mergeCell ref="R24:R25"/>
    <mergeCell ref="T24:T25"/>
    <mergeCell ref="U24:U25"/>
    <mergeCell ref="V24:V25"/>
    <mergeCell ref="W24:W25"/>
    <mergeCell ref="X24:X25"/>
    <mergeCell ref="Y24:Y25"/>
    <mergeCell ref="W22:W23"/>
    <mergeCell ref="X22:X23"/>
    <mergeCell ref="Y22:Y23"/>
    <mergeCell ref="Z22:Z23"/>
    <mergeCell ref="AA22:AA23"/>
    <mergeCell ref="AB22:AB23"/>
    <mergeCell ref="Y26:Y27"/>
    <mergeCell ref="Z26:Z27"/>
    <mergeCell ref="AA26:AA27"/>
    <mergeCell ref="AB26:AB27"/>
    <mergeCell ref="AC26:AC27"/>
    <mergeCell ref="AD26:AE27"/>
    <mergeCell ref="R26:R27"/>
    <mergeCell ref="T26:T27"/>
    <mergeCell ref="U26:U27"/>
    <mergeCell ref="V26:V27"/>
    <mergeCell ref="W26:W27"/>
    <mergeCell ref="X26:X27"/>
    <mergeCell ref="R35:S35"/>
    <mergeCell ref="Q36:S36"/>
    <mergeCell ref="Q37:S37"/>
    <mergeCell ref="Q38:R38"/>
    <mergeCell ref="Q39:R39"/>
    <mergeCell ref="Q40:R40"/>
    <mergeCell ref="Q28:S28"/>
    <mergeCell ref="Q29:S29"/>
    <mergeCell ref="Q30:S30"/>
    <mergeCell ref="Q31:R32"/>
    <mergeCell ref="Q33:S33"/>
    <mergeCell ref="R34:S34"/>
    <mergeCell ref="AA43:AB43"/>
    <mergeCell ref="AC43:AE43"/>
    <mergeCell ref="S44:T44"/>
    <mergeCell ref="U44:W44"/>
    <mergeCell ref="X44:Z44"/>
    <mergeCell ref="AA44:AB44"/>
    <mergeCell ref="AC44:AE44"/>
    <mergeCell ref="Q41:R41"/>
    <mergeCell ref="Q42:R42"/>
    <mergeCell ref="Q43:R44"/>
    <mergeCell ref="S43:T43"/>
    <mergeCell ref="U43:W43"/>
    <mergeCell ref="X43:Z43"/>
    <mergeCell ref="Q50:AE50"/>
    <mergeCell ref="Q51:AE51"/>
    <mergeCell ref="Q54:W54"/>
    <mergeCell ref="Y54:AE54"/>
    <mergeCell ref="Q45:S45"/>
    <mergeCell ref="T45:AE45"/>
    <mergeCell ref="Q46:AE46"/>
    <mergeCell ref="Q47:AE47"/>
    <mergeCell ref="Q48:AE48"/>
    <mergeCell ref="Q49:AE49"/>
  </mergeCells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headerFooter alignWithMargins="0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Drop Down 18">
              <controlPr locked="0" defaultSize="0" autoLine="0" autoPict="0">
                <anchor moveWithCells="1">
                  <from>
                    <xdr:col>10</xdr:col>
                    <xdr:colOff>57150</xdr:colOff>
                    <xdr:row>6</xdr:row>
                    <xdr:rowOff>66675</xdr:rowOff>
                  </from>
                  <to>
                    <xdr:col>14</xdr:col>
                    <xdr:colOff>219075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3" r:id="rId5" name="Drop Down 1771">
              <controlPr locked="0" defaultSize="0" autoLine="0" autoPict="0">
                <anchor moveWithCells="1">
                  <from>
                    <xdr:col>26</xdr:col>
                    <xdr:colOff>57150</xdr:colOff>
                    <xdr:row>6</xdr:row>
                    <xdr:rowOff>66675</xdr:rowOff>
                  </from>
                  <to>
                    <xdr:col>30</xdr:col>
                    <xdr:colOff>219075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27"/>
  <sheetViews>
    <sheetView workbookViewId="0">
      <selection activeCell="A12" sqref="A12"/>
    </sheetView>
  </sheetViews>
  <sheetFormatPr baseColWidth="10" defaultRowHeight="12.75" x14ac:dyDescent="0.2"/>
  <cols>
    <col min="2" max="2" width="9.5703125" customWidth="1"/>
    <col min="3" max="3" width="5.28515625" customWidth="1"/>
    <col min="7" max="7" width="10.28515625" customWidth="1"/>
    <col min="8" max="8" width="11.42578125" hidden="1" customWidth="1"/>
    <col min="9" max="9" width="3.5703125" customWidth="1"/>
    <col min="10" max="10" width="4.7109375" customWidth="1"/>
    <col min="11" max="11" width="0.140625" hidden="1" customWidth="1"/>
    <col min="12" max="13" width="11.42578125" hidden="1" customWidth="1"/>
    <col min="14" max="14" width="11.140625" hidden="1" customWidth="1"/>
    <col min="15" max="15" width="7.7109375" customWidth="1"/>
  </cols>
  <sheetData>
    <row r="1" spans="1:15" x14ac:dyDescent="0.2">
      <c r="A1" s="254"/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</row>
    <row r="2" spans="1:15" x14ac:dyDescent="0.2">
      <c r="A2" s="263"/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  <c r="O2" s="265"/>
    </row>
    <row r="3" spans="1:15" x14ac:dyDescent="0.2">
      <c r="A3" s="164"/>
      <c r="B3" s="268"/>
      <c r="C3" s="165"/>
      <c r="D3" s="272" t="s">
        <v>50</v>
      </c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4"/>
    </row>
    <row r="4" spans="1:15" x14ac:dyDescent="0.2">
      <c r="A4" s="269"/>
      <c r="B4" s="270"/>
      <c r="C4" s="271"/>
      <c r="D4" s="275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7"/>
    </row>
    <row r="5" spans="1:15" x14ac:dyDescent="0.2">
      <c r="A5" s="166"/>
      <c r="B5" s="131"/>
      <c r="C5" s="167"/>
      <c r="D5" s="278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80"/>
    </row>
    <row r="6" spans="1:15" ht="18" x14ac:dyDescent="0.25">
      <c r="A6" s="257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9"/>
    </row>
    <row r="7" spans="1:15" ht="30" customHeight="1" x14ac:dyDescent="0.2">
      <c r="A7" s="13" t="s">
        <v>21</v>
      </c>
      <c r="B7" s="255" t="s">
        <v>34</v>
      </c>
      <c r="C7" s="255"/>
      <c r="D7" s="255"/>
      <c r="E7" s="255"/>
      <c r="F7" s="255"/>
      <c r="G7" s="255"/>
      <c r="H7" s="255"/>
      <c r="I7" s="255"/>
      <c r="J7" s="255"/>
      <c r="K7" s="255"/>
      <c r="L7" s="255"/>
      <c r="M7" s="255"/>
      <c r="N7" s="255"/>
      <c r="O7" s="256"/>
    </row>
    <row r="8" spans="1:15" ht="30" customHeight="1" x14ac:dyDescent="0.2">
      <c r="A8" s="13" t="s">
        <v>22</v>
      </c>
      <c r="B8" s="255" t="s">
        <v>32</v>
      </c>
      <c r="C8" s="255"/>
      <c r="D8" s="255"/>
      <c r="E8" s="255"/>
      <c r="F8" s="255"/>
      <c r="G8" s="255"/>
      <c r="H8" s="255"/>
      <c r="I8" s="255"/>
      <c r="J8" s="255"/>
      <c r="K8" s="255"/>
      <c r="L8" s="255"/>
      <c r="M8" s="255"/>
      <c r="N8" s="255"/>
      <c r="O8" s="256"/>
    </row>
    <row r="9" spans="1:15" ht="30" customHeight="1" x14ac:dyDescent="0.2">
      <c r="A9" s="13" t="s">
        <v>23</v>
      </c>
      <c r="B9" s="210" t="s">
        <v>35</v>
      </c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1"/>
    </row>
    <row r="10" spans="1:15" ht="30" customHeight="1" x14ac:dyDescent="0.2">
      <c r="A10" s="14" t="s">
        <v>24</v>
      </c>
      <c r="B10" s="210" t="s">
        <v>36</v>
      </c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1"/>
    </row>
    <row r="11" spans="1:15" ht="30" customHeight="1" x14ac:dyDescent="0.2">
      <c r="A11" s="14" t="s">
        <v>25</v>
      </c>
      <c r="B11" s="210" t="s">
        <v>37</v>
      </c>
      <c r="C11" s="210"/>
      <c r="D11" s="210"/>
      <c r="E11" s="210"/>
      <c r="F11" s="210"/>
      <c r="G11" s="210"/>
      <c r="H11" s="210"/>
      <c r="I11" s="210"/>
      <c r="J11" s="210"/>
      <c r="K11" s="210"/>
      <c r="L11" s="210"/>
      <c r="M11" s="210"/>
      <c r="N11" s="210"/>
      <c r="O11" s="211"/>
    </row>
    <row r="12" spans="1:15" ht="30" customHeight="1" x14ac:dyDescent="0.2">
      <c r="A12" s="13" t="s">
        <v>26</v>
      </c>
      <c r="B12" s="255" t="s">
        <v>38</v>
      </c>
      <c r="C12" s="255"/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O12" s="256"/>
    </row>
    <row r="13" spans="1:15" ht="30" customHeight="1" x14ac:dyDescent="0.2">
      <c r="A13" s="13" t="s">
        <v>27</v>
      </c>
      <c r="B13" s="210" t="s">
        <v>39</v>
      </c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1"/>
    </row>
    <row r="14" spans="1:15" ht="30" customHeight="1" x14ac:dyDescent="0.2">
      <c r="A14" s="14" t="s">
        <v>28</v>
      </c>
      <c r="B14" s="210" t="s">
        <v>40</v>
      </c>
      <c r="C14" s="210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1"/>
    </row>
    <row r="15" spans="1:15" ht="30" customHeight="1" x14ac:dyDescent="0.2">
      <c r="A15" s="13" t="s">
        <v>29</v>
      </c>
      <c r="B15" s="210" t="s">
        <v>33</v>
      </c>
      <c r="C15" s="210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1"/>
    </row>
    <row r="16" spans="1:15" ht="30" customHeight="1" x14ac:dyDescent="0.2">
      <c r="A16" s="14" t="s">
        <v>30</v>
      </c>
      <c r="B16" s="210" t="s">
        <v>41</v>
      </c>
      <c r="C16" s="210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1"/>
    </row>
    <row r="17" spans="1:15" ht="30" customHeight="1" x14ac:dyDescent="0.2">
      <c r="A17" s="14" t="s">
        <v>31</v>
      </c>
      <c r="B17" s="210" t="s">
        <v>42</v>
      </c>
      <c r="C17" s="210"/>
      <c r="D17" s="210"/>
      <c r="E17" s="210"/>
      <c r="F17" s="210"/>
      <c r="G17" s="210"/>
      <c r="H17" s="210"/>
      <c r="I17" s="210"/>
      <c r="J17" s="210"/>
      <c r="K17" s="210"/>
      <c r="L17" s="210"/>
      <c r="M17" s="210"/>
      <c r="N17" s="210"/>
      <c r="O17" s="211"/>
    </row>
    <row r="18" spans="1:15" ht="30" customHeight="1" x14ac:dyDescent="0.2">
      <c r="A18" s="14" t="s">
        <v>43</v>
      </c>
      <c r="B18" s="255" t="s">
        <v>44</v>
      </c>
      <c r="C18" s="255"/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  <c r="O18" s="256"/>
    </row>
    <row r="19" spans="1:15" ht="30" customHeight="1" x14ac:dyDescent="0.2">
      <c r="A19" s="14"/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M19" s="206"/>
      <c r="N19" s="206"/>
      <c r="O19" s="217"/>
    </row>
    <row r="20" spans="1:15" ht="30" customHeight="1" x14ac:dyDescent="0.2">
      <c r="A20" s="13"/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17"/>
    </row>
    <row r="21" spans="1:15" ht="30" customHeight="1" x14ac:dyDescent="0.2">
      <c r="A21" s="15"/>
      <c r="B21" s="266"/>
      <c r="C21" s="266"/>
      <c r="D21" s="266"/>
      <c r="E21" s="266"/>
      <c r="F21" s="266"/>
      <c r="G21" s="266"/>
      <c r="H21" s="266"/>
      <c r="I21" s="266"/>
      <c r="J21" s="266"/>
      <c r="K21" s="266"/>
      <c r="L21" s="266"/>
      <c r="M21" s="266"/>
      <c r="N21" s="266"/>
      <c r="O21" s="267"/>
    </row>
    <row r="22" spans="1:15" ht="30" customHeight="1" x14ac:dyDescent="0.2">
      <c r="A22" s="15"/>
      <c r="B22" s="266"/>
      <c r="C22" s="266"/>
      <c r="D22" s="266"/>
      <c r="E22" s="266"/>
      <c r="F22" s="266"/>
      <c r="G22" s="266"/>
      <c r="H22" s="266"/>
      <c r="I22" s="266"/>
      <c r="J22" s="266"/>
      <c r="K22" s="266"/>
      <c r="L22" s="266"/>
      <c r="M22" s="266"/>
      <c r="N22" s="266"/>
      <c r="O22" s="267"/>
    </row>
    <row r="23" spans="1:15" ht="30" customHeight="1" x14ac:dyDescent="0.2">
      <c r="A23" s="12"/>
      <c r="B23" s="260"/>
      <c r="C23" s="260"/>
      <c r="D23" s="260"/>
      <c r="E23" s="260"/>
      <c r="F23" s="260"/>
      <c r="G23" s="260"/>
      <c r="H23" s="260"/>
      <c r="I23" s="260"/>
      <c r="J23" s="260"/>
      <c r="K23" s="260"/>
      <c r="L23" s="260"/>
      <c r="M23" s="260"/>
      <c r="N23" s="260"/>
      <c r="O23" s="261"/>
    </row>
    <row r="24" spans="1:15" ht="30" customHeight="1" x14ac:dyDescent="0.2">
      <c r="A24" s="15"/>
      <c r="B24" s="266"/>
      <c r="C24" s="266"/>
      <c r="D24" s="266"/>
      <c r="E24" s="266"/>
      <c r="F24" s="266"/>
      <c r="G24" s="266"/>
      <c r="H24" s="266"/>
      <c r="I24" s="266"/>
      <c r="J24" s="266"/>
      <c r="K24" s="266"/>
      <c r="L24" s="266"/>
      <c r="M24" s="266"/>
      <c r="N24" s="266"/>
      <c r="O24" s="267"/>
    </row>
    <row r="25" spans="1:15" ht="30" customHeight="1" x14ac:dyDescent="0.2">
      <c r="A25" s="12"/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60"/>
      <c r="N25" s="260"/>
      <c r="O25" s="261"/>
    </row>
    <row r="26" spans="1:15" ht="30" customHeight="1" x14ac:dyDescent="0.2">
      <c r="A26" s="16"/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262"/>
    </row>
    <row r="27" spans="1:15" ht="30" customHeight="1" x14ac:dyDescent="0.2">
      <c r="A27" s="16"/>
      <c r="B27" s="126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262"/>
    </row>
  </sheetData>
  <mergeCells count="26">
    <mergeCell ref="B25:O25"/>
    <mergeCell ref="B26:O26"/>
    <mergeCell ref="B27:O27"/>
    <mergeCell ref="A2:O2"/>
    <mergeCell ref="B21:O21"/>
    <mergeCell ref="B22:O22"/>
    <mergeCell ref="B23:O23"/>
    <mergeCell ref="B24:O24"/>
    <mergeCell ref="B9:O9"/>
    <mergeCell ref="B18:O18"/>
    <mergeCell ref="B19:O19"/>
    <mergeCell ref="B20:O20"/>
    <mergeCell ref="A3:C5"/>
    <mergeCell ref="D3:O5"/>
    <mergeCell ref="B7:O7"/>
    <mergeCell ref="B8:O8"/>
    <mergeCell ref="A1:O1"/>
    <mergeCell ref="B15:O15"/>
    <mergeCell ref="B16:O16"/>
    <mergeCell ref="B17:O17"/>
    <mergeCell ref="B11:O11"/>
    <mergeCell ref="B12:O12"/>
    <mergeCell ref="B13:O13"/>
    <mergeCell ref="B14:O14"/>
    <mergeCell ref="B10:O10"/>
    <mergeCell ref="A6:O6"/>
  </mergeCells>
  <phoneticPr fontId="1" type="noConversion"/>
  <pageMargins left="0.78740157480314965" right="0.78740157480314965" top="0.98425196850393704" bottom="0.98425196850393704" header="0" footer="0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J931"/>
  <sheetViews>
    <sheetView tabSelected="1"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"/>
    </sheetView>
  </sheetViews>
  <sheetFormatPr baseColWidth="10" defaultRowHeight="12.75" x14ac:dyDescent="0.2"/>
  <cols>
    <col min="1" max="1" width="7.85546875" bestFit="1" customWidth="1"/>
    <col min="2" max="2" width="28.28515625" style="64" bestFit="1" customWidth="1"/>
    <col min="3" max="15" width="9.7109375" style="81" customWidth="1"/>
    <col min="16" max="16" width="11.85546875" style="81" customWidth="1"/>
    <col min="17" max="17" width="10.85546875" style="81" customWidth="1"/>
    <col min="18" max="18" width="11.140625" style="81" customWidth="1"/>
    <col min="19" max="19" width="13.5703125" style="81" customWidth="1"/>
    <col min="20" max="20" width="12.85546875" style="81" customWidth="1"/>
    <col min="21" max="21" width="13.28515625" style="81" customWidth="1"/>
    <col min="22" max="22" width="22.140625" style="81" customWidth="1"/>
    <col min="23" max="23" width="15" style="81" customWidth="1"/>
    <col min="24" max="24" width="22.140625" style="81" customWidth="1"/>
    <col min="25" max="25" width="21.85546875" style="81" customWidth="1"/>
    <col min="26" max="26" width="17.140625" style="81" customWidth="1"/>
    <col min="27" max="27" width="6.7109375" style="81" customWidth="1"/>
    <col min="28" max="28" width="14.85546875" customWidth="1"/>
    <col min="29" max="55" width="5.7109375" customWidth="1"/>
  </cols>
  <sheetData>
    <row r="1" spans="1:36" x14ac:dyDescent="0.2">
      <c r="A1" s="18" t="s">
        <v>54</v>
      </c>
      <c r="B1" s="57">
        <v>356</v>
      </c>
      <c r="C1" s="66">
        <v>3</v>
      </c>
      <c r="D1" s="67">
        <v>4</v>
      </c>
      <c r="E1" s="67">
        <v>5</v>
      </c>
      <c r="F1" s="68">
        <v>6</v>
      </c>
      <c r="G1" s="68">
        <v>7</v>
      </c>
      <c r="H1" s="68">
        <v>8</v>
      </c>
      <c r="I1" s="68">
        <v>9</v>
      </c>
      <c r="J1" s="68">
        <v>10</v>
      </c>
      <c r="K1" s="68">
        <v>11</v>
      </c>
      <c r="L1" s="68">
        <v>12</v>
      </c>
      <c r="M1" s="68">
        <v>13</v>
      </c>
      <c r="N1" s="68">
        <v>14</v>
      </c>
      <c r="O1" s="68">
        <v>15</v>
      </c>
      <c r="P1" s="68">
        <v>16</v>
      </c>
      <c r="Q1" s="68">
        <v>17</v>
      </c>
      <c r="R1" s="68">
        <v>18</v>
      </c>
      <c r="S1" s="68">
        <v>19</v>
      </c>
      <c r="T1" s="68">
        <v>20</v>
      </c>
      <c r="U1" s="68">
        <v>21</v>
      </c>
      <c r="V1" s="68">
        <v>22</v>
      </c>
      <c r="W1" s="68">
        <v>23</v>
      </c>
      <c r="X1" s="68">
        <v>24</v>
      </c>
      <c r="Y1" s="68">
        <v>25</v>
      </c>
      <c r="Z1" s="68">
        <v>26</v>
      </c>
      <c r="AA1" s="68">
        <v>27</v>
      </c>
      <c r="AB1" s="94">
        <v>28</v>
      </c>
    </row>
    <row r="2" spans="1:36" s="17" customFormat="1" ht="12.75" customHeight="1" x14ac:dyDescent="0.2">
      <c r="A2" s="17" t="s">
        <v>749</v>
      </c>
      <c r="B2" s="58" t="s">
        <v>52</v>
      </c>
      <c r="C2" s="26" t="s">
        <v>55</v>
      </c>
      <c r="D2" s="19" t="s">
        <v>60</v>
      </c>
      <c r="E2" s="19" t="s">
        <v>61</v>
      </c>
      <c r="F2" s="27" t="s">
        <v>56</v>
      </c>
      <c r="G2" s="19" t="s">
        <v>62</v>
      </c>
      <c r="H2" s="20" t="s">
        <v>63</v>
      </c>
      <c r="I2" s="27" t="s">
        <v>57</v>
      </c>
      <c r="J2" s="20" t="s">
        <v>64</v>
      </c>
      <c r="K2" s="20" t="s">
        <v>65</v>
      </c>
      <c r="L2" s="27" t="s">
        <v>58</v>
      </c>
      <c r="M2" s="20" t="s">
        <v>66</v>
      </c>
      <c r="N2" s="20" t="s">
        <v>67</v>
      </c>
      <c r="O2" s="27" t="s">
        <v>180</v>
      </c>
      <c r="P2" s="20" t="s">
        <v>181</v>
      </c>
      <c r="Q2" s="20" t="s">
        <v>182</v>
      </c>
      <c r="R2" s="20" t="s">
        <v>69</v>
      </c>
      <c r="S2" s="20" t="s">
        <v>68</v>
      </c>
      <c r="T2" s="20" t="s">
        <v>70</v>
      </c>
      <c r="U2" s="20" t="s">
        <v>71</v>
      </c>
      <c r="V2" s="20" t="s">
        <v>143</v>
      </c>
      <c r="W2" s="20" t="s">
        <v>144</v>
      </c>
      <c r="X2" s="20" t="s">
        <v>188</v>
      </c>
      <c r="Y2" s="20" t="s">
        <v>189</v>
      </c>
      <c r="Z2" s="24" t="s">
        <v>250</v>
      </c>
      <c r="AA2" s="24" t="s">
        <v>73</v>
      </c>
      <c r="AB2" s="95" t="s">
        <v>511</v>
      </c>
    </row>
    <row r="3" spans="1:36" ht="18.95" customHeight="1" x14ac:dyDescent="0.25">
      <c r="A3">
        <v>1</v>
      </c>
      <c r="B3" s="61" t="s">
        <v>185</v>
      </c>
      <c r="C3" s="69">
        <v>19</v>
      </c>
      <c r="D3" s="69">
        <v>0</v>
      </c>
      <c r="E3" s="69">
        <v>-120</v>
      </c>
      <c r="F3" s="69">
        <v>72</v>
      </c>
      <c r="G3" s="69">
        <v>0</v>
      </c>
      <c r="H3" s="69">
        <v>-13</v>
      </c>
      <c r="I3" s="69" t="s">
        <v>105</v>
      </c>
      <c r="J3" s="69" t="s">
        <v>105</v>
      </c>
      <c r="K3" s="69" t="s">
        <v>105</v>
      </c>
      <c r="L3" s="69" t="s">
        <v>105</v>
      </c>
      <c r="M3" s="69" t="s">
        <v>105</v>
      </c>
      <c r="N3" s="69" t="s">
        <v>105</v>
      </c>
      <c r="O3" s="69" t="s">
        <v>105</v>
      </c>
      <c r="P3" s="69" t="s">
        <v>105</v>
      </c>
      <c r="Q3" s="69" t="s">
        <v>105</v>
      </c>
      <c r="R3" s="69" t="s">
        <v>105</v>
      </c>
      <c r="S3" s="69" t="s">
        <v>105</v>
      </c>
      <c r="T3" s="69">
        <v>64</v>
      </c>
      <c r="U3" s="69">
        <v>58</v>
      </c>
      <c r="V3" s="70" t="s">
        <v>105</v>
      </c>
      <c r="W3" s="69" t="s">
        <v>105</v>
      </c>
      <c r="X3" s="72" t="s">
        <v>191</v>
      </c>
      <c r="Y3" s="72" t="s">
        <v>191</v>
      </c>
      <c r="Z3" s="82">
        <v>40669</v>
      </c>
      <c r="AA3" s="72">
        <v>0</v>
      </c>
      <c r="AB3" s="96" t="s">
        <v>498</v>
      </c>
      <c r="AF3" s="28" t="s">
        <v>59</v>
      </c>
      <c r="AG3" s="28"/>
      <c r="AH3" s="28"/>
      <c r="AI3" s="28"/>
      <c r="AJ3" s="30"/>
    </row>
    <row r="4" spans="1:36" ht="15.75" customHeight="1" x14ac:dyDescent="0.25">
      <c r="A4">
        <v>2</v>
      </c>
      <c r="B4" s="61" t="s">
        <v>187</v>
      </c>
      <c r="C4" s="69">
        <v>22</v>
      </c>
      <c r="D4" s="71">
        <v>0</v>
      </c>
      <c r="E4" s="71">
        <v>-120</v>
      </c>
      <c r="F4" s="71">
        <v>85</v>
      </c>
      <c r="G4" s="71">
        <v>0</v>
      </c>
      <c r="H4" s="71">
        <v>-15</v>
      </c>
      <c r="I4" s="69" t="s">
        <v>105</v>
      </c>
      <c r="J4" s="69" t="s">
        <v>105</v>
      </c>
      <c r="K4" s="69" t="s">
        <v>105</v>
      </c>
      <c r="L4" s="69" t="s">
        <v>105</v>
      </c>
      <c r="M4" s="69" t="s">
        <v>105</v>
      </c>
      <c r="N4" s="69" t="s">
        <v>105</v>
      </c>
      <c r="O4" s="69" t="s">
        <v>105</v>
      </c>
      <c r="P4" s="69" t="s">
        <v>105</v>
      </c>
      <c r="Q4" s="69" t="s">
        <v>105</v>
      </c>
      <c r="R4" s="69" t="s">
        <v>105</v>
      </c>
      <c r="S4" s="69" t="s">
        <v>105</v>
      </c>
      <c r="T4" s="69">
        <v>64</v>
      </c>
      <c r="U4" s="69">
        <v>58</v>
      </c>
      <c r="V4" s="70" t="s">
        <v>105</v>
      </c>
      <c r="W4" s="69" t="s">
        <v>105</v>
      </c>
      <c r="X4" s="72" t="s">
        <v>191</v>
      </c>
      <c r="Y4" s="72" t="s">
        <v>191</v>
      </c>
      <c r="Z4" s="82" t="s">
        <v>252</v>
      </c>
      <c r="AA4" s="72" t="s">
        <v>251</v>
      </c>
      <c r="AB4" s="96" t="s">
        <v>498</v>
      </c>
      <c r="AF4" s="29" t="s">
        <v>53</v>
      </c>
      <c r="AG4" s="29"/>
      <c r="AH4" s="29"/>
      <c r="AI4" s="29"/>
      <c r="AJ4" s="30"/>
    </row>
    <row r="5" spans="1:36" x14ac:dyDescent="0.2">
      <c r="A5">
        <v>3</v>
      </c>
      <c r="B5" s="61" t="s">
        <v>222</v>
      </c>
      <c r="C5" s="69">
        <v>15</v>
      </c>
      <c r="D5" s="69">
        <v>0</v>
      </c>
      <c r="E5" s="69">
        <v>-120</v>
      </c>
      <c r="F5" s="69">
        <v>52</v>
      </c>
      <c r="G5" s="69">
        <v>0</v>
      </c>
      <c r="H5" s="69">
        <v>-13</v>
      </c>
      <c r="I5" s="69" t="s">
        <v>105</v>
      </c>
      <c r="J5" s="69" t="s">
        <v>105</v>
      </c>
      <c r="K5" s="69" t="s">
        <v>105</v>
      </c>
      <c r="L5" s="69" t="s">
        <v>105</v>
      </c>
      <c r="M5" s="69" t="s">
        <v>105</v>
      </c>
      <c r="N5" s="69" t="s">
        <v>105</v>
      </c>
      <c r="O5" s="69" t="s">
        <v>105</v>
      </c>
      <c r="P5" s="69" t="s">
        <v>105</v>
      </c>
      <c r="Q5" s="69" t="s">
        <v>105</v>
      </c>
      <c r="R5" s="69" t="s">
        <v>105</v>
      </c>
      <c r="S5" s="69" t="s">
        <v>105</v>
      </c>
      <c r="T5" s="69">
        <v>64</v>
      </c>
      <c r="U5" s="69">
        <v>58</v>
      </c>
      <c r="V5" s="70" t="s">
        <v>105</v>
      </c>
      <c r="W5" s="69" t="s">
        <v>105</v>
      </c>
      <c r="X5" s="69" t="s">
        <v>105</v>
      </c>
      <c r="Y5" s="69" t="s">
        <v>105</v>
      </c>
      <c r="Z5" s="82">
        <v>40674</v>
      </c>
      <c r="AA5" s="72">
        <v>0</v>
      </c>
      <c r="AB5" s="96" t="s">
        <v>498</v>
      </c>
      <c r="AC5" s="3"/>
      <c r="AD5" s="3"/>
    </row>
    <row r="6" spans="1:36" ht="12" customHeight="1" x14ac:dyDescent="0.2">
      <c r="A6">
        <v>4</v>
      </c>
      <c r="B6" s="61" t="s">
        <v>223</v>
      </c>
      <c r="C6" s="69" t="s">
        <v>105</v>
      </c>
      <c r="D6" s="69" t="s">
        <v>105</v>
      </c>
      <c r="E6" s="69" t="s">
        <v>105</v>
      </c>
      <c r="F6" s="69" t="s">
        <v>105</v>
      </c>
      <c r="G6" s="69" t="s">
        <v>105</v>
      </c>
      <c r="H6" s="69" t="s">
        <v>105</v>
      </c>
      <c r="I6" s="69">
        <v>21.5</v>
      </c>
      <c r="J6" s="69">
        <v>0</v>
      </c>
      <c r="K6" s="69">
        <v>-120</v>
      </c>
      <c r="L6" s="69">
        <v>25.4</v>
      </c>
      <c r="M6" s="69">
        <v>18</v>
      </c>
      <c r="N6" s="69">
        <v>0</v>
      </c>
      <c r="O6" s="69" t="s">
        <v>105</v>
      </c>
      <c r="P6" s="69" t="s">
        <v>105</v>
      </c>
      <c r="Q6" s="69" t="s">
        <v>105</v>
      </c>
      <c r="R6" s="69">
        <v>64</v>
      </c>
      <c r="S6" s="69">
        <v>58</v>
      </c>
      <c r="T6" s="69" t="s">
        <v>105</v>
      </c>
      <c r="U6" s="69" t="s">
        <v>105</v>
      </c>
      <c r="V6" s="70" t="s">
        <v>105</v>
      </c>
      <c r="W6" s="69" t="s">
        <v>105</v>
      </c>
      <c r="X6" s="69" t="s">
        <v>105</v>
      </c>
      <c r="Y6" s="69" t="s">
        <v>105</v>
      </c>
      <c r="Z6" s="82">
        <v>40662</v>
      </c>
      <c r="AA6" s="72">
        <v>0</v>
      </c>
      <c r="AB6" s="96" t="s">
        <v>498</v>
      </c>
      <c r="AC6" s="3"/>
      <c r="AD6" s="3"/>
    </row>
    <row r="7" spans="1:36" x14ac:dyDescent="0.2">
      <c r="A7">
        <v>5</v>
      </c>
      <c r="B7" s="60" t="s">
        <v>402</v>
      </c>
      <c r="C7" s="69">
        <v>15</v>
      </c>
      <c r="D7" s="69">
        <v>0</v>
      </c>
      <c r="E7" s="69">
        <v>-120</v>
      </c>
      <c r="F7" s="69">
        <v>52</v>
      </c>
      <c r="G7" s="69">
        <v>0</v>
      </c>
      <c r="H7" s="69">
        <v>-13</v>
      </c>
      <c r="I7" s="69">
        <v>21.5</v>
      </c>
      <c r="J7" s="69">
        <v>0</v>
      </c>
      <c r="K7" s="69">
        <v>-120</v>
      </c>
      <c r="L7" s="69">
        <v>25.4</v>
      </c>
      <c r="M7" s="69">
        <v>18</v>
      </c>
      <c r="N7" s="69">
        <v>0</v>
      </c>
      <c r="O7" s="69" t="s">
        <v>90</v>
      </c>
      <c r="P7" s="69">
        <v>5</v>
      </c>
      <c r="Q7" s="69">
        <v>20</v>
      </c>
      <c r="R7" s="69">
        <v>64</v>
      </c>
      <c r="S7" s="69">
        <v>58</v>
      </c>
      <c r="T7" s="69">
        <v>64</v>
      </c>
      <c r="U7" s="69">
        <v>58</v>
      </c>
      <c r="V7" s="70" t="s">
        <v>337</v>
      </c>
      <c r="W7" s="69" t="s">
        <v>145</v>
      </c>
      <c r="X7" s="72">
        <v>9.0999999999999998E-2</v>
      </c>
      <c r="Y7" s="72">
        <v>5.6000000000000001E-2</v>
      </c>
      <c r="Z7" s="82">
        <v>43397</v>
      </c>
      <c r="AA7" s="72" t="s">
        <v>264</v>
      </c>
      <c r="AB7" s="96" t="s">
        <v>498</v>
      </c>
      <c r="AC7" s="3"/>
      <c r="AD7" s="3"/>
    </row>
    <row r="8" spans="1:36" x14ac:dyDescent="0.2">
      <c r="A8">
        <v>6</v>
      </c>
      <c r="B8" s="61" t="s">
        <v>244</v>
      </c>
      <c r="C8" s="69">
        <v>15</v>
      </c>
      <c r="D8" s="69">
        <v>0</v>
      </c>
      <c r="E8" s="69">
        <v>-120</v>
      </c>
      <c r="F8" s="69">
        <v>52</v>
      </c>
      <c r="G8" s="69">
        <v>0</v>
      </c>
      <c r="H8" s="69">
        <v>-13</v>
      </c>
      <c r="I8" s="69">
        <v>21.5</v>
      </c>
      <c r="J8" s="69">
        <v>0</v>
      </c>
      <c r="K8" s="69">
        <v>-120</v>
      </c>
      <c r="L8" s="69">
        <v>25</v>
      </c>
      <c r="M8" s="69">
        <v>18</v>
      </c>
      <c r="N8" s="69">
        <v>0</v>
      </c>
      <c r="O8" s="69" t="s">
        <v>230</v>
      </c>
      <c r="P8" s="69">
        <v>20</v>
      </c>
      <c r="Q8" s="69">
        <v>5</v>
      </c>
      <c r="R8" s="69">
        <v>64</v>
      </c>
      <c r="S8" s="69">
        <v>58</v>
      </c>
      <c r="T8" s="69">
        <v>64</v>
      </c>
      <c r="U8" s="69">
        <v>58</v>
      </c>
      <c r="V8" s="69" t="s">
        <v>213</v>
      </c>
      <c r="W8" s="69" t="s">
        <v>145</v>
      </c>
      <c r="X8" s="72" t="s">
        <v>215</v>
      </c>
      <c r="Y8" s="72" t="s">
        <v>214</v>
      </c>
      <c r="Z8" s="82" t="s">
        <v>252</v>
      </c>
      <c r="AA8" s="72" t="s">
        <v>251</v>
      </c>
      <c r="AB8" s="96" t="s">
        <v>498</v>
      </c>
      <c r="AC8" s="3"/>
      <c r="AD8" s="3"/>
    </row>
    <row r="9" spans="1:36" ht="15.75" customHeight="1" x14ac:dyDescent="0.2">
      <c r="A9">
        <v>7</v>
      </c>
      <c r="B9" s="61" t="s">
        <v>243</v>
      </c>
      <c r="C9" s="69" t="s">
        <v>105</v>
      </c>
      <c r="D9" s="69" t="s">
        <v>105</v>
      </c>
      <c r="E9" s="69" t="s">
        <v>105</v>
      </c>
      <c r="F9" s="69" t="s">
        <v>105</v>
      </c>
      <c r="G9" s="69" t="s">
        <v>105</v>
      </c>
      <c r="H9" s="69" t="s">
        <v>105</v>
      </c>
      <c r="I9" s="69">
        <v>21.5</v>
      </c>
      <c r="J9" s="69">
        <v>0</v>
      </c>
      <c r="K9" s="69">
        <v>-120</v>
      </c>
      <c r="L9" s="69">
        <v>25</v>
      </c>
      <c r="M9" s="69">
        <v>18</v>
      </c>
      <c r="N9" s="69">
        <v>0</v>
      </c>
      <c r="O9" s="69" t="s">
        <v>105</v>
      </c>
      <c r="P9" s="69" t="s">
        <v>105</v>
      </c>
      <c r="Q9" s="69" t="s">
        <v>105</v>
      </c>
      <c r="R9" s="69">
        <v>64</v>
      </c>
      <c r="S9" s="69">
        <v>58</v>
      </c>
      <c r="T9" s="69" t="s">
        <v>105</v>
      </c>
      <c r="U9" s="69" t="s">
        <v>105</v>
      </c>
      <c r="V9" s="70" t="s">
        <v>105</v>
      </c>
      <c r="W9" s="69" t="s">
        <v>105</v>
      </c>
      <c r="X9" s="69" t="s">
        <v>105</v>
      </c>
      <c r="Y9" s="69" t="s">
        <v>105</v>
      </c>
      <c r="Z9" s="82">
        <v>40662</v>
      </c>
      <c r="AA9" s="72">
        <v>0</v>
      </c>
      <c r="AB9" s="96" t="s">
        <v>498</v>
      </c>
      <c r="AC9" s="3"/>
      <c r="AD9" s="3"/>
    </row>
    <row r="10" spans="1:36" ht="15.75" customHeight="1" x14ac:dyDescent="0.2">
      <c r="A10">
        <v>8</v>
      </c>
      <c r="B10" s="61" t="s">
        <v>98</v>
      </c>
      <c r="C10" s="69">
        <v>18</v>
      </c>
      <c r="D10" s="69">
        <v>0</v>
      </c>
      <c r="E10" s="69">
        <v>-120</v>
      </c>
      <c r="F10" s="69">
        <v>62</v>
      </c>
      <c r="G10" s="69">
        <v>0</v>
      </c>
      <c r="H10" s="69">
        <v>-15</v>
      </c>
      <c r="I10" s="69">
        <v>23.82</v>
      </c>
      <c r="J10" s="69">
        <v>0</v>
      </c>
      <c r="K10" s="69">
        <v>-120</v>
      </c>
      <c r="L10" s="69">
        <v>30.16</v>
      </c>
      <c r="M10" s="69">
        <v>20</v>
      </c>
      <c r="N10" s="69">
        <v>0</v>
      </c>
      <c r="O10" s="69" t="s">
        <v>90</v>
      </c>
      <c r="P10" s="69">
        <v>5</v>
      </c>
      <c r="Q10" s="69">
        <v>20</v>
      </c>
      <c r="R10" s="69">
        <v>58</v>
      </c>
      <c r="S10" s="69">
        <v>62</v>
      </c>
      <c r="T10" s="69">
        <v>58</v>
      </c>
      <c r="U10" s="69">
        <v>62</v>
      </c>
      <c r="V10" s="70" t="s">
        <v>160</v>
      </c>
      <c r="W10" s="69" t="s">
        <v>145</v>
      </c>
      <c r="X10" s="72"/>
      <c r="Y10" s="72"/>
      <c r="Z10" s="82" t="s">
        <v>252</v>
      </c>
      <c r="AA10" s="72" t="s">
        <v>251</v>
      </c>
      <c r="AB10" s="96" t="s">
        <v>498</v>
      </c>
      <c r="AC10" s="3"/>
      <c r="AD10" s="3"/>
    </row>
    <row r="11" spans="1:36" x14ac:dyDescent="0.2">
      <c r="A11">
        <v>9</v>
      </c>
      <c r="B11" s="61" t="s">
        <v>201</v>
      </c>
      <c r="C11" s="69" t="s">
        <v>105</v>
      </c>
      <c r="D11" s="69" t="s">
        <v>105</v>
      </c>
      <c r="E11" s="69" t="s">
        <v>105</v>
      </c>
      <c r="F11" s="69" t="s">
        <v>105</v>
      </c>
      <c r="G11" s="69" t="s">
        <v>105</v>
      </c>
      <c r="H11" s="69" t="s">
        <v>105</v>
      </c>
      <c r="I11" s="69">
        <v>23.82</v>
      </c>
      <c r="J11" s="69">
        <v>0</v>
      </c>
      <c r="K11" s="69">
        <v>-120</v>
      </c>
      <c r="L11" s="69">
        <v>31.75</v>
      </c>
      <c r="M11" s="69">
        <v>18</v>
      </c>
      <c r="N11" s="69">
        <v>0</v>
      </c>
      <c r="O11" s="69" t="s">
        <v>105</v>
      </c>
      <c r="P11" s="69" t="s">
        <v>105</v>
      </c>
      <c r="Q11" s="69" t="s">
        <v>105</v>
      </c>
      <c r="R11" s="69">
        <v>64</v>
      </c>
      <c r="S11" s="69">
        <v>58</v>
      </c>
      <c r="T11" s="69" t="s">
        <v>105</v>
      </c>
      <c r="U11" s="69" t="s">
        <v>105</v>
      </c>
      <c r="V11" s="70" t="s">
        <v>105</v>
      </c>
      <c r="W11" s="69" t="s">
        <v>105</v>
      </c>
      <c r="X11" s="69" t="s">
        <v>105</v>
      </c>
      <c r="Y11" s="69" t="s">
        <v>105</v>
      </c>
      <c r="Z11" s="82" t="s">
        <v>252</v>
      </c>
      <c r="AA11" s="72" t="s">
        <v>251</v>
      </c>
      <c r="AB11" s="96" t="s">
        <v>498</v>
      </c>
      <c r="AC11" s="3"/>
      <c r="AD11" s="3"/>
    </row>
    <row r="12" spans="1:36" x14ac:dyDescent="0.2">
      <c r="A12">
        <v>10</v>
      </c>
      <c r="B12" s="61" t="s">
        <v>207</v>
      </c>
      <c r="C12" s="69">
        <v>18</v>
      </c>
      <c r="D12" s="69">
        <v>0</v>
      </c>
      <c r="E12" s="69">
        <v>-120</v>
      </c>
      <c r="F12" s="69">
        <v>62</v>
      </c>
      <c r="G12" s="69">
        <v>0</v>
      </c>
      <c r="H12" s="69">
        <v>-15</v>
      </c>
      <c r="I12" s="69">
        <v>23.82</v>
      </c>
      <c r="J12" s="69">
        <v>0</v>
      </c>
      <c r="K12" s="69">
        <v>-120</v>
      </c>
      <c r="L12" s="69">
        <v>31.75</v>
      </c>
      <c r="M12" s="69">
        <v>18</v>
      </c>
      <c r="N12" s="69">
        <v>0</v>
      </c>
      <c r="O12" s="69" t="s">
        <v>90</v>
      </c>
      <c r="P12" s="69">
        <v>6</v>
      </c>
      <c r="Q12" s="69">
        <v>20</v>
      </c>
      <c r="R12" s="69">
        <v>64</v>
      </c>
      <c r="S12" s="69">
        <v>58</v>
      </c>
      <c r="T12" s="69">
        <v>64</v>
      </c>
      <c r="U12" s="69">
        <v>58</v>
      </c>
      <c r="V12" s="70" t="s">
        <v>151</v>
      </c>
      <c r="W12" s="69" t="s">
        <v>145</v>
      </c>
      <c r="X12" s="69" t="s">
        <v>208</v>
      </c>
      <c r="Y12" s="69" t="s">
        <v>209</v>
      </c>
      <c r="Z12" s="82" t="s">
        <v>252</v>
      </c>
      <c r="AA12" s="72" t="s">
        <v>251</v>
      </c>
      <c r="AB12" s="96" t="s">
        <v>498</v>
      </c>
      <c r="AC12" s="3"/>
      <c r="AD12" s="3"/>
    </row>
    <row r="13" spans="1:36" x14ac:dyDescent="0.2">
      <c r="A13">
        <v>11</v>
      </c>
      <c r="B13" s="60" t="s">
        <v>269</v>
      </c>
      <c r="C13" s="69">
        <v>18</v>
      </c>
      <c r="D13" s="69">
        <v>0</v>
      </c>
      <c r="E13" s="69">
        <v>-120</v>
      </c>
      <c r="F13" s="69">
        <v>62</v>
      </c>
      <c r="G13" s="69">
        <v>0</v>
      </c>
      <c r="H13" s="69">
        <v>-15</v>
      </c>
      <c r="I13" s="69">
        <v>23.82</v>
      </c>
      <c r="J13" s="69">
        <v>0</v>
      </c>
      <c r="K13" s="69">
        <v>-120</v>
      </c>
      <c r="L13" s="69">
        <v>30</v>
      </c>
      <c r="M13" s="69">
        <v>18</v>
      </c>
      <c r="N13" s="69">
        <v>0</v>
      </c>
      <c r="O13" s="69" t="s">
        <v>270</v>
      </c>
      <c r="P13" s="69">
        <v>20</v>
      </c>
      <c r="Q13" s="69">
        <v>5</v>
      </c>
      <c r="R13" s="69">
        <v>64</v>
      </c>
      <c r="S13" s="69">
        <v>58</v>
      </c>
      <c r="T13" s="69">
        <v>64</v>
      </c>
      <c r="U13" s="69">
        <v>58</v>
      </c>
      <c r="V13" s="70" t="s">
        <v>154</v>
      </c>
      <c r="W13" s="69" t="s">
        <v>145</v>
      </c>
      <c r="X13" s="72" t="s">
        <v>215</v>
      </c>
      <c r="Y13" s="72" t="s">
        <v>214</v>
      </c>
      <c r="Z13" s="82">
        <v>41703</v>
      </c>
      <c r="AA13" s="72">
        <v>0</v>
      </c>
      <c r="AB13" s="96" t="s">
        <v>498</v>
      </c>
      <c r="AC13" s="3"/>
      <c r="AD13" s="3"/>
    </row>
    <row r="14" spans="1:36" x14ac:dyDescent="0.2">
      <c r="A14">
        <v>12</v>
      </c>
      <c r="B14" s="61" t="s">
        <v>349</v>
      </c>
      <c r="C14" s="69">
        <v>18</v>
      </c>
      <c r="D14" s="69">
        <v>0</v>
      </c>
      <c r="E14" s="69">
        <v>-120</v>
      </c>
      <c r="F14" s="69">
        <v>62</v>
      </c>
      <c r="G14" s="69">
        <v>0</v>
      </c>
      <c r="H14" s="69">
        <v>-13</v>
      </c>
      <c r="I14" s="69">
        <v>23.82</v>
      </c>
      <c r="J14" s="69">
        <v>0</v>
      </c>
      <c r="K14" s="69">
        <v>-120</v>
      </c>
      <c r="L14" s="69">
        <v>30</v>
      </c>
      <c r="M14" s="69">
        <v>18</v>
      </c>
      <c r="N14" s="69">
        <v>0</v>
      </c>
      <c r="O14" s="69" t="s">
        <v>90</v>
      </c>
      <c r="P14" s="69">
        <v>6</v>
      </c>
      <c r="Q14" s="69">
        <v>20</v>
      </c>
      <c r="R14" s="69">
        <v>64</v>
      </c>
      <c r="S14" s="69">
        <v>58</v>
      </c>
      <c r="T14" s="69">
        <v>64</v>
      </c>
      <c r="U14" s="69">
        <v>58</v>
      </c>
      <c r="V14" s="70" t="s">
        <v>332</v>
      </c>
      <c r="W14" s="69" t="s">
        <v>145</v>
      </c>
      <c r="X14" s="72">
        <v>9.0999999999999998E-2</v>
      </c>
      <c r="Y14" s="72">
        <v>5.6000000000000001E-2</v>
      </c>
      <c r="Z14" s="82">
        <v>42993</v>
      </c>
      <c r="AA14" s="72" t="s">
        <v>57</v>
      </c>
      <c r="AB14" s="96" t="s">
        <v>498</v>
      </c>
      <c r="AC14" s="3"/>
      <c r="AD14" s="3"/>
    </row>
    <row r="15" spans="1:36" x14ac:dyDescent="0.2">
      <c r="A15">
        <v>13</v>
      </c>
      <c r="B15" s="61" t="s">
        <v>218</v>
      </c>
      <c r="C15" s="69">
        <v>19</v>
      </c>
      <c r="D15" s="69">
        <v>0</v>
      </c>
      <c r="E15" s="69">
        <v>-120</v>
      </c>
      <c r="F15" s="69">
        <v>72</v>
      </c>
      <c r="G15" s="69">
        <v>0</v>
      </c>
      <c r="H15" s="69">
        <v>-15</v>
      </c>
      <c r="I15" s="85" t="s">
        <v>105</v>
      </c>
      <c r="J15" s="85" t="s">
        <v>105</v>
      </c>
      <c r="K15" s="85" t="s">
        <v>105</v>
      </c>
      <c r="L15" s="72" t="s">
        <v>105</v>
      </c>
      <c r="M15" s="72" t="s">
        <v>105</v>
      </c>
      <c r="N15" s="72" t="s">
        <v>105</v>
      </c>
      <c r="O15" s="72" t="s">
        <v>105</v>
      </c>
      <c r="P15" s="72" t="s">
        <v>105</v>
      </c>
      <c r="Q15" s="72" t="s">
        <v>105</v>
      </c>
      <c r="R15" s="72" t="s">
        <v>105</v>
      </c>
      <c r="S15" s="72" t="s">
        <v>105</v>
      </c>
      <c r="T15" s="69">
        <v>64</v>
      </c>
      <c r="U15" s="69">
        <v>58</v>
      </c>
      <c r="V15" s="77" t="s">
        <v>105</v>
      </c>
      <c r="W15" s="72" t="s">
        <v>105</v>
      </c>
      <c r="X15" s="72" t="s">
        <v>105</v>
      </c>
      <c r="Y15" s="72" t="s">
        <v>105</v>
      </c>
      <c r="Z15" s="82" t="s">
        <v>252</v>
      </c>
      <c r="AA15" s="72" t="s">
        <v>251</v>
      </c>
      <c r="AB15" s="96" t="s">
        <v>498</v>
      </c>
      <c r="AC15" s="3"/>
      <c r="AD15" s="3"/>
    </row>
    <row r="16" spans="1:36" x14ac:dyDescent="0.2">
      <c r="A16">
        <v>14</v>
      </c>
      <c r="B16" s="61" t="s">
        <v>219</v>
      </c>
      <c r="C16" s="72" t="s">
        <v>105</v>
      </c>
      <c r="D16" s="72" t="s">
        <v>105</v>
      </c>
      <c r="E16" s="72" t="s">
        <v>105</v>
      </c>
      <c r="F16" s="72" t="s">
        <v>105</v>
      </c>
      <c r="G16" s="72" t="s">
        <v>105</v>
      </c>
      <c r="H16" s="72" t="s">
        <v>105</v>
      </c>
      <c r="I16" s="69">
        <v>25.4</v>
      </c>
      <c r="J16" s="69">
        <v>0</v>
      </c>
      <c r="K16" s="69">
        <v>-120</v>
      </c>
      <c r="L16" s="69">
        <v>34.924999999999997</v>
      </c>
      <c r="M16" s="69">
        <v>21</v>
      </c>
      <c r="N16" s="69">
        <v>0</v>
      </c>
      <c r="O16" s="72" t="s">
        <v>105</v>
      </c>
      <c r="P16" s="72" t="s">
        <v>105</v>
      </c>
      <c r="Q16" s="72" t="s">
        <v>105</v>
      </c>
      <c r="R16" s="69">
        <v>64</v>
      </c>
      <c r="S16" s="69">
        <v>58</v>
      </c>
      <c r="T16" s="72" t="s">
        <v>105</v>
      </c>
      <c r="U16" s="72" t="s">
        <v>105</v>
      </c>
      <c r="V16" s="77" t="s">
        <v>105</v>
      </c>
      <c r="W16" s="72" t="s">
        <v>105</v>
      </c>
      <c r="X16" s="72" t="s">
        <v>105</v>
      </c>
      <c r="Y16" s="72" t="s">
        <v>105</v>
      </c>
      <c r="Z16" s="82" t="s">
        <v>252</v>
      </c>
      <c r="AA16" s="72" t="s">
        <v>251</v>
      </c>
      <c r="AB16" s="96" t="s">
        <v>498</v>
      </c>
      <c r="AC16" s="3"/>
      <c r="AD16" s="3"/>
    </row>
    <row r="17" spans="1:30" x14ac:dyDescent="0.2">
      <c r="A17">
        <v>15</v>
      </c>
      <c r="B17" s="61" t="s">
        <v>162</v>
      </c>
      <c r="C17" s="69">
        <v>19</v>
      </c>
      <c r="D17" s="69">
        <v>0</v>
      </c>
      <c r="E17" s="69">
        <v>-120</v>
      </c>
      <c r="F17" s="69">
        <v>72</v>
      </c>
      <c r="G17" s="69">
        <v>0</v>
      </c>
      <c r="H17" s="69">
        <v>-15</v>
      </c>
      <c r="I17" s="69">
        <v>25.4</v>
      </c>
      <c r="J17" s="69">
        <v>0</v>
      </c>
      <c r="K17" s="69">
        <v>-120</v>
      </c>
      <c r="L17" s="69">
        <v>36.51</v>
      </c>
      <c r="M17" s="69">
        <v>21</v>
      </c>
      <c r="N17" s="69">
        <v>0</v>
      </c>
      <c r="O17" s="69" t="s">
        <v>90</v>
      </c>
      <c r="P17" s="69">
        <v>22</v>
      </c>
      <c r="Q17" s="69">
        <v>10</v>
      </c>
      <c r="R17" s="69">
        <v>64</v>
      </c>
      <c r="S17" s="69">
        <v>58</v>
      </c>
      <c r="T17" s="69">
        <v>64</v>
      </c>
      <c r="U17" s="69">
        <v>58</v>
      </c>
      <c r="V17" s="70" t="s">
        <v>163</v>
      </c>
      <c r="W17" s="69" t="s">
        <v>145</v>
      </c>
      <c r="X17" s="72">
        <v>9.0999999999999998E-2</v>
      </c>
      <c r="Y17" s="72">
        <v>5.6000000000000001E-2</v>
      </c>
      <c r="Z17" s="82" t="s">
        <v>252</v>
      </c>
      <c r="AA17" s="72" t="s">
        <v>251</v>
      </c>
      <c r="AB17" s="96" t="s">
        <v>498</v>
      </c>
      <c r="AC17" s="3"/>
      <c r="AD17" s="3"/>
    </row>
    <row r="18" spans="1:30" x14ac:dyDescent="0.2">
      <c r="A18">
        <v>16</v>
      </c>
      <c r="B18" s="61" t="s">
        <v>228</v>
      </c>
      <c r="C18" s="72" t="s">
        <v>105</v>
      </c>
      <c r="D18" s="72" t="s">
        <v>105</v>
      </c>
      <c r="E18" s="72" t="s">
        <v>105</v>
      </c>
      <c r="F18" s="72" t="s">
        <v>105</v>
      </c>
      <c r="G18" s="72" t="s">
        <v>105</v>
      </c>
      <c r="H18" s="72" t="s">
        <v>105</v>
      </c>
      <c r="I18" s="69">
        <v>25.4</v>
      </c>
      <c r="J18" s="69">
        <v>0</v>
      </c>
      <c r="K18" s="69">
        <v>-120</v>
      </c>
      <c r="L18" s="69">
        <v>36.512</v>
      </c>
      <c r="M18" s="69">
        <v>21</v>
      </c>
      <c r="N18" s="69">
        <v>0</v>
      </c>
      <c r="O18" s="72" t="s">
        <v>105</v>
      </c>
      <c r="P18" s="72" t="s">
        <v>105</v>
      </c>
      <c r="Q18" s="72" t="s">
        <v>105</v>
      </c>
      <c r="R18" s="69">
        <v>64</v>
      </c>
      <c r="S18" s="69">
        <v>58</v>
      </c>
      <c r="T18" s="72" t="s">
        <v>105</v>
      </c>
      <c r="U18" s="72" t="s">
        <v>105</v>
      </c>
      <c r="V18" s="77" t="s">
        <v>105</v>
      </c>
      <c r="W18" s="72" t="s">
        <v>105</v>
      </c>
      <c r="X18" s="72" t="s">
        <v>105</v>
      </c>
      <c r="Y18" s="72" t="s">
        <v>105</v>
      </c>
      <c r="Z18" s="82" t="s">
        <v>252</v>
      </c>
      <c r="AA18" s="72" t="s">
        <v>251</v>
      </c>
      <c r="AB18" s="96" t="s">
        <v>498</v>
      </c>
      <c r="AC18" s="3"/>
      <c r="AD18" s="3"/>
    </row>
    <row r="19" spans="1:30" x14ac:dyDescent="0.2">
      <c r="A19">
        <v>17</v>
      </c>
      <c r="B19" s="61" t="s">
        <v>401</v>
      </c>
      <c r="C19" s="69">
        <v>19</v>
      </c>
      <c r="D19" s="69">
        <v>0</v>
      </c>
      <c r="E19" s="69">
        <v>-120</v>
      </c>
      <c r="F19" s="69">
        <v>72</v>
      </c>
      <c r="G19" s="69">
        <v>0</v>
      </c>
      <c r="H19" s="69">
        <v>-15</v>
      </c>
      <c r="I19" s="69">
        <v>25.4</v>
      </c>
      <c r="J19" s="69">
        <v>0</v>
      </c>
      <c r="K19" s="69">
        <v>-120</v>
      </c>
      <c r="L19" s="69">
        <v>36.512</v>
      </c>
      <c r="M19" s="69">
        <v>21</v>
      </c>
      <c r="N19" s="69">
        <v>0</v>
      </c>
      <c r="O19" s="69" t="s">
        <v>90</v>
      </c>
      <c r="P19" s="69">
        <v>6</v>
      </c>
      <c r="Q19" s="69">
        <v>20</v>
      </c>
      <c r="R19" s="69">
        <v>64</v>
      </c>
      <c r="S19" s="69">
        <v>58</v>
      </c>
      <c r="T19" s="69">
        <v>64</v>
      </c>
      <c r="U19" s="69">
        <v>58</v>
      </c>
      <c r="V19" s="70" t="s">
        <v>326</v>
      </c>
      <c r="W19" s="69" t="s">
        <v>145</v>
      </c>
      <c r="X19" s="72">
        <v>9.0999999999999998E-2</v>
      </c>
      <c r="Y19" s="72">
        <v>5.6000000000000001E-2</v>
      </c>
      <c r="Z19" s="82">
        <v>42993</v>
      </c>
      <c r="AA19" s="72" t="s">
        <v>264</v>
      </c>
      <c r="AB19" s="96" t="s">
        <v>498</v>
      </c>
      <c r="AC19" s="3"/>
      <c r="AD19" s="3"/>
    </row>
    <row r="20" spans="1:30" x14ac:dyDescent="0.2">
      <c r="A20">
        <v>18</v>
      </c>
      <c r="B20" s="61" t="s">
        <v>171</v>
      </c>
      <c r="C20" s="69">
        <v>19</v>
      </c>
      <c r="D20" s="69">
        <v>0</v>
      </c>
      <c r="E20" s="69">
        <v>-120</v>
      </c>
      <c r="F20" s="69">
        <v>72</v>
      </c>
      <c r="G20" s="69">
        <v>0</v>
      </c>
      <c r="H20" s="69">
        <v>-15</v>
      </c>
      <c r="I20" s="69">
        <v>25.4</v>
      </c>
      <c r="J20" s="69">
        <v>0</v>
      </c>
      <c r="K20" s="69">
        <v>-120</v>
      </c>
      <c r="L20" s="69">
        <v>35</v>
      </c>
      <c r="M20" s="69">
        <v>21</v>
      </c>
      <c r="N20" s="69">
        <v>0</v>
      </c>
      <c r="O20" s="69" t="s">
        <v>90</v>
      </c>
      <c r="P20" s="69">
        <v>6</v>
      </c>
      <c r="Q20" s="69">
        <v>20</v>
      </c>
      <c r="R20" s="69">
        <v>64</v>
      </c>
      <c r="S20" s="69">
        <v>58</v>
      </c>
      <c r="T20" s="69">
        <v>64</v>
      </c>
      <c r="U20" s="69">
        <v>58</v>
      </c>
      <c r="V20" s="70" t="s">
        <v>172</v>
      </c>
      <c r="W20" s="69" t="s">
        <v>145</v>
      </c>
      <c r="X20" s="72">
        <v>9.0999999999999998E-2</v>
      </c>
      <c r="Y20" s="72">
        <v>5.6000000000000001E-2</v>
      </c>
      <c r="Z20" s="82" t="s">
        <v>252</v>
      </c>
      <c r="AA20" s="72" t="s">
        <v>251</v>
      </c>
      <c r="AB20" s="96" t="s">
        <v>498</v>
      </c>
      <c r="AC20" s="3"/>
      <c r="AD20" s="3"/>
    </row>
    <row r="21" spans="1:30" x14ac:dyDescent="0.2">
      <c r="A21">
        <v>19</v>
      </c>
      <c r="B21" s="61" t="s">
        <v>233</v>
      </c>
      <c r="C21" s="69">
        <v>19</v>
      </c>
      <c r="D21" s="69">
        <v>0</v>
      </c>
      <c r="E21" s="69">
        <v>-120</v>
      </c>
      <c r="F21" s="69">
        <v>72</v>
      </c>
      <c r="G21" s="69">
        <v>0</v>
      </c>
      <c r="H21" s="69">
        <v>-15</v>
      </c>
      <c r="I21" s="85" t="s">
        <v>105</v>
      </c>
      <c r="J21" s="85" t="s">
        <v>105</v>
      </c>
      <c r="K21" s="85" t="s">
        <v>105</v>
      </c>
      <c r="L21" s="72" t="s">
        <v>105</v>
      </c>
      <c r="M21" s="72" t="s">
        <v>105</v>
      </c>
      <c r="N21" s="72" t="s">
        <v>105</v>
      </c>
      <c r="O21" s="72" t="s">
        <v>105</v>
      </c>
      <c r="P21" s="72" t="s">
        <v>105</v>
      </c>
      <c r="Q21" s="72" t="s">
        <v>105</v>
      </c>
      <c r="R21" s="72" t="s">
        <v>105</v>
      </c>
      <c r="S21" s="72" t="s">
        <v>105</v>
      </c>
      <c r="T21" s="69">
        <v>64</v>
      </c>
      <c r="U21" s="69">
        <v>58</v>
      </c>
      <c r="V21" s="77" t="s">
        <v>105</v>
      </c>
      <c r="W21" s="72" t="s">
        <v>105</v>
      </c>
      <c r="X21" s="72" t="s">
        <v>105</v>
      </c>
      <c r="Y21" s="72" t="s">
        <v>105</v>
      </c>
      <c r="Z21" s="82" t="s">
        <v>252</v>
      </c>
      <c r="AA21" s="72" t="s">
        <v>251</v>
      </c>
      <c r="AB21" s="96" t="s">
        <v>498</v>
      </c>
      <c r="AC21" s="3"/>
      <c r="AD21" s="3"/>
    </row>
    <row r="22" spans="1:30" x14ac:dyDescent="0.2">
      <c r="A22">
        <v>20</v>
      </c>
      <c r="B22" s="61" t="s">
        <v>234</v>
      </c>
      <c r="C22" s="72" t="s">
        <v>105</v>
      </c>
      <c r="D22" s="72" t="s">
        <v>105</v>
      </c>
      <c r="E22" s="72" t="s">
        <v>105</v>
      </c>
      <c r="F22" s="72" t="s">
        <v>105</v>
      </c>
      <c r="G22" s="72" t="s">
        <v>105</v>
      </c>
      <c r="H22" s="72" t="s">
        <v>105</v>
      </c>
      <c r="I22" s="69">
        <v>25.4</v>
      </c>
      <c r="J22" s="69">
        <v>0</v>
      </c>
      <c r="K22" s="69">
        <v>-120</v>
      </c>
      <c r="L22" s="69">
        <v>35</v>
      </c>
      <c r="M22" s="69">
        <v>21</v>
      </c>
      <c r="N22" s="69">
        <v>0</v>
      </c>
      <c r="O22" s="72" t="s">
        <v>105</v>
      </c>
      <c r="P22" s="72" t="s">
        <v>105</v>
      </c>
      <c r="Q22" s="72" t="s">
        <v>105</v>
      </c>
      <c r="R22" s="69">
        <v>64</v>
      </c>
      <c r="S22" s="69">
        <v>58</v>
      </c>
      <c r="T22" s="72" t="s">
        <v>105</v>
      </c>
      <c r="U22" s="72" t="s">
        <v>105</v>
      </c>
      <c r="V22" s="77" t="s">
        <v>105</v>
      </c>
      <c r="W22" s="72" t="s">
        <v>105</v>
      </c>
      <c r="X22" s="72" t="s">
        <v>105</v>
      </c>
      <c r="Y22" s="72" t="s">
        <v>105</v>
      </c>
      <c r="Z22" s="82">
        <v>42649</v>
      </c>
      <c r="AA22" s="72">
        <v>0</v>
      </c>
      <c r="AB22" s="96" t="s">
        <v>498</v>
      </c>
      <c r="AC22" s="3"/>
      <c r="AD22" s="3"/>
    </row>
    <row r="23" spans="1:30" x14ac:dyDescent="0.2">
      <c r="A23">
        <v>21</v>
      </c>
      <c r="B23" s="61" t="s">
        <v>203</v>
      </c>
      <c r="C23" s="69" t="s">
        <v>105</v>
      </c>
      <c r="D23" s="69" t="s">
        <v>105</v>
      </c>
      <c r="E23" s="69" t="s">
        <v>105</v>
      </c>
      <c r="F23" s="69" t="s">
        <v>105</v>
      </c>
      <c r="G23" s="69" t="s">
        <v>105</v>
      </c>
      <c r="H23" s="69" t="s">
        <v>105</v>
      </c>
      <c r="I23" s="69">
        <v>25.55</v>
      </c>
      <c r="J23" s="69">
        <v>100</v>
      </c>
      <c r="K23" s="69">
        <v>-20</v>
      </c>
      <c r="L23" s="69">
        <v>34.85</v>
      </c>
      <c r="M23" s="69">
        <v>0</v>
      </c>
      <c r="N23" s="69">
        <v>-160</v>
      </c>
      <c r="O23" s="69" t="s">
        <v>105</v>
      </c>
      <c r="P23" s="69" t="s">
        <v>105</v>
      </c>
      <c r="Q23" s="69" t="s">
        <v>105</v>
      </c>
      <c r="R23" s="69">
        <v>64</v>
      </c>
      <c r="S23" s="69">
        <v>58</v>
      </c>
      <c r="T23" s="69" t="s">
        <v>105</v>
      </c>
      <c r="U23" s="69" t="s">
        <v>105</v>
      </c>
      <c r="V23" s="70" t="s">
        <v>105</v>
      </c>
      <c r="W23" s="69" t="s">
        <v>105</v>
      </c>
      <c r="X23" s="69" t="s">
        <v>105</v>
      </c>
      <c r="Y23" s="69" t="s">
        <v>105</v>
      </c>
      <c r="Z23" s="82" t="s">
        <v>252</v>
      </c>
      <c r="AA23" s="72" t="s">
        <v>251</v>
      </c>
      <c r="AB23" s="96" t="s">
        <v>498</v>
      </c>
      <c r="AC23" s="3"/>
      <c r="AD23" s="3"/>
    </row>
    <row r="24" spans="1:30" x14ac:dyDescent="0.2">
      <c r="A24">
        <v>22</v>
      </c>
      <c r="B24" s="61" t="s">
        <v>146</v>
      </c>
      <c r="C24" s="69">
        <v>19</v>
      </c>
      <c r="D24" s="69">
        <v>0</v>
      </c>
      <c r="E24" s="69">
        <v>-120</v>
      </c>
      <c r="F24" s="69">
        <v>72</v>
      </c>
      <c r="G24" s="69">
        <v>0</v>
      </c>
      <c r="H24" s="69">
        <v>-15</v>
      </c>
      <c r="I24" s="69">
        <v>25.4</v>
      </c>
      <c r="J24" s="69">
        <v>0</v>
      </c>
      <c r="K24" s="69">
        <v>-120</v>
      </c>
      <c r="L24" s="69">
        <v>35</v>
      </c>
      <c r="M24" s="69">
        <v>20</v>
      </c>
      <c r="N24" s="69">
        <v>0</v>
      </c>
      <c r="O24" s="69" t="s">
        <v>90</v>
      </c>
      <c r="P24" s="69" t="s">
        <v>105</v>
      </c>
      <c r="Q24" s="69" t="s">
        <v>105</v>
      </c>
      <c r="R24" s="69">
        <v>64</v>
      </c>
      <c r="S24" s="69">
        <v>58</v>
      </c>
      <c r="T24" s="69">
        <v>64</v>
      </c>
      <c r="U24" s="69">
        <v>58</v>
      </c>
      <c r="V24" s="70" t="s">
        <v>149</v>
      </c>
      <c r="W24" s="69" t="s">
        <v>145</v>
      </c>
      <c r="X24" s="72" t="s">
        <v>191</v>
      </c>
      <c r="Y24" s="72" t="s">
        <v>191</v>
      </c>
      <c r="Z24" s="82" t="s">
        <v>252</v>
      </c>
      <c r="AA24" s="72" t="s">
        <v>251</v>
      </c>
      <c r="AB24" s="96" t="s">
        <v>498</v>
      </c>
      <c r="AC24" s="3"/>
      <c r="AD24" s="3"/>
    </row>
    <row r="25" spans="1:30" x14ac:dyDescent="0.2">
      <c r="A25">
        <v>23</v>
      </c>
      <c r="B25" s="61" t="s">
        <v>95</v>
      </c>
      <c r="C25" s="69">
        <v>17</v>
      </c>
      <c r="D25" s="69">
        <v>0</v>
      </c>
      <c r="E25" s="69">
        <v>-120</v>
      </c>
      <c r="F25" s="69">
        <v>72</v>
      </c>
      <c r="G25" s="69">
        <v>0</v>
      </c>
      <c r="H25" s="69">
        <v>-15</v>
      </c>
      <c r="I25" s="69">
        <v>25.4</v>
      </c>
      <c r="J25" s="69">
        <v>0</v>
      </c>
      <c r="K25" s="69">
        <v>-120</v>
      </c>
      <c r="L25" s="69">
        <v>35</v>
      </c>
      <c r="M25" s="69">
        <v>20</v>
      </c>
      <c r="N25" s="69">
        <v>0</v>
      </c>
      <c r="O25" s="69" t="s">
        <v>85</v>
      </c>
      <c r="P25" s="69">
        <v>15</v>
      </c>
      <c r="Q25" s="69">
        <v>33</v>
      </c>
      <c r="R25" s="69"/>
      <c r="S25" s="69"/>
      <c r="T25" s="69"/>
      <c r="U25" s="69"/>
      <c r="V25" s="70"/>
      <c r="W25" s="69"/>
      <c r="X25" s="72" t="s">
        <v>191</v>
      </c>
      <c r="Y25" s="72" t="s">
        <v>191</v>
      </c>
      <c r="Z25" s="82" t="s">
        <v>252</v>
      </c>
      <c r="AA25" s="72" t="s">
        <v>251</v>
      </c>
      <c r="AB25" s="96" t="s">
        <v>498</v>
      </c>
      <c r="AC25" s="3"/>
      <c r="AD25" s="3"/>
    </row>
    <row r="26" spans="1:30" x14ac:dyDescent="0.2">
      <c r="A26">
        <v>24</v>
      </c>
      <c r="B26" s="61" t="s">
        <v>147</v>
      </c>
      <c r="C26" s="69">
        <v>22</v>
      </c>
      <c r="D26" s="69">
        <v>0</v>
      </c>
      <c r="E26" s="69">
        <v>-120</v>
      </c>
      <c r="F26" s="69">
        <v>80</v>
      </c>
      <c r="G26" s="69">
        <v>0</v>
      </c>
      <c r="H26" s="69">
        <v>-13</v>
      </c>
      <c r="I26" s="69">
        <v>30.18</v>
      </c>
      <c r="J26" s="69">
        <v>0</v>
      </c>
      <c r="K26" s="69">
        <v>-120</v>
      </c>
      <c r="L26" s="69">
        <v>40</v>
      </c>
      <c r="M26" s="69">
        <v>21</v>
      </c>
      <c r="N26" s="69">
        <v>0</v>
      </c>
      <c r="O26" s="69" t="s">
        <v>90</v>
      </c>
      <c r="P26" s="69">
        <v>6</v>
      </c>
      <c r="Q26" s="69">
        <v>20</v>
      </c>
      <c r="R26" s="69">
        <v>64</v>
      </c>
      <c r="S26" s="69">
        <v>58</v>
      </c>
      <c r="T26" s="69">
        <v>64</v>
      </c>
      <c r="U26" s="69">
        <v>58</v>
      </c>
      <c r="V26" s="70" t="s">
        <v>148</v>
      </c>
      <c r="W26" s="69" t="s">
        <v>145</v>
      </c>
      <c r="X26" s="72" t="s">
        <v>191</v>
      </c>
      <c r="Y26" s="72" t="s">
        <v>191</v>
      </c>
      <c r="Z26" s="82" t="s">
        <v>252</v>
      </c>
      <c r="AA26" s="72" t="s">
        <v>251</v>
      </c>
      <c r="AB26" s="96" t="s">
        <v>498</v>
      </c>
      <c r="AC26" s="3"/>
      <c r="AD26" s="3"/>
    </row>
    <row r="27" spans="1:30" x14ac:dyDescent="0.2">
      <c r="A27">
        <v>25</v>
      </c>
      <c r="B27" s="61" t="s">
        <v>183</v>
      </c>
      <c r="C27" s="69">
        <v>22</v>
      </c>
      <c r="D27" s="69">
        <v>0</v>
      </c>
      <c r="E27" s="69">
        <v>-120</v>
      </c>
      <c r="F27" s="69">
        <v>85</v>
      </c>
      <c r="G27" s="69">
        <v>0</v>
      </c>
      <c r="H27" s="69">
        <v>-15</v>
      </c>
      <c r="I27" s="69">
        <v>30.18</v>
      </c>
      <c r="J27" s="69">
        <v>0</v>
      </c>
      <c r="K27" s="69">
        <v>-120</v>
      </c>
      <c r="L27" s="69">
        <v>45</v>
      </c>
      <c r="M27" s="69">
        <v>21</v>
      </c>
      <c r="N27" s="69">
        <v>0</v>
      </c>
      <c r="O27" s="69" t="s">
        <v>184</v>
      </c>
      <c r="P27" s="69">
        <v>23</v>
      </c>
      <c r="Q27" s="69">
        <v>6</v>
      </c>
      <c r="R27" s="69">
        <v>64</v>
      </c>
      <c r="S27" s="69">
        <v>58</v>
      </c>
      <c r="T27" s="69">
        <v>64</v>
      </c>
      <c r="U27" s="69">
        <v>58</v>
      </c>
      <c r="V27" s="70" t="s">
        <v>170</v>
      </c>
      <c r="W27" s="69" t="s">
        <v>145</v>
      </c>
      <c r="X27" s="72" t="s">
        <v>191</v>
      </c>
      <c r="Y27" s="72" t="s">
        <v>191</v>
      </c>
      <c r="Z27" s="82" t="s">
        <v>252</v>
      </c>
      <c r="AA27" s="72" t="s">
        <v>251</v>
      </c>
      <c r="AB27" s="96" t="s">
        <v>498</v>
      </c>
      <c r="AC27" s="3"/>
      <c r="AD27" s="3"/>
    </row>
    <row r="28" spans="1:30" x14ac:dyDescent="0.2">
      <c r="A28">
        <v>26</v>
      </c>
      <c r="B28" s="61" t="s">
        <v>196</v>
      </c>
      <c r="C28" s="69">
        <v>22</v>
      </c>
      <c r="D28" s="69">
        <v>0</v>
      </c>
      <c r="E28" s="69">
        <v>-120</v>
      </c>
      <c r="F28" s="69">
        <v>90</v>
      </c>
      <c r="G28" s="69">
        <v>0</v>
      </c>
      <c r="H28" s="69">
        <v>-15</v>
      </c>
      <c r="I28" s="69">
        <v>30.18</v>
      </c>
      <c r="J28" s="69">
        <v>0</v>
      </c>
      <c r="K28" s="69">
        <v>-120</v>
      </c>
      <c r="L28" s="69">
        <v>50</v>
      </c>
      <c r="M28" s="69">
        <v>21</v>
      </c>
      <c r="N28" s="69">
        <v>0</v>
      </c>
      <c r="O28" s="69" t="s">
        <v>90</v>
      </c>
      <c r="P28" s="69">
        <v>6</v>
      </c>
      <c r="Q28" s="69">
        <v>23</v>
      </c>
      <c r="R28" s="69">
        <v>64</v>
      </c>
      <c r="S28" s="69">
        <v>58</v>
      </c>
      <c r="T28" s="69">
        <v>64</v>
      </c>
      <c r="U28" s="69">
        <v>58</v>
      </c>
      <c r="V28" s="70" t="s">
        <v>167</v>
      </c>
      <c r="W28" s="69" t="s">
        <v>145</v>
      </c>
      <c r="X28" s="72" t="s">
        <v>237</v>
      </c>
      <c r="Y28" s="72" t="s">
        <v>238</v>
      </c>
      <c r="Z28" s="82" t="s">
        <v>252</v>
      </c>
      <c r="AA28" s="72" t="s">
        <v>251</v>
      </c>
      <c r="AB28" s="96" t="s">
        <v>498</v>
      </c>
      <c r="AC28" s="3"/>
      <c r="AD28" s="3"/>
    </row>
    <row r="29" spans="1:30" x14ac:dyDescent="0.2">
      <c r="A29">
        <v>27</v>
      </c>
      <c r="B29" s="61" t="s">
        <v>136</v>
      </c>
      <c r="C29" s="69">
        <v>19</v>
      </c>
      <c r="D29" s="69">
        <v>0</v>
      </c>
      <c r="E29" s="69">
        <v>-120</v>
      </c>
      <c r="F29" s="69">
        <v>72</v>
      </c>
      <c r="G29" s="69">
        <v>0</v>
      </c>
      <c r="H29" s="69">
        <v>-15</v>
      </c>
      <c r="I29" s="69">
        <v>25.4</v>
      </c>
      <c r="J29" s="69">
        <v>0</v>
      </c>
      <c r="K29" s="69">
        <v>-120</v>
      </c>
      <c r="L29" s="69">
        <v>35</v>
      </c>
      <c r="M29" s="69">
        <v>20</v>
      </c>
      <c r="N29" s="69">
        <v>0</v>
      </c>
      <c r="O29" s="69" t="s">
        <v>90</v>
      </c>
      <c r="P29" s="69">
        <v>6</v>
      </c>
      <c r="Q29" s="69">
        <v>20</v>
      </c>
      <c r="R29" s="69">
        <v>62</v>
      </c>
      <c r="S29" s="69">
        <v>58</v>
      </c>
      <c r="T29" s="69">
        <v>62</v>
      </c>
      <c r="U29" s="69">
        <v>58</v>
      </c>
      <c r="V29" s="70"/>
      <c r="W29" s="69"/>
      <c r="X29" s="72" t="s">
        <v>191</v>
      </c>
      <c r="Y29" s="72" t="s">
        <v>191</v>
      </c>
      <c r="Z29" s="82" t="s">
        <v>252</v>
      </c>
      <c r="AA29" s="72" t="s">
        <v>251</v>
      </c>
      <c r="AB29" s="96" t="s">
        <v>498</v>
      </c>
      <c r="AC29" s="3"/>
      <c r="AD29" s="3"/>
    </row>
    <row r="30" spans="1:30" x14ac:dyDescent="0.2">
      <c r="A30">
        <v>28</v>
      </c>
      <c r="B30" s="61" t="s">
        <v>235</v>
      </c>
      <c r="C30" s="69">
        <v>22</v>
      </c>
      <c r="D30" s="69">
        <v>0</v>
      </c>
      <c r="E30" s="69">
        <v>-120</v>
      </c>
      <c r="F30" s="69">
        <v>80</v>
      </c>
      <c r="G30" s="69">
        <v>0</v>
      </c>
      <c r="H30" s="69">
        <v>-13</v>
      </c>
      <c r="I30" s="74" t="s">
        <v>105</v>
      </c>
      <c r="J30" s="74" t="s">
        <v>105</v>
      </c>
      <c r="K30" s="74" t="s">
        <v>105</v>
      </c>
      <c r="L30" s="74" t="s">
        <v>105</v>
      </c>
      <c r="M30" s="74" t="s">
        <v>105</v>
      </c>
      <c r="N30" s="74" t="s">
        <v>105</v>
      </c>
      <c r="O30" s="69" t="s">
        <v>105</v>
      </c>
      <c r="P30" s="69" t="s">
        <v>105</v>
      </c>
      <c r="Q30" s="69" t="s">
        <v>105</v>
      </c>
      <c r="R30" s="69" t="s">
        <v>105</v>
      </c>
      <c r="S30" s="69" t="s">
        <v>105</v>
      </c>
      <c r="T30" s="69">
        <v>64</v>
      </c>
      <c r="U30" s="69">
        <v>58</v>
      </c>
      <c r="V30" s="69" t="s">
        <v>105</v>
      </c>
      <c r="W30" s="69" t="s">
        <v>105</v>
      </c>
      <c r="X30" s="69" t="s">
        <v>105</v>
      </c>
      <c r="Y30" s="69" t="s">
        <v>105</v>
      </c>
      <c r="Z30" s="82" t="s">
        <v>252</v>
      </c>
      <c r="AA30" s="72" t="s">
        <v>251</v>
      </c>
      <c r="AB30" s="96" t="s">
        <v>498</v>
      </c>
      <c r="AC30" s="3"/>
      <c r="AD30" s="3"/>
    </row>
    <row r="31" spans="1:30" x14ac:dyDescent="0.2">
      <c r="A31">
        <v>29</v>
      </c>
      <c r="B31" s="61" t="s">
        <v>236</v>
      </c>
      <c r="C31" s="69" t="s">
        <v>105</v>
      </c>
      <c r="D31" s="69" t="s">
        <v>105</v>
      </c>
      <c r="E31" s="69" t="s">
        <v>105</v>
      </c>
      <c r="F31" s="69" t="s">
        <v>105</v>
      </c>
      <c r="G31" s="69" t="s">
        <v>105</v>
      </c>
      <c r="H31" s="69" t="s">
        <v>105</v>
      </c>
      <c r="I31" s="69">
        <v>30.18</v>
      </c>
      <c r="J31" s="69">
        <v>0</v>
      </c>
      <c r="K31" s="69">
        <v>-120</v>
      </c>
      <c r="L31" s="69">
        <v>40</v>
      </c>
      <c r="M31" s="69">
        <v>21</v>
      </c>
      <c r="N31" s="69">
        <v>0</v>
      </c>
      <c r="O31" s="69" t="s">
        <v>105</v>
      </c>
      <c r="P31" s="69" t="s">
        <v>105</v>
      </c>
      <c r="Q31" s="69" t="s">
        <v>105</v>
      </c>
      <c r="R31" s="69">
        <v>64</v>
      </c>
      <c r="S31" s="69">
        <v>58</v>
      </c>
      <c r="T31" s="69" t="s">
        <v>105</v>
      </c>
      <c r="U31" s="69" t="s">
        <v>105</v>
      </c>
      <c r="V31" s="69" t="s">
        <v>105</v>
      </c>
      <c r="W31" s="69" t="s">
        <v>105</v>
      </c>
      <c r="X31" s="69" t="s">
        <v>105</v>
      </c>
      <c r="Y31" s="69" t="s">
        <v>105</v>
      </c>
      <c r="Z31" s="82" t="s">
        <v>252</v>
      </c>
      <c r="AA31" s="72" t="s">
        <v>251</v>
      </c>
      <c r="AB31" s="96" t="s">
        <v>498</v>
      </c>
      <c r="AC31" s="3"/>
      <c r="AD31" s="3"/>
    </row>
    <row r="32" spans="1:30" x14ac:dyDescent="0.2">
      <c r="A32">
        <v>30</v>
      </c>
      <c r="B32" s="60" t="s">
        <v>239</v>
      </c>
      <c r="C32" s="69">
        <v>22</v>
      </c>
      <c r="D32" s="69">
        <v>0</v>
      </c>
      <c r="E32" s="69">
        <v>-120</v>
      </c>
      <c r="F32" s="69">
        <v>80</v>
      </c>
      <c r="G32" s="69">
        <v>0</v>
      </c>
      <c r="H32" s="69">
        <v>-13</v>
      </c>
      <c r="I32" s="69">
        <v>30.18</v>
      </c>
      <c r="J32" s="69">
        <v>0</v>
      </c>
      <c r="K32" s="69">
        <v>-120</v>
      </c>
      <c r="L32" s="69">
        <v>40</v>
      </c>
      <c r="M32" s="69">
        <v>21</v>
      </c>
      <c r="N32" s="69">
        <v>0</v>
      </c>
      <c r="O32" s="69" t="s">
        <v>184</v>
      </c>
      <c r="P32" s="69">
        <v>20</v>
      </c>
      <c r="Q32" s="69">
        <v>6</v>
      </c>
      <c r="R32" s="69">
        <v>64</v>
      </c>
      <c r="S32" s="69">
        <v>58</v>
      </c>
      <c r="T32" s="69">
        <v>64</v>
      </c>
      <c r="U32" s="69">
        <v>58</v>
      </c>
      <c r="V32" s="70" t="s">
        <v>186</v>
      </c>
      <c r="W32" s="69" t="s">
        <v>145</v>
      </c>
      <c r="X32" s="72" t="s">
        <v>240</v>
      </c>
      <c r="Y32" s="72" t="s">
        <v>241</v>
      </c>
      <c r="Z32" s="82" t="s">
        <v>252</v>
      </c>
      <c r="AA32" s="72" t="s">
        <v>251</v>
      </c>
      <c r="AB32" s="96" t="s">
        <v>498</v>
      </c>
      <c r="AC32" s="3"/>
      <c r="AD32" s="3"/>
    </row>
    <row r="33" spans="1:30" x14ac:dyDescent="0.2">
      <c r="A33">
        <v>31</v>
      </c>
      <c r="B33" s="61" t="s">
        <v>116</v>
      </c>
      <c r="C33" s="69">
        <v>12</v>
      </c>
      <c r="D33" s="69">
        <v>0</v>
      </c>
      <c r="E33" s="69">
        <v>-120</v>
      </c>
      <c r="F33" s="69">
        <v>40</v>
      </c>
      <c r="G33" s="69">
        <v>0</v>
      </c>
      <c r="H33" s="69">
        <v>-11</v>
      </c>
      <c r="I33" s="69">
        <v>22</v>
      </c>
      <c r="J33" s="69">
        <v>0</v>
      </c>
      <c r="K33" s="69">
        <v>-120</v>
      </c>
      <c r="L33" s="69">
        <v>17</v>
      </c>
      <c r="M33" s="69">
        <v>15</v>
      </c>
      <c r="N33" s="69">
        <v>0</v>
      </c>
      <c r="O33" s="69" t="s">
        <v>90</v>
      </c>
      <c r="P33" s="69">
        <v>3</v>
      </c>
      <c r="Q33" s="69">
        <v>18</v>
      </c>
      <c r="R33" s="69"/>
      <c r="S33" s="69"/>
      <c r="T33" s="69"/>
      <c r="U33" s="69"/>
      <c r="V33" s="70"/>
      <c r="W33" s="69"/>
      <c r="X33" s="72" t="s">
        <v>191</v>
      </c>
      <c r="Y33" s="72" t="s">
        <v>191</v>
      </c>
      <c r="Z33" s="82" t="s">
        <v>252</v>
      </c>
      <c r="AA33" s="72" t="s">
        <v>251</v>
      </c>
      <c r="AB33" s="96" t="s">
        <v>498</v>
      </c>
      <c r="AC33" s="3"/>
      <c r="AD33" s="3"/>
    </row>
    <row r="34" spans="1:30" x14ac:dyDescent="0.2">
      <c r="A34">
        <v>32</v>
      </c>
      <c r="B34" s="61" t="s">
        <v>177</v>
      </c>
      <c r="C34" s="69">
        <v>15</v>
      </c>
      <c r="D34" s="69">
        <v>0</v>
      </c>
      <c r="E34" s="69">
        <v>-120</v>
      </c>
      <c r="F34" s="69">
        <v>52</v>
      </c>
      <c r="G34" s="69">
        <v>0</v>
      </c>
      <c r="H34" s="69">
        <v>-13</v>
      </c>
      <c r="I34" s="69">
        <v>27</v>
      </c>
      <c r="J34" s="69">
        <v>0</v>
      </c>
      <c r="K34" s="69">
        <v>-120</v>
      </c>
      <c r="L34" s="69">
        <v>22.225000000000001</v>
      </c>
      <c r="M34" s="69">
        <v>18</v>
      </c>
      <c r="N34" s="69">
        <v>0</v>
      </c>
      <c r="O34" s="69" t="s">
        <v>85</v>
      </c>
      <c r="P34" s="69">
        <v>125</v>
      </c>
      <c r="Q34" s="69">
        <v>185</v>
      </c>
      <c r="R34" s="69">
        <v>64</v>
      </c>
      <c r="S34" s="69">
        <v>58</v>
      </c>
      <c r="T34" s="69">
        <v>64</v>
      </c>
      <c r="U34" s="69">
        <v>58</v>
      </c>
      <c r="V34" s="70" t="s">
        <v>178</v>
      </c>
      <c r="W34" s="69" t="s">
        <v>145</v>
      </c>
      <c r="X34" s="72" t="s">
        <v>191</v>
      </c>
      <c r="Y34" s="72" t="s">
        <v>191</v>
      </c>
      <c r="Z34" s="82" t="s">
        <v>252</v>
      </c>
      <c r="AA34" s="72" t="s">
        <v>251</v>
      </c>
      <c r="AB34" s="96" t="s">
        <v>498</v>
      </c>
      <c r="AC34" s="3"/>
      <c r="AD34" s="3"/>
    </row>
    <row r="35" spans="1:30" x14ac:dyDescent="0.2">
      <c r="A35">
        <v>33</v>
      </c>
      <c r="B35" s="61" t="s">
        <v>384</v>
      </c>
      <c r="C35" s="69">
        <v>15</v>
      </c>
      <c r="D35" s="69">
        <v>0</v>
      </c>
      <c r="E35" s="69">
        <v>-120</v>
      </c>
      <c r="F35" s="69">
        <v>52</v>
      </c>
      <c r="G35" s="69">
        <v>0</v>
      </c>
      <c r="H35" s="69">
        <v>-13</v>
      </c>
      <c r="I35" s="69">
        <v>27</v>
      </c>
      <c r="J35" s="69">
        <v>0</v>
      </c>
      <c r="K35" s="69">
        <v>-120</v>
      </c>
      <c r="L35" s="69">
        <v>22.225000000000001</v>
      </c>
      <c r="M35" s="69">
        <v>18</v>
      </c>
      <c r="N35" s="69">
        <v>0</v>
      </c>
      <c r="O35" s="69" t="s">
        <v>90</v>
      </c>
      <c r="P35" s="69">
        <v>5</v>
      </c>
      <c r="Q35" s="69">
        <v>20</v>
      </c>
      <c r="R35" s="69">
        <v>64</v>
      </c>
      <c r="S35" s="69">
        <v>58</v>
      </c>
      <c r="T35" s="69">
        <v>64</v>
      </c>
      <c r="U35" s="69">
        <v>58</v>
      </c>
      <c r="V35" s="70" t="s">
        <v>354</v>
      </c>
      <c r="W35" s="69" t="s">
        <v>145</v>
      </c>
      <c r="X35" s="72" t="s">
        <v>385</v>
      </c>
      <c r="Y35" s="72" t="s">
        <v>386</v>
      </c>
      <c r="Z35" s="82">
        <v>42626</v>
      </c>
      <c r="AA35" s="72" t="s">
        <v>264</v>
      </c>
      <c r="AB35" s="96" t="s">
        <v>498</v>
      </c>
      <c r="AC35" s="3"/>
      <c r="AD35" s="3"/>
    </row>
    <row r="36" spans="1:30" x14ac:dyDescent="0.2">
      <c r="A36">
        <v>34</v>
      </c>
      <c r="B36" s="61" t="s">
        <v>506</v>
      </c>
      <c r="C36" s="69" t="s">
        <v>105</v>
      </c>
      <c r="D36" s="69" t="s">
        <v>105</v>
      </c>
      <c r="E36" s="69" t="s">
        <v>105</v>
      </c>
      <c r="F36" s="69" t="s">
        <v>105</v>
      </c>
      <c r="G36" s="69" t="s">
        <v>105</v>
      </c>
      <c r="H36" s="69" t="s">
        <v>105</v>
      </c>
      <c r="I36" s="69">
        <v>32</v>
      </c>
      <c r="J36" s="69">
        <v>0</v>
      </c>
      <c r="K36" s="69">
        <v>-120</v>
      </c>
      <c r="L36" s="69">
        <v>35</v>
      </c>
      <c r="M36" s="69">
        <v>21</v>
      </c>
      <c r="N36" s="69">
        <v>0</v>
      </c>
      <c r="O36" s="69" t="s">
        <v>105</v>
      </c>
      <c r="P36" s="69" t="s">
        <v>105</v>
      </c>
      <c r="Q36" s="69" t="s">
        <v>105</v>
      </c>
      <c r="R36" s="69">
        <v>64</v>
      </c>
      <c r="S36" s="69">
        <v>58</v>
      </c>
      <c r="T36" s="69" t="s">
        <v>105</v>
      </c>
      <c r="U36" s="69" t="s">
        <v>105</v>
      </c>
      <c r="V36" s="69" t="s">
        <v>105</v>
      </c>
      <c r="W36" s="69" t="s">
        <v>105</v>
      </c>
      <c r="X36" s="69" t="s">
        <v>105</v>
      </c>
      <c r="Y36" s="69" t="s">
        <v>105</v>
      </c>
      <c r="Z36" s="82">
        <v>42017</v>
      </c>
      <c r="AA36" s="72">
        <v>0</v>
      </c>
      <c r="AB36" s="96" t="s">
        <v>498</v>
      </c>
      <c r="AC36" s="3"/>
      <c r="AD36" s="3"/>
    </row>
    <row r="37" spans="1:30" x14ac:dyDescent="0.2">
      <c r="A37">
        <v>35</v>
      </c>
      <c r="B37" s="61" t="s">
        <v>126</v>
      </c>
      <c r="C37" s="69">
        <v>19</v>
      </c>
      <c r="D37" s="69">
        <v>0</v>
      </c>
      <c r="E37" s="69">
        <v>-120</v>
      </c>
      <c r="F37" s="69">
        <v>72</v>
      </c>
      <c r="G37" s="69">
        <v>0</v>
      </c>
      <c r="H37" s="69">
        <v>-15</v>
      </c>
      <c r="I37" s="69">
        <v>32</v>
      </c>
      <c r="J37" s="69">
        <v>0</v>
      </c>
      <c r="K37" s="69">
        <v>-120</v>
      </c>
      <c r="L37" s="69">
        <v>35</v>
      </c>
      <c r="M37" s="69">
        <v>20</v>
      </c>
      <c r="N37" s="69">
        <v>0</v>
      </c>
      <c r="O37" s="69" t="s">
        <v>90</v>
      </c>
      <c r="P37" s="69">
        <v>6</v>
      </c>
      <c r="Q37" s="69">
        <v>20</v>
      </c>
      <c r="R37" s="69">
        <v>64</v>
      </c>
      <c r="S37" s="69">
        <v>58</v>
      </c>
      <c r="T37" s="69">
        <v>64</v>
      </c>
      <c r="U37" s="69">
        <v>58</v>
      </c>
      <c r="V37" s="70" t="s">
        <v>163</v>
      </c>
      <c r="W37" s="69" t="s">
        <v>145</v>
      </c>
      <c r="X37" s="72" t="s">
        <v>191</v>
      </c>
      <c r="Y37" s="72" t="s">
        <v>191</v>
      </c>
      <c r="Z37" s="82" t="s">
        <v>252</v>
      </c>
      <c r="AA37" s="72" t="s">
        <v>251</v>
      </c>
      <c r="AB37" s="96" t="s">
        <v>498</v>
      </c>
      <c r="AC37" s="3"/>
      <c r="AD37" s="3"/>
    </row>
    <row r="38" spans="1:30" x14ac:dyDescent="0.2">
      <c r="A38">
        <v>36</v>
      </c>
      <c r="B38" s="61" t="s">
        <v>129</v>
      </c>
      <c r="C38" s="69">
        <v>17</v>
      </c>
      <c r="D38" s="69">
        <v>0</v>
      </c>
      <c r="E38" s="69">
        <v>-120</v>
      </c>
      <c r="F38" s="69">
        <v>47</v>
      </c>
      <c r="G38" s="69">
        <v>0</v>
      </c>
      <c r="H38" s="69">
        <v>0</v>
      </c>
      <c r="I38" s="69">
        <v>34.200000000000003</v>
      </c>
      <c r="J38" s="69">
        <v>0</v>
      </c>
      <c r="K38" s="69">
        <v>-120</v>
      </c>
      <c r="L38" s="69">
        <v>20</v>
      </c>
      <c r="M38" s="69">
        <v>20</v>
      </c>
      <c r="N38" s="69">
        <v>0</v>
      </c>
      <c r="O38" s="69" t="s">
        <v>85</v>
      </c>
      <c r="P38" s="69">
        <v>13</v>
      </c>
      <c r="Q38" s="69">
        <v>28</v>
      </c>
      <c r="R38" s="69" t="s">
        <v>105</v>
      </c>
      <c r="S38" s="69" t="s">
        <v>105</v>
      </c>
      <c r="T38" s="69" t="s">
        <v>105</v>
      </c>
      <c r="U38" s="69" t="s">
        <v>105</v>
      </c>
      <c r="V38" s="70"/>
      <c r="W38" s="69"/>
      <c r="X38" s="72" t="s">
        <v>191</v>
      </c>
      <c r="Y38" s="72" t="s">
        <v>191</v>
      </c>
      <c r="Z38" s="82" t="s">
        <v>252</v>
      </c>
      <c r="AA38" s="72" t="s">
        <v>251</v>
      </c>
      <c r="AB38" s="96" t="s">
        <v>498</v>
      </c>
      <c r="AC38" s="3"/>
      <c r="AD38" s="3"/>
    </row>
    <row r="39" spans="1:30" x14ac:dyDescent="0.2">
      <c r="A39">
        <v>37</v>
      </c>
      <c r="B39" s="61" t="s">
        <v>225</v>
      </c>
      <c r="C39" s="69" t="s">
        <v>105</v>
      </c>
      <c r="D39" s="69" t="s">
        <v>105</v>
      </c>
      <c r="E39" s="69" t="s">
        <v>105</v>
      </c>
      <c r="F39" s="69" t="s">
        <v>105</v>
      </c>
      <c r="G39" s="69" t="s">
        <v>105</v>
      </c>
      <c r="H39" s="69" t="s">
        <v>105</v>
      </c>
      <c r="I39" s="69">
        <v>34.799999999999997</v>
      </c>
      <c r="J39" s="69">
        <v>0</v>
      </c>
      <c r="K39" s="69">
        <v>-120</v>
      </c>
      <c r="L39" s="69">
        <v>22.225000000000001</v>
      </c>
      <c r="M39" s="69">
        <v>18</v>
      </c>
      <c r="N39" s="69">
        <v>0</v>
      </c>
      <c r="O39" s="69" t="s">
        <v>105</v>
      </c>
      <c r="P39" s="69" t="s">
        <v>105</v>
      </c>
      <c r="Q39" s="69" t="s">
        <v>105</v>
      </c>
      <c r="R39" s="69">
        <v>64</v>
      </c>
      <c r="S39" s="69">
        <v>58</v>
      </c>
      <c r="T39" s="69" t="s">
        <v>105</v>
      </c>
      <c r="U39" s="69" t="s">
        <v>105</v>
      </c>
      <c r="V39" s="70" t="s">
        <v>105</v>
      </c>
      <c r="W39" s="69" t="s">
        <v>105</v>
      </c>
      <c r="X39" s="69" t="s">
        <v>105</v>
      </c>
      <c r="Y39" s="69" t="s">
        <v>105</v>
      </c>
      <c r="Z39" s="82" t="s">
        <v>252</v>
      </c>
      <c r="AA39" s="72" t="s">
        <v>251</v>
      </c>
      <c r="AB39" s="96" t="s">
        <v>498</v>
      </c>
      <c r="AC39" s="3"/>
      <c r="AD39" s="3"/>
    </row>
    <row r="40" spans="1:30" x14ac:dyDescent="0.2">
      <c r="A40">
        <v>38</v>
      </c>
      <c r="B40" s="61" t="s">
        <v>133</v>
      </c>
      <c r="C40" s="69">
        <v>15</v>
      </c>
      <c r="D40" s="69">
        <v>0</v>
      </c>
      <c r="E40" s="69">
        <v>-120</v>
      </c>
      <c r="F40" s="69">
        <v>52</v>
      </c>
      <c r="G40" s="69">
        <v>0</v>
      </c>
      <c r="H40" s="69">
        <v>-13</v>
      </c>
      <c r="I40" s="69">
        <v>34.799999999999997</v>
      </c>
      <c r="J40" s="69">
        <v>0</v>
      </c>
      <c r="K40" s="69">
        <v>-120</v>
      </c>
      <c r="L40" s="69">
        <v>22.225000000000001</v>
      </c>
      <c r="M40" s="69">
        <v>18</v>
      </c>
      <c r="N40" s="69">
        <v>0</v>
      </c>
      <c r="O40" s="69" t="s">
        <v>90</v>
      </c>
      <c r="P40" s="69">
        <v>5</v>
      </c>
      <c r="Q40" s="69">
        <v>20</v>
      </c>
      <c r="R40" s="69">
        <v>62</v>
      </c>
      <c r="S40" s="69">
        <v>58</v>
      </c>
      <c r="T40" s="69">
        <v>62</v>
      </c>
      <c r="U40" s="69">
        <v>58</v>
      </c>
      <c r="V40" s="70"/>
      <c r="W40" s="69"/>
      <c r="X40" s="72" t="s">
        <v>191</v>
      </c>
      <c r="Y40" s="72" t="s">
        <v>191</v>
      </c>
      <c r="Z40" s="82" t="s">
        <v>252</v>
      </c>
      <c r="AA40" s="72" t="s">
        <v>251</v>
      </c>
      <c r="AB40" s="96" t="s">
        <v>498</v>
      </c>
      <c r="AC40" s="3"/>
      <c r="AD40" s="3"/>
    </row>
    <row r="41" spans="1:30" x14ac:dyDescent="0.2">
      <c r="A41">
        <v>39</v>
      </c>
      <c r="B41" s="61" t="s">
        <v>96</v>
      </c>
      <c r="C41" s="69">
        <v>17</v>
      </c>
      <c r="D41" s="69">
        <v>0</v>
      </c>
      <c r="E41" s="69">
        <v>-120</v>
      </c>
      <c r="F41" s="69">
        <v>52</v>
      </c>
      <c r="G41" s="69">
        <v>0</v>
      </c>
      <c r="H41" s="69">
        <v>-13</v>
      </c>
      <c r="I41" s="69">
        <v>34.799999999999997</v>
      </c>
      <c r="J41" s="69">
        <v>0</v>
      </c>
      <c r="K41" s="69">
        <v>-120</v>
      </c>
      <c r="L41" s="69">
        <v>22.225000000000001</v>
      </c>
      <c r="M41" s="69">
        <v>18</v>
      </c>
      <c r="N41" s="69">
        <v>0</v>
      </c>
      <c r="O41" s="69" t="s">
        <v>90</v>
      </c>
      <c r="P41" s="69">
        <v>5</v>
      </c>
      <c r="Q41" s="69">
        <v>20</v>
      </c>
      <c r="R41" s="69"/>
      <c r="S41" s="69"/>
      <c r="T41" s="69"/>
      <c r="U41" s="69"/>
      <c r="V41" s="70"/>
      <c r="W41" s="69"/>
      <c r="X41" s="72" t="s">
        <v>191</v>
      </c>
      <c r="Y41" s="72" t="s">
        <v>191</v>
      </c>
      <c r="Z41" s="82" t="s">
        <v>252</v>
      </c>
      <c r="AA41" s="72" t="s">
        <v>251</v>
      </c>
      <c r="AB41" s="96" t="s">
        <v>498</v>
      </c>
      <c r="AC41" s="3"/>
      <c r="AD41" s="3"/>
    </row>
    <row r="42" spans="1:30" x14ac:dyDescent="0.2">
      <c r="A42">
        <v>40</v>
      </c>
      <c r="B42" s="61" t="s">
        <v>436</v>
      </c>
      <c r="C42" s="69">
        <v>15</v>
      </c>
      <c r="D42" s="69">
        <v>0</v>
      </c>
      <c r="E42" s="69">
        <v>-120</v>
      </c>
      <c r="F42" s="69">
        <v>52</v>
      </c>
      <c r="G42" s="69">
        <v>0</v>
      </c>
      <c r="H42" s="69">
        <v>-13</v>
      </c>
      <c r="I42" s="69">
        <v>34.799999999999997</v>
      </c>
      <c r="J42" s="69">
        <v>0</v>
      </c>
      <c r="K42" s="69">
        <v>-120</v>
      </c>
      <c r="L42" s="69">
        <v>23.812000000000001</v>
      </c>
      <c r="M42" s="69">
        <v>18</v>
      </c>
      <c r="N42" s="69">
        <v>0</v>
      </c>
      <c r="O42" s="69" t="s">
        <v>90</v>
      </c>
      <c r="P42" s="69">
        <v>5</v>
      </c>
      <c r="Q42" s="69">
        <v>20</v>
      </c>
      <c r="R42" s="69">
        <v>64</v>
      </c>
      <c r="S42" s="69">
        <v>58</v>
      </c>
      <c r="T42" s="69">
        <v>64</v>
      </c>
      <c r="U42" s="69">
        <v>58</v>
      </c>
      <c r="V42" s="70" t="s">
        <v>289</v>
      </c>
      <c r="W42" s="69" t="s">
        <v>145</v>
      </c>
      <c r="X42" s="69" t="s">
        <v>105</v>
      </c>
      <c r="Y42" s="69" t="s">
        <v>105</v>
      </c>
      <c r="Z42" s="82">
        <v>43402</v>
      </c>
      <c r="AA42" s="72" t="s">
        <v>264</v>
      </c>
      <c r="AB42" s="96" t="s">
        <v>498</v>
      </c>
      <c r="AC42" s="3"/>
      <c r="AD42" s="3"/>
    </row>
    <row r="43" spans="1:30" x14ac:dyDescent="0.2">
      <c r="A43">
        <v>41</v>
      </c>
      <c r="B43" s="61" t="s">
        <v>224</v>
      </c>
      <c r="C43" s="69" t="s">
        <v>105</v>
      </c>
      <c r="D43" s="69" t="s">
        <v>105</v>
      </c>
      <c r="E43" s="69" t="s">
        <v>105</v>
      </c>
      <c r="F43" s="69" t="s">
        <v>105</v>
      </c>
      <c r="G43" s="69" t="s">
        <v>105</v>
      </c>
      <c r="H43" s="69" t="s">
        <v>105</v>
      </c>
      <c r="I43" s="69">
        <v>34.799999999999997</v>
      </c>
      <c r="J43" s="69">
        <v>0</v>
      </c>
      <c r="K43" s="69">
        <v>-120</v>
      </c>
      <c r="L43" s="69">
        <v>25.4</v>
      </c>
      <c r="M43" s="69">
        <v>18</v>
      </c>
      <c r="N43" s="69">
        <v>0</v>
      </c>
      <c r="O43" s="69" t="s">
        <v>105</v>
      </c>
      <c r="P43" s="69" t="s">
        <v>105</v>
      </c>
      <c r="Q43" s="69" t="s">
        <v>105</v>
      </c>
      <c r="R43" s="69">
        <v>64</v>
      </c>
      <c r="S43" s="69">
        <v>58</v>
      </c>
      <c r="T43" s="69" t="s">
        <v>105</v>
      </c>
      <c r="U43" s="69" t="s">
        <v>105</v>
      </c>
      <c r="V43" s="70" t="s">
        <v>105</v>
      </c>
      <c r="W43" s="69" t="s">
        <v>105</v>
      </c>
      <c r="X43" s="69" t="s">
        <v>105</v>
      </c>
      <c r="Y43" s="69" t="s">
        <v>105</v>
      </c>
      <c r="Z43" s="82">
        <v>40662</v>
      </c>
      <c r="AA43" s="72">
        <v>0</v>
      </c>
      <c r="AB43" s="96" t="s">
        <v>498</v>
      </c>
      <c r="AC43" s="3"/>
      <c r="AD43" s="3"/>
    </row>
    <row r="44" spans="1:30" x14ac:dyDescent="0.2">
      <c r="A44">
        <v>42</v>
      </c>
      <c r="B44" s="60" t="s">
        <v>355</v>
      </c>
      <c r="C44" s="69">
        <v>15</v>
      </c>
      <c r="D44" s="69">
        <v>0</v>
      </c>
      <c r="E44" s="69">
        <v>-120</v>
      </c>
      <c r="F44" s="69">
        <v>52</v>
      </c>
      <c r="G44" s="69">
        <v>0</v>
      </c>
      <c r="H44" s="69">
        <v>-13</v>
      </c>
      <c r="I44" s="69">
        <v>34.799999999999997</v>
      </c>
      <c r="J44" s="69">
        <v>0</v>
      </c>
      <c r="K44" s="69">
        <v>-120</v>
      </c>
      <c r="L44" s="69">
        <v>25.4</v>
      </c>
      <c r="M44" s="69">
        <v>18</v>
      </c>
      <c r="N44" s="69">
        <v>0</v>
      </c>
      <c r="O44" s="69" t="s">
        <v>90</v>
      </c>
      <c r="P44" s="69">
        <v>5</v>
      </c>
      <c r="Q44" s="69">
        <v>20</v>
      </c>
      <c r="R44" s="69">
        <v>64</v>
      </c>
      <c r="S44" s="69">
        <v>58</v>
      </c>
      <c r="T44" s="69">
        <v>64</v>
      </c>
      <c r="U44" s="69">
        <v>58</v>
      </c>
      <c r="V44" s="70" t="s">
        <v>354</v>
      </c>
      <c r="W44" s="69" t="s">
        <v>145</v>
      </c>
      <c r="X44" s="72">
        <v>0.23</v>
      </c>
      <c r="Y44" s="72">
        <v>0.157</v>
      </c>
      <c r="Z44" s="82">
        <v>44224</v>
      </c>
      <c r="AA44" s="72" t="s">
        <v>56</v>
      </c>
      <c r="AB44" s="96" t="s">
        <v>498</v>
      </c>
      <c r="AC44" s="3"/>
      <c r="AD44" s="3"/>
    </row>
    <row r="45" spans="1:30" x14ac:dyDescent="0.2">
      <c r="A45">
        <v>43</v>
      </c>
      <c r="B45" s="61" t="s">
        <v>356</v>
      </c>
      <c r="C45" s="69">
        <v>15</v>
      </c>
      <c r="D45" s="69">
        <v>0</v>
      </c>
      <c r="E45" s="69">
        <v>-120</v>
      </c>
      <c r="F45" s="69">
        <v>52</v>
      </c>
      <c r="G45" s="69">
        <v>0</v>
      </c>
      <c r="H45" s="69">
        <v>-13</v>
      </c>
      <c r="I45" s="69">
        <v>34.799999999999997</v>
      </c>
      <c r="J45" s="69">
        <v>0</v>
      </c>
      <c r="K45" s="69">
        <v>-120</v>
      </c>
      <c r="L45" s="69">
        <v>25</v>
      </c>
      <c r="M45" s="69">
        <v>18</v>
      </c>
      <c r="N45" s="69">
        <v>0</v>
      </c>
      <c r="O45" s="69" t="s">
        <v>90</v>
      </c>
      <c r="P45" s="69">
        <v>5</v>
      </c>
      <c r="Q45" s="69">
        <v>20</v>
      </c>
      <c r="R45" s="69">
        <v>64</v>
      </c>
      <c r="S45" s="69">
        <v>58</v>
      </c>
      <c r="T45" s="69">
        <v>64</v>
      </c>
      <c r="U45" s="69">
        <v>58</v>
      </c>
      <c r="V45" s="70" t="s">
        <v>357</v>
      </c>
      <c r="W45" s="69" t="s">
        <v>145</v>
      </c>
      <c r="X45" s="72">
        <v>0.23</v>
      </c>
      <c r="Y45" s="72">
        <v>0.157</v>
      </c>
      <c r="Z45" s="82">
        <v>43361</v>
      </c>
      <c r="AA45" s="72" t="s">
        <v>264</v>
      </c>
      <c r="AB45" s="96" t="s">
        <v>498</v>
      </c>
      <c r="AC45" s="3"/>
      <c r="AD45" s="3"/>
    </row>
    <row r="46" spans="1:30" x14ac:dyDescent="0.2">
      <c r="A46">
        <v>44</v>
      </c>
      <c r="B46" s="61" t="s">
        <v>246</v>
      </c>
      <c r="C46" s="69" t="s">
        <v>105</v>
      </c>
      <c r="D46" s="69" t="s">
        <v>105</v>
      </c>
      <c r="E46" s="69" t="s">
        <v>105</v>
      </c>
      <c r="F46" s="69" t="s">
        <v>105</v>
      </c>
      <c r="G46" s="69" t="s">
        <v>105</v>
      </c>
      <c r="H46" s="69" t="s">
        <v>105</v>
      </c>
      <c r="I46" s="69">
        <v>36.4</v>
      </c>
      <c r="J46" s="69">
        <v>0</v>
      </c>
      <c r="K46" s="69">
        <v>-120</v>
      </c>
      <c r="L46" s="69">
        <v>30.16</v>
      </c>
      <c r="M46" s="69">
        <v>20</v>
      </c>
      <c r="N46" s="69">
        <v>0</v>
      </c>
      <c r="O46" s="69" t="s">
        <v>105</v>
      </c>
      <c r="P46" s="69" t="s">
        <v>105</v>
      </c>
      <c r="Q46" s="69" t="s">
        <v>105</v>
      </c>
      <c r="R46" s="69">
        <v>64</v>
      </c>
      <c r="S46" s="69">
        <v>58</v>
      </c>
      <c r="T46" s="69" t="s">
        <v>105</v>
      </c>
      <c r="U46" s="69" t="s">
        <v>105</v>
      </c>
      <c r="V46" s="70" t="s">
        <v>105</v>
      </c>
      <c r="W46" s="69" t="s">
        <v>105</v>
      </c>
      <c r="X46" s="72" t="s">
        <v>105</v>
      </c>
      <c r="Y46" s="72" t="s">
        <v>105</v>
      </c>
      <c r="Z46" s="82" t="s">
        <v>252</v>
      </c>
      <c r="AA46" s="72" t="s">
        <v>251</v>
      </c>
      <c r="AB46" s="96" t="s">
        <v>498</v>
      </c>
      <c r="AC46" s="3"/>
      <c r="AD46" s="3"/>
    </row>
    <row r="47" spans="1:30" x14ac:dyDescent="0.2">
      <c r="A47">
        <v>45</v>
      </c>
      <c r="B47" s="61" t="s">
        <v>206</v>
      </c>
      <c r="C47" s="69">
        <v>18</v>
      </c>
      <c r="D47" s="69">
        <v>0</v>
      </c>
      <c r="E47" s="69">
        <v>-120</v>
      </c>
      <c r="F47" s="69">
        <v>62</v>
      </c>
      <c r="G47" s="69">
        <v>0</v>
      </c>
      <c r="H47" s="69">
        <v>-13</v>
      </c>
      <c r="I47" s="69">
        <v>36.4</v>
      </c>
      <c r="J47" s="69">
        <v>0</v>
      </c>
      <c r="K47" s="69">
        <v>-120</v>
      </c>
      <c r="L47" s="69">
        <v>30.16</v>
      </c>
      <c r="M47" s="69">
        <v>20</v>
      </c>
      <c r="N47" s="69">
        <v>0</v>
      </c>
      <c r="O47" s="69" t="s">
        <v>90</v>
      </c>
      <c r="P47" s="69">
        <v>20</v>
      </c>
      <c r="Q47" s="69">
        <v>5</v>
      </c>
      <c r="R47" s="69">
        <v>64</v>
      </c>
      <c r="S47" s="69">
        <v>58</v>
      </c>
      <c r="T47" s="69">
        <v>64</v>
      </c>
      <c r="U47" s="69">
        <v>58</v>
      </c>
      <c r="V47" s="70" t="s">
        <v>151</v>
      </c>
      <c r="W47" s="69" t="s">
        <v>145</v>
      </c>
      <c r="X47" s="72" t="s">
        <v>197</v>
      </c>
      <c r="Y47" s="72" t="s">
        <v>198</v>
      </c>
      <c r="Z47" s="82" t="s">
        <v>252</v>
      </c>
      <c r="AA47" s="72" t="s">
        <v>251</v>
      </c>
      <c r="AB47" s="96" t="s">
        <v>498</v>
      </c>
      <c r="AC47" s="3"/>
      <c r="AD47" s="3"/>
    </row>
    <row r="48" spans="1:30" x14ac:dyDescent="0.2">
      <c r="A48">
        <v>46</v>
      </c>
      <c r="B48" s="61" t="s">
        <v>104</v>
      </c>
      <c r="C48" s="69">
        <v>19</v>
      </c>
      <c r="D48" s="69">
        <v>0</v>
      </c>
      <c r="E48" s="69">
        <v>-120</v>
      </c>
      <c r="F48" s="69">
        <v>62</v>
      </c>
      <c r="G48" s="69">
        <v>0</v>
      </c>
      <c r="H48" s="69">
        <v>-15</v>
      </c>
      <c r="I48" s="69">
        <v>36.5</v>
      </c>
      <c r="J48" s="69" t="s">
        <v>105</v>
      </c>
      <c r="K48" s="69" t="s">
        <v>105</v>
      </c>
      <c r="L48" s="69">
        <v>31.75</v>
      </c>
      <c r="M48" s="69">
        <v>20</v>
      </c>
      <c r="N48" s="69">
        <v>0</v>
      </c>
      <c r="O48" s="69" t="s">
        <v>85</v>
      </c>
      <c r="P48" s="69" t="s">
        <v>105</v>
      </c>
      <c r="Q48" s="69" t="s">
        <v>105</v>
      </c>
      <c r="R48" s="69"/>
      <c r="S48" s="69"/>
      <c r="T48" s="69"/>
      <c r="U48" s="69"/>
      <c r="V48" s="70"/>
      <c r="W48" s="69"/>
      <c r="X48" s="72" t="s">
        <v>191</v>
      </c>
      <c r="Y48" s="72" t="s">
        <v>191</v>
      </c>
      <c r="Z48" s="82" t="s">
        <v>252</v>
      </c>
      <c r="AA48" s="72" t="s">
        <v>251</v>
      </c>
      <c r="AB48" s="96" t="s">
        <v>498</v>
      </c>
      <c r="AC48" s="3"/>
      <c r="AD48" s="3"/>
    </row>
    <row r="49" spans="1:30" x14ac:dyDescent="0.2">
      <c r="A49">
        <v>47</v>
      </c>
      <c r="B49" s="62" t="s">
        <v>245</v>
      </c>
      <c r="C49" s="73" t="s">
        <v>105</v>
      </c>
      <c r="D49" s="73" t="s">
        <v>105</v>
      </c>
      <c r="E49" s="73" t="s">
        <v>105</v>
      </c>
      <c r="F49" s="73" t="s">
        <v>105</v>
      </c>
      <c r="G49" s="73" t="s">
        <v>105</v>
      </c>
      <c r="H49" s="73" t="s">
        <v>105</v>
      </c>
      <c r="I49" s="73">
        <v>36.4</v>
      </c>
      <c r="J49" s="73">
        <v>0</v>
      </c>
      <c r="K49" s="73">
        <v>-120</v>
      </c>
      <c r="L49" s="73">
        <v>30</v>
      </c>
      <c r="M49" s="73">
        <v>18</v>
      </c>
      <c r="N49" s="73">
        <v>0</v>
      </c>
      <c r="O49" s="73" t="s">
        <v>105</v>
      </c>
      <c r="P49" s="73" t="s">
        <v>105</v>
      </c>
      <c r="Q49" s="73" t="s">
        <v>105</v>
      </c>
      <c r="R49" s="73">
        <v>64</v>
      </c>
      <c r="S49" s="73">
        <v>58</v>
      </c>
      <c r="T49" s="73" t="s">
        <v>105</v>
      </c>
      <c r="U49" s="73" t="s">
        <v>105</v>
      </c>
      <c r="V49" s="69" t="s">
        <v>105</v>
      </c>
      <c r="W49" s="69" t="s">
        <v>105</v>
      </c>
      <c r="X49" s="69" t="s">
        <v>105</v>
      </c>
      <c r="Y49" s="69" t="s">
        <v>105</v>
      </c>
      <c r="Z49" s="82">
        <v>41871</v>
      </c>
      <c r="AA49" s="72">
        <v>0</v>
      </c>
      <c r="AB49" s="96" t="s">
        <v>498</v>
      </c>
      <c r="AC49" s="3"/>
      <c r="AD49" s="3"/>
    </row>
    <row r="50" spans="1:30" x14ac:dyDescent="0.2">
      <c r="A50">
        <v>48</v>
      </c>
      <c r="B50" s="61" t="s">
        <v>139</v>
      </c>
      <c r="C50" s="69">
        <v>19</v>
      </c>
      <c r="D50" s="69">
        <v>0</v>
      </c>
      <c r="E50" s="69">
        <v>-120</v>
      </c>
      <c r="F50" s="69">
        <v>62</v>
      </c>
      <c r="G50" s="69">
        <v>0</v>
      </c>
      <c r="H50" s="69">
        <v>-13</v>
      </c>
      <c r="I50" s="69">
        <v>36.4</v>
      </c>
      <c r="J50" s="69">
        <v>0</v>
      </c>
      <c r="K50" s="69">
        <v>-120</v>
      </c>
      <c r="L50" s="69">
        <v>30</v>
      </c>
      <c r="M50" s="69">
        <v>18</v>
      </c>
      <c r="N50" s="69">
        <v>0</v>
      </c>
      <c r="O50" s="69" t="s">
        <v>90</v>
      </c>
      <c r="P50" s="69">
        <v>5</v>
      </c>
      <c r="Q50" s="69">
        <v>20</v>
      </c>
      <c r="R50" s="69">
        <v>64</v>
      </c>
      <c r="S50" s="69">
        <v>58</v>
      </c>
      <c r="T50" s="69">
        <v>64</v>
      </c>
      <c r="U50" s="69">
        <v>58</v>
      </c>
      <c r="V50" s="70"/>
      <c r="W50" s="69"/>
      <c r="X50" s="72" t="s">
        <v>191</v>
      </c>
      <c r="Y50" s="72" t="s">
        <v>191</v>
      </c>
      <c r="Z50" s="82" t="s">
        <v>252</v>
      </c>
      <c r="AA50" s="72" t="s">
        <v>251</v>
      </c>
      <c r="AB50" s="96" t="s">
        <v>498</v>
      </c>
      <c r="AC50" s="3"/>
      <c r="AD50" s="3"/>
    </row>
    <row r="51" spans="1:30" x14ac:dyDescent="0.2">
      <c r="A51">
        <v>49</v>
      </c>
      <c r="B51" s="63" t="s">
        <v>166</v>
      </c>
      <c r="C51" s="75">
        <v>18</v>
      </c>
      <c r="D51" s="75">
        <v>0</v>
      </c>
      <c r="E51" s="75">
        <v>-120</v>
      </c>
      <c r="F51" s="75">
        <v>62</v>
      </c>
      <c r="G51" s="75">
        <v>0</v>
      </c>
      <c r="H51" s="75">
        <v>-13</v>
      </c>
      <c r="I51" s="75">
        <v>36.4</v>
      </c>
      <c r="J51" s="75">
        <v>0</v>
      </c>
      <c r="K51" s="75">
        <v>-120</v>
      </c>
      <c r="L51" s="75">
        <v>30</v>
      </c>
      <c r="M51" s="75">
        <v>18</v>
      </c>
      <c r="N51" s="75">
        <v>0</v>
      </c>
      <c r="O51" s="75" t="s">
        <v>90</v>
      </c>
      <c r="P51" s="75">
        <v>5</v>
      </c>
      <c r="Q51" s="75">
        <v>20</v>
      </c>
      <c r="R51" s="75">
        <v>64</v>
      </c>
      <c r="S51" s="75">
        <v>58</v>
      </c>
      <c r="T51" s="75">
        <v>64</v>
      </c>
      <c r="U51" s="75">
        <v>58</v>
      </c>
      <c r="V51" s="70" t="s">
        <v>151</v>
      </c>
      <c r="W51" s="69" t="s">
        <v>145</v>
      </c>
      <c r="X51" s="72" t="s">
        <v>197</v>
      </c>
      <c r="Y51" s="72" t="s">
        <v>198</v>
      </c>
      <c r="Z51" s="82">
        <v>42996</v>
      </c>
      <c r="AA51" s="72" t="s">
        <v>264</v>
      </c>
      <c r="AB51" s="96" t="s">
        <v>498</v>
      </c>
      <c r="AC51" s="3"/>
      <c r="AD51" s="3"/>
    </row>
    <row r="52" spans="1:30" x14ac:dyDescent="0.2">
      <c r="A52">
        <v>50</v>
      </c>
      <c r="B52" s="61" t="s">
        <v>97</v>
      </c>
      <c r="C52" s="69">
        <v>22</v>
      </c>
      <c r="D52" s="69">
        <v>0</v>
      </c>
      <c r="E52" s="69">
        <v>-120</v>
      </c>
      <c r="F52" s="69">
        <v>72</v>
      </c>
      <c r="G52" s="69">
        <v>0</v>
      </c>
      <c r="H52" s="69">
        <v>-13</v>
      </c>
      <c r="I52" s="69">
        <v>37.6</v>
      </c>
      <c r="J52" s="69">
        <v>0</v>
      </c>
      <c r="K52" s="69">
        <v>-120</v>
      </c>
      <c r="L52" s="69">
        <v>34.924999999999997</v>
      </c>
      <c r="M52" s="69">
        <v>21</v>
      </c>
      <c r="N52" s="69">
        <v>0</v>
      </c>
      <c r="O52" s="69" t="s">
        <v>90</v>
      </c>
      <c r="P52" s="69">
        <v>6</v>
      </c>
      <c r="Q52" s="69">
        <v>20</v>
      </c>
      <c r="R52" s="75"/>
      <c r="S52" s="75"/>
      <c r="T52" s="75"/>
      <c r="U52" s="75"/>
      <c r="V52" s="70"/>
      <c r="W52" s="69"/>
      <c r="X52" s="72" t="s">
        <v>191</v>
      </c>
      <c r="Y52" s="72" t="s">
        <v>191</v>
      </c>
      <c r="Z52" s="82" t="s">
        <v>252</v>
      </c>
      <c r="AA52" s="72" t="s">
        <v>251</v>
      </c>
      <c r="AB52" s="96" t="s">
        <v>498</v>
      </c>
      <c r="AC52" s="3"/>
      <c r="AD52" s="3"/>
    </row>
    <row r="53" spans="1:30" x14ac:dyDescent="0.2">
      <c r="A53">
        <v>51</v>
      </c>
      <c r="B53" s="61" t="s">
        <v>359</v>
      </c>
      <c r="C53" s="69">
        <v>19</v>
      </c>
      <c r="D53" s="69">
        <v>0</v>
      </c>
      <c r="E53" s="69">
        <v>-120</v>
      </c>
      <c r="F53" s="69">
        <v>72</v>
      </c>
      <c r="G53" s="69">
        <v>0</v>
      </c>
      <c r="H53" s="69">
        <v>-13</v>
      </c>
      <c r="I53" s="69">
        <v>37.6</v>
      </c>
      <c r="J53" s="69">
        <v>0</v>
      </c>
      <c r="K53" s="69">
        <v>-120</v>
      </c>
      <c r="L53" s="69">
        <v>36.512500000000003</v>
      </c>
      <c r="M53" s="69">
        <v>21</v>
      </c>
      <c r="N53" s="69">
        <v>0</v>
      </c>
      <c r="O53" s="69" t="s">
        <v>90</v>
      </c>
      <c r="P53" s="69">
        <v>6</v>
      </c>
      <c r="Q53" s="69">
        <v>20</v>
      </c>
      <c r="R53" s="69">
        <v>64</v>
      </c>
      <c r="S53" s="69">
        <v>58</v>
      </c>
      <c r="T53" s="69">
        <v>64</v>
      </c>
      <c r="U53" s="69">
        <v>58</v>
      </c>
      <c r="V53" s="70" t="s">
        <v>333</v>
      </c>
      <c r="W53" s="69" t="s">
        <v>145</v>
      </c>
      <c r="X53" s="72">
        <v>0.44800000000000001</v>
      </c>
      <c r="Y53" s="72">
        <v>0.3</v>
      </c>
      <c r="Z53" s="82">
        <v>42975</v>
      </c>
      <c r="AA53" s="72">
        <v>0</v>
      </c>
      <c r="AB53" s="96" t="s">
        <v>498</v>
      </c>
      <c r="AC53" s="3"/>
      <c r="AD53" s="3"/>
    </row>
    <row r="54" spans="1:30" x14ac:dyDescent="0.2">
      <c r="A54">
        <v>52</v>
      </c>
      <c r="B54" s="61" t="s">
        <v>204</v>
      </c>
      <c r="C54" s="69" t="s">
        <v>105</v>
      </c>
      <c r="D54" s="69" t="s">
        <v>105</v>
      </c>
      <c r="E54" s="69" t="s">
        <v>105</v>
      </c>
      <c r="F54" s="69" t="s">
        <v>105</v>
      </c>
      <c r="G54" s="69" t="s">
        <v>105</v>
      </c>
      <c r="H54" s="69" t="s">
        <v>105</v>
      </c>
      <c r="I54" s="69">
        <v>37.799999999999997</v>
      </c>
      <c r="J54" s="69">
        <v>120</v>
      </c>
      <c r="K54" s="69">
        <v>-20</v>
      </c>
      <c r="L54" s="69">
        <v>34.85</v>
      </c>
      <c r="M54" s="69">
        <v>0</v>
      </c>
      <c r="N54" s="69">
        <v>-160</v>
      </c>
      <c r="O54" s="69" t="s">
        <v>105</v>
      </c>
      <c r="P54" s="69" t="s">
        <v>105</v>
      </c>
      <c r="Q54" s="69" t="s">
        <v>105</v>
      </c>
      <c r="R54" s="69">
        <v>64</v>
      </c>
      <c r="S54" s="69">
        <v>58</v>
      </c>
      <c r="T54" s="69" t="s">
        <v>105</v>
      </c>
      <c r="U54" s="69" t="s">
        <v>105</v>
      </c>
      <c r="V54" s="70" t="s">
        <v>105</v>
      </c>
      <c r="W54" s="69" t="s">
        <v>105</v>
      </c>
      <c r="X54" s="69" t="s">
        <v>105</v>
      </c>
      <c r="Y54" s="69" t="s">
        <v>105</v>
      </c>
      <c r="Z54" s="82" t="s">
        <v>252</v>
      </c>
      <c r="AA54" s="72" t="s">
        <v>251</v>
      </c>
      <c r="AB54" s="96" t="s">
        <v>498</v>
      </c>
      <c r="AC54" s="3"/>
      <c r="AD54" s="3"/>
    </row>
    <row r="55" spans="1:30" x14ac:dyDescent="0.2">
      <c r="A55">
        <v>53</v>
      </c>
      <c r="B55" s="61" t="s">
        <v>124</v>
      </c>
      <c r="C55" s="69">
        <v>18</v>
      </c>
      <c r="D55" s="69">
        <v>0</v>
      </c>
      <c r="E55" s="69">
        <v>-120</v>
      </c>
      <c r="F55" s="69">
        <v>72</v>
      </c>
      <c r="G55" s="69">
        <v>0</v>
      </c>
      <c r="H55" s="69">
        <v>-13</v>
      </c>
      <c r="I55" s="69">
        <v>32.5</v>
      </c>
      <c r="J55" s="69">
        <v>0</v>
      </c>
      <c r="K55" s="69">
        <v>-120</v>
      </c>
      <c r="L55" s="69">
        <v>35</v>
      </c>
      <c r="M55" s="69">
        <v>18</v>
      </c>
      <c r="N55" s="69">
        <v>0</v>
      </c>
      <c r="O55" s="69" t="s">
        <v>85</v>
      </c>
      <c r="P55" s="69">
        <v>15</v>
      </c>
      <c r="Q55" s="69">
        <v>33</v>
      </c>
      <c r="R55" s="69" t="s">
        <v>105</v>
      </c>
      <c r="S55" s="69" t="s">
        <v>105</v>
      </c>
      <c r="T55" s="69" t="s">
        <v>105</v>
      </c>
      <c r="U55" s="69" t="s">
        <v>105</v>
      </c>
      <c r="V55" s="70"/>
      <c r="W55" s="69"/>
      <c r="X55" s="72" t="s">
        <v>191</v>
      </c>
      <c r="Y55" s="72" t="s">
        <v>191</v>
      </c>
      <c r="Z55" s="82" t="s">
        <v>252</v>
      </c>
      <c r="AA55" s="72" t="s">
        <v>251</v>
      </c>
      <c r="AB55" s="96" t="s">
        <v>498</v>
      </c>
      <c r="AC55" s="3"/>
      <c r="AD55" s="3"/>
    </row>
    <row r="56" spans="1:30" x14ac:dyDescent="0.2">
      <c r="A56">
        <v>54</v>
      </c>
      <c r="B56" s="61" t="s">
        <v>360</v>
      </c>
      <c r="C56" s="69">
        <v>19</v>
      </c>
      <c r="D56" s="69">
        <v>0</v>
      </c>
      <c r="E56" s="69">
        <v>-120</v>
      </c>
      <c r="F56" s="69">
        <v>72</v>
      </c>
      <c r="G56" s="69">
        <v>0</v>
      </c>
      <c r="H56" s="69">
        <v>-13</v>
      </c>
      <c r="I56" s="69">
        <v>37.6</v>
      </c>
      <c r="J56" s="69">
        <v>0</v>
      </c>
      <c r="K56" s="69">
        <v>-120</v>
      </c>
      <c r="L56" s="69">
        <v>35</v>
      </c>
      <c r="M56" s="69">
        <v>21</v>
      </c>
      <c r="N56" s="69">
        <v>0</v>
      </c>
      <c r="O56" s="69" t="s">
        <v>90</v>
      </c>
      <c r="P56" s="69">
        <v>6</v>
      </c>
      <c r="Q56" s="69">
        <v>20</v>
      </c>
      <c r="R56" s="69">
        <v>64</v>
      </c>
      <c r="S56" s="69">
        <v>58</v>
      </c>
      <c r="T56" s="69">
        <v>64</v>
      </c>
      <c r="U56" s="69">
        <v>58</v>
      </c>
      <c r="V56" s="70" t="s">
        <v>333</v>
      </c>
      <c r="W56" s="69" t="s">
        <v>145</v>
      </c>
      <c r="X56" s="72">
        <v>0.44800000000000001</v>
      </c>
      <c r="Y56" s="72">
        <v>0.3</v>
      </c>
      <c r="Z56" s="82">
        <v>44165</v>
      </c>
      <c r="AA56" s="72" t="s">
        <v>57</v>
      </c>
      <c r="AB56" s="96" t="s">
        <v>498</v>
      </c>
      <c r="AC56" s="3"/>
      <c r="AD56" s="3"/>
    </row>
    <row r="57" spans="1:30" x14ac:dyDescent="0.2">
      <c r="A57">
        <v>55</v>
      </c>
      <c r="B57" s="61" t="s">
        <v>277</v>
      </c>
      <c r="C57" s="69" t="s">
        <v>105</v>
      </c>
      <c r="D57" s="69" t="s">
        <v>105</v>
      </c>
      <c r="E57" s="69" t="s">
        <v>105</v>
      </c>
      <c r="F57" s="69" t="s">
        <v>105</v>
      </c>
      <c r="G57" s="69" t="s">
        <v>105</v>
      </c>
      <c r="H57" s="69" t="s">
        <v>105</v>
      </c>
      <c r="I57" s="69">
        <v>37.6</v>
      </c>
      <c r="J57" s="69">
        <v>0</v>
      </c>
      <c r="K57" s="69">
        <v>-120</v>
      </c>
      <c r="L57" s="69">
        <v>35</v>
      </c>
      <c r="M57" s="69">
        <v>21</v>
      </c>
      <c r="N57" s="69">
        <v>0</v>
      </c>
      <c r="O57" s="69" t="s">
        <v>105</v>
      </c>
      <c r="P57" s="69" t="s">
        <v>105</v>
      </c>
      <c r="Q57" s="69" t="s">
        <v>105</v>
      </c>
      <c r="R57" s="69">
        <v>64</v>
      </c>
      <c r="S57" s="69">
        <v>58</v>
      </c>
      <c r="T57" s="69" t="s">
        <v>105</v>
      </c>
      <c r="U57" s="69" t="s">
        <v>105</v>
      </c>
      <c r="V57" s="70" t="s">
        <v>105</v>
      </c>
      <c r="W57" s="69" t="s">
        <v>105</v>
      </c>
      <c r="X57" s="72" t="s">
        <v>105</v>
      </c>
      <c r="Y57" s="72" t="s">
        <v>105</v>
      </c>
      <c r="Z57" s="82">
        <v>40665</v>
      </c>
      <c r="AA57" s="72">
        <v>0</v>
      </c>
      <c r="AB57" s="96" t="s">
        <v>498</v>
      </c>
      <c r="AC57" s="3"/>
      <c r="AD57" s="3"/>
    </row>
    <row r="58" spans="1:30" x14ac:dyDescent="0.2">
      <c r="A58">
        <v>56</v>
      </c>
      <c r="B58" s="61" t="s">
        <v>348</v>
      </c>
      <c r="C58" s="69">
        <v>22</v>
      </c>
      <c r="D58" s="69">
        <v>0</v>
      </c>
      <c r="E58" s="69">
        <v>-120</v>
      </c>
      <c r="F58" s="69">
        <v>80</v>
      </c>
      <c r="G58" s="69">
        <v>0</v>
      </c>
      <c r="H58" s="69">
        <v>-13</v>
      </c>
      <c r="I58" s="69">
        <v>42.8</v>
      </c>
      <c r="J58" s="69">
        <v>0</v>
      </c>
      <c r="K58" s="69">
        <v>-120</v>
      </c>
      <c r="L58" s="69">
        <v>40</v>
      </c>
      <c r="M58" s="69">
        <v>21</v>
      </c>
      <c r="N58" s="69">
        <v>0</v>
      </c>
      <c r="O58" s="69" t="s">
        <v>90</v>
      </c>
      <c r="P58" s="69">
        <v>6</v>
      </c>
      <c r="Q58" s="69">
        <v>20</v>
      </c>
      <c r="R58" s="69">
        <v>64</v>
      </c>
      <c r="S58" s="69">
        <v>58</v>
      </c>
      <c r="T58" s="69">
        <v>64</v>
      </c>
      <c r="U58" s="69">
        <v>58</v>
      </c>
      <c r="V58" s="70" t="s">
        <v>165</v>
      </c>
      <c r="W58" s="69" t="s">
        <v>145</v>
      </c>
      <c r="X58" s="72" t="s">
        <v>346</v>
      </c>
      <c r="Y58" s="72" t="s">
        <v>347</v>
      </c>
      <c r="Z58" s="82">
        <v>44165</v>
      </c>
      <c r="AA58" s="72" t="s">
        <v>57</v>
      </c>
      <c r="AB58" s="96" t="s">
        <v>498</v>
      </c>
      <c r="AC58" s="3"/>
      <c r="AD58" s="3"/>
    </row>
    <row r="59" spans="1:30" x14ac:dyDescent="0.2">
      <c r="A59">
        <v>57</v>
      </c>
      <c r="B59" s="61" t="s">
        <v>227</v>
      </c>
      <c r="C59" s="69" t="s">
        <v>105</v>
      </c>
      <c r="D59" s="69" t="s">
        <v>105</v>
      </c>
      <c r="E59" s="69" t="s">
        <v>105</v>
      </c>
      <c r="F59" s="69" t="s">
        <v>105</v>
      </c>
      <c r="G59" s="69" t="s">
        <v>105</v>
      </c>
      <c r="H59" s="69" t="s">
        <v>105</v>
      </c>
      <c r="I59" s="69">
        <v>42.8</v>
      </c>
      <c r="J59" s="69">
        <v>0</v>
      </c>
      <c r="K59" s="69">
        <v>-120</v>
      </c>
      <c r="L59" s="69">
        <v>42.8</v>
      </c>
      <c r="M59" s="69">
        <v>21</v>
      </c>
      <c r="N59" s="69">
        <v>0</v>
      </c>
      <c r="O59" s="69" t="s">
        <v>105</v>
      </c>
      <c r="P59" s="69" t="s">
        <v>105</v>
      </c>
      <c r="Q59" s="69" t="s">
        <v>105</v>
      </c>
      <c r="R59" s="69">
        <v>64</v>
      </c>
      <c r="S59" s="69">
        <v>58</v>
      </c>
      <c r="T59" s="69" t="s">
        <v>105</v>
      </c>
      <c r="U59" s="69" t="s">
        <v>105</v>
      </c>
      <c r="V59" s="70" t="s">
        <v>105</v>
      </c>
      <c r="W59" s="69" t="s">
        <v>105</v>
      </c>
      <c r="X59" s="72" t="s">
        <v>105</v>
      </c>
      <c r="Y59" s="72" t="s">
        <v>105</v>
      </c>
      <c r="Z59" s="82" t="s">
        <v>252</v>
      </c>
      <c r="AA59" s="72" t="s">
        <v>251</v>
      </c>
      <c r="AB59" s="96" t="s">
        <v>498</v>
      </c>
      <c r="AC59" s="3"/>
      <c r="AD59" s="3"/>
    </row>
    <row r="60" spans="1:30" x14ac:dyDescent="0.2">
      <c r="A60">
        <v>58</v>
      </c>
      <c r="B60" s="61" t="s">
        <v>377</v>
      </c>
      <c r="C60" s="69">
        <v>22</v>
      </c>
      <c r="D60" s="69">
        <v>0</v>
      </c>
      <c r="E60" s="69">
        <v>-120</v>
      </c>
      <c r="F60" s="69">
        <v>85</v>
      </c>
      <c r="G60" s="69">
        <v>0</v>
      </c>
      <c r="H60" s="69">
        <v>-15</v>
      </c>
      <c r="I60" s="69">
        <v>42.8</v>
      </c>
      <c r="J60" s="69">
        <v>0</v>
      </c>
      <c r="K60" s="69">
        <v>-120</v>
      </c>
      <c r="L60" s="69">
        <v>42.862499999999997</v>
      </c>
      <c r="M60" s="69">
        <v>21</v>
      </c>
      <c r="N60" s="69">
        <v>0</v>
      </c>
      <c r="O60" s="69" t="s">
        <v>90</v>
      </c>
      <c r="P60" s="69">
        <v>6</v>
      </c>
      <c r="Q60" s="69">
        <v>23</v>
      </c>
      <c r="R60" s="69">
        <v>64</v>
      </c>
      <c r="S60" s="69">
        <v>58</v>
      </c>
      <c r="T60" s="69">
        <v>64</v>
      </c>
      <c r="U60" s="69">
        <v>58</v>
      </c>
      <c r="V60" s="70" t="s">
        <v>170</v>
      </c>
      <c r="W60" s="69" t="s">
        <v>145</v>
      </c>
      <c r="X60" s="72" t="s">
        <v>327</v>
      </c>
      <c r="Y60" s="72" t="s">
        <v>247</v>
      </c>
      <c r="Z60" s="82">
        <v>42996</v>
      </c>
      <c r="AA60" s="72" t="s">
        <v>264</v>
      </c>
      <c r="AB60" s="96" t="s">
        <v>498</v>
      </c>
      <c r="AC60" s="3"/>
      <c r="AD60" s="3"/>
    </row>
    <row r="61" spans="1:30" x14ac:dyDescent="0.2">
      <c r="A61">
        <v>59</v>
      </c>
      <c r="B61" s="61" t="s">
        <v>169</v>
      </c>
      <c r="C61" s="69">
        <v>22</v>
      </c>
      <c r="D61" s="69">
        <v>0</v>
      </c>
      <c r="E61" s="69">
        <v>-120</v>
      </c>
      <c r="F61" s="69">
        <v>85</v>
      </c>
      <c r="G61" s="69">
        <v>0</v>
      </c>
      <c r="H61" s="69">
        <v>-15</v>
      </c>
      <c r="I61" s="69">
        <v>35.4</v>
      </c>
      <c r="J61" s="69">
        <v>0</v>
      </c>
      <c r="K61" s="69">
        <v>-120</v>
      </c>
      <c r="L61" s="69">
        <v>45</v>
      </c>
      <c r="M61" s="69">
        <v>21</v>
      </c>
      <c r="N61" s="69">
        <v>0</v>
      </c>
      <c r="O61" s="69" t="s">
        <v>90</v>
      </c>
      <c r="P61" s="69">
        <v>6</v>
      </c>
      <c r="Q61" s="69">
        <v>23</v>
      </c>
      <c r="R61" s="69">
        <v>64</v>
      </c>
      <c r="S61" s="69">
        <v>58</v>
      </c>
      <c r="T61" s="69">
        <v>64</v>
      </c>
      <c r="U61" s="69">
        <v>58</v>
      </c>
      <c r="V61" s="70" t="s">
        <v>170</v>
      </c>
      <c r="W61" s="69" t="s">
        <v>145</v>
      </c>
      <c r="X61" s="72" t="s">
        <v>191</v>
      </c>
      <c r="Y61" s="72" t="s">
        <v>191</v>
      </c>
      <c r="Z61" s="82" t="s">
        <v>252</v>
      </c>
      <c r="AA61" s="72" t="s">
        <v>251</v>
      </c>
      <c r="AB61" s="96" t="s">
        <v>498</v>
      </c>
      <c r="AC61" s="3"/>
      <c r="AD61" s="3"/>
    </row>
    <row r="62" spans="1:30" x14ac:dyDescent="0.2">
      <c r="A62">
        <v>60</v>
      </c>
      <c r="B62" s="61" t="s">
        <v>169</v>
      </c>
      <c r="C62" s="69">
        <v>22</v>
      </c>
      <c r="D62" s="69">
        <v>0</v>
      </c>
      <c r="E62" s="69">
        <v>-120</v>
      </c>
      <c r="F62" s="69">
        <v>85</v>
      </c>
      <c r="G62" s="69">
        <v>0</v>
      </c>
      <c r="H62" s="69">
        <v>-15</v>
      </c>
      <c r="I62" s="69">
        <v>37.85</v>
      </c>
      <c r="J62" s="69">
        <v>60</v>
      </c>
      <c r="K62" s="69">
        <v>-60</v>
      </c>
      <c r="L62" s="69">
        <v>45</v>
      </c>
      <c r="M62" s="69">
        <v>0</v>
      </c>
      <c r="N62" s="69">
        <v>21</v>
      </c>
      <c r="O62" s="72" t="s">
        <v>230</v>
      </c>
      <c r="P62" s="69">
        <v>6</v>
      </c>
      <c r="Q62" s="69">
        <v>23</v>
      </c>
      <c r="R62" s="69">
        <v>64</v>
      </c>
      <c r="S62" s="69">
        <v>58</v>
      </c>
      <c r="T62" s="69">
        <v>64</v>
      </c>
      <c r="U62" s="69">
        <v>58</v>
      </c>
      <c r="V62" s="79" t="s">
        <v>248</v>
      </c>
      <c r="W62" s="80" t="s">
        <v>145</v>
      </c>
      <c r="X62" s="80" t="s">
        <v>105</v>
      </c>
      <c r="Y62" s="80" t="s">
        <v>105</v>
      </c>
      <c r="Z62" s="82" t="s">
        <v>252</v>
      </c>
      <c r="AA62" s="72" t="s">
        <v>251</v>
      </c>
      <c r="AB62" s="96" t="s">
        <v>498</v>
      </c>
      <c r="AC62" s="3"/>
      <c r="AD62" s="3"/>
    </row>
    <row r="63" spans="1:30" x14ac:dyDescent="0.2">
      <c r="A63">
        <v>61</v>
      </c>
      <c r="B63" s="61" t="s">
        <v>141</v>
      </c>
      <c r="C63" s="69">
        <v>22</v>
      </c>
      <c r="D63" s="69">
        <v>0</v>
      </c>
      <c r="E63" s="69">
        <v>-120</v>
      </c>
      <c r="F63" s="69">
        <v>85</v>
      </c>
      <c r="G63" s="69">
        <v>0</v>
      </c>
      <c r="H63" s="69">
        <v>-15</v>
      </c>
      <c r="I63" s="69">
        <v>42.8</v>
      </c>
      <c r="J63" s="69">
        <v>0</v>
      </c>
      <c r="K63" s="69">
        <v>-120</v>
      </c>
      <c r="L63" s="69">
        <v>45</v>
      </c>
      <c r="M63" s="69">
        <v>21</v>
      </c>
      <c r="N63" s="69">
        <v>0</v>
      </c>
      <c r="O63" s="69" t="s">
        <v>90</v>
      </c>
      <c r="P63" s="69">
        <v>6</v>
      </c>
      <c r="Q63" s="69">
        <v>23</v>
      </c>
      <c r="R63" s="69">
        <v>64</v>
      </c>
      <c r="S63" s="69">
        <v>58</v>
      </c>
      <c r="T63" s="69">
        <v>64</v>
      </c>
      <c r="U63" s="69">
        <v>58</v>
      </c>
      <c r="V63" s="70" t="s">
        <v>334</v>
      </c>
      <c r="W63" s="69" t="s">
        <v>145</v>
      </c>
      <c r="X63" s="72" t="s">
        <v>335</v>
      </c>
      <c r="Y63" s="72" t="s">
        <v>336</v>
      </c>
      <c r="Z63" s="82">
        <v>42996</v>
      </c>
      <c r="AA63" s="72" t="s">
        <v>264</v>
      </c>
      <c r="AB63" s="96" t="s">
        <v>498</v>
      </c>
      <c r="AC63" s="3"/>
      <c r="AD63" s="3"/>
    </row>
    <row r="64" spans="1:30" x14ac:dyDescent="0.2">
      <c r="A64">
        <v>62</v>
      </c>
      <c r="B64" s="61" t="s">
        <v>490</v>
      </c>
      <c r="C64" s="75">
        <v>22</v>
      </c>
      <c r="D64" s="75">
        <v>0</v>
      </c>
      <c r="E64" s="75">
        <v>-120</v>
      </c>
      <c r="F64" s="75">
        <v>90</v>
      </c>
      <c r="G64" s="75">
        <v>0</v>
      </c>
      <c r="H64" s="75">
        <v>-15</v>
      </c>
      <c r="I64" s="75">
        <v>44.2</v>
      </c>
      <c r="J64" s="75">
        <v>0</v>
      </c>
      <c r="K64" s="75">
        <v>-120</v>
      </c>
      <c r="L64" s="75">
        <v>50</v>
      </c>
      <c r="M64" s="75">
        <v>21</v>
      </c>
      <c r="N64" s="75">
        <v>0</v>
      </c>
      <c r="O64" s="75" t="s">
        <v>90</v>
      </c>
      <c r="P64" s="75">
        <v>6</v>
      </c>
      <c r="Q64" s="75">
        <v>23</v>
      </c>
      <c r="R64" s="75">
        <v>64</v>
      </c>
      <c r="S64" s="75">
        <v>58</v>
      </c>
      <c r="T64" s="75">
        <v>64</v>
      </c>
      <c r="U64" s="75">
        <v>58</v>
      </c>
      <c r="V64" s="70" t="s">
        <v>167</v>
      </c>
      <c r="W64" s="69" t="s">
        <v>145</v>
      </c>
      <c r="X64" s="72" t="s">
        <v>216</v>
      </c>
      <c r="Y64" s="72" t="s">
        <v>217</v>
      </c>
      <c r="Z64" s="82">
        <v>42976</v>
      </c>
      <c r="AA64" s="72">
        <v>0</v>
      </c>
      <c r="AB64" s="96" t="s">
        <v>498</v>
      </c>
      <c r="AC64" s="3"/>
      <c r="AD64" s="3"/>
    </row>
    <row r="65" spans="1:30" x14ac:dyDescent="0.2">
      <c r="A65">
        <v>63</v>
      </c>
      <c r="B65" s="61" t="s">
        <v>345</v>
      </c>
      <c r="C65" s="69">
        <v>22</v>
      </c>
      <c r="D65" s="69">
        <v>0</v>
      </c>
      <c r="E65" s="69">
        <v>-120</v>
      </c>
      <c r="F65" s="69">
        <v>90</v>
      </c>
      <c r="G65" s="69">
        <v>0</v>
      </c>
      <c r="H65" s="69">
        <v>-15</v>
      </c>
      <c r="I65" s="69">
        <v>49.2</v>
      </c>
      <c r="J65" s="69">
        <v>0</v>
      </c>
      <c r="K65" s="69">
        <v>-120</v>
      </c>
      <c r="L65" s="69">
        <v>50</v>
      </c>
      <c r="M65" s="69">
        <v>20</v>
      </c>
      <c r="N65" s="69">
        <v>0</v>
      </c>
      <c r="O65" s="69" t="s">
        <v>90</v>
      </c>
      <c r="P65" s="69">
        <v>6</v>
      </c>
      <c r="Q65" s="69">
        <v>23</v>
      </c>
      <c r="R65" s="69">
        <v>64</v>
      </c>
      <c r="S65" s="69">
        <v>58</v>
      </c>
      <c r="T65" s="69">
        <v>64</v>
      </c>
      <c r="U65" s="69">
        <v>58</v>
      </c>
      <c r="V65" s="70" t="s">
        <v>167</v>
      </c>
      <c r="W65" s="69" t="s">
        <v>145</v>
      </c>
      <c r="X65" s="72" t="s">
        <v>216</v>
      </c>
      <c r="Y65" s="72" t="s">
        <v>217</v>
      </c>
      <c r="Z65" s="82">
        <v>44165</v>
      </c>
      <c r="AA65" s="72" t="s">
        <v>57</v>
      </c>
      <c r="AB65" s="96" t="s">
        <v>498</v>
      </c>
      <c r="AC65" s="3"/>
      <c r="AD65" s="3"/>
    </row>
    <row r="66" spans="1:30" x14ac:dyDescent="0.2">
      <c r="A66">
        <v>64</v>
      </c>
      <c r="B66" s="61" t="s">
        <v>100</v>
      </c>
      <c r="C66" s="69">
        <v>24</v>
      </c>
      <c r="D66" s="69">
        <v>0</v>
      </c>
      <c r="E66" s="69">
        <v>-120</v>
      </c>
      <c r="F66" s="69">
        <v>90</v>
      </c>
      <c r="G66" s="69">
        <v>0</v>
      </c>
      <c r="H66" s="69">
        <v>-15</v>
      </c>
      <c r="I66" s="69">
        <v>49.15</v>
      </c>
      <c r="J66" s="69">
        <v>0</v>
      </c>
      <c r="K66" s="69">
        <v>-120</v>
      </c>
      <c r="L66" s="69">
        <v>50</v>
      </c>
      <c r="M66" s="69">
        <v>21</v>
      </c>
      <c r="N66" s="69">
        <v>0</v>
      </c>
      <c r="O66" s="69" t="s">
        <v>90</v>
      </c>
      <c r="P66" s="69">
        <v>6</v>
      </c>
      <c r="Q66" s="69">
        <v>23</v>
      </c>
      <c r="R66" s="69"/>
      <c r="S66" s="69"/>
      <c r="T66" s="69"/>
      <c r="U66" s="69"/>
      <c r="V66" s="70"/>
      <c r="W66" s="69"/>
      <c r="X66" s="72" t="s">
        <v>191</v>
      </c>
      <c r="Y66" s="72" t="s">
        <v>191</v>
      </c>
      <c r="Z66" s="82" t="s">
        <v>252</v>
      </c>
      <c r="AA66" s="72" t="s">
        <v>251</v>
      </c>
      <c r="AB66" s="96" t="s">
        <v>498</v>
      </c>
      <c r="AC66" s="3"/>
      <c r="AD66" s="3"/>
    </row>
    <row r="67" spans="1:30" x14ac:dyDescent="0.2">
      <c r="A67">
        <v>65</v>
      </c>
      <c r="B67" s="61" t="s">
        <v>102</v>
      </c>
      <c r="C67" s="69">
        <v>25</v>
      </c>
      <c r="D67" s="69">
        <v>0</v>
      </c>
      <c r="E67" s="69">
        <v>-120</v>
      </c>
      <c r="F67" s="69">
        <v>100</v>
      </c>
      <c r="G67" s="69">
        <v>0</v>
      </c>
      <c r="H67" s="69">
        <v>-15</v>
      </c>
      <c r="I67" s="69">
        <v>55.5</v>
      </c>
      <c r="J67" s="69">
        <v>0</v>
      </c>
      <c r="K67" s="69">
        <v>150</v>
      </c>
      <c r="L67" s="69">
        <v>55.56</v>
      </c>
      <c r="M67" s="69">
        <v>24</v>
      </c>
      <c r="N67" s="69">
        <v>0</v>
      </c>
      <c r="O67" s="69" t="s">
        <v>90</v>
      </c>
      <c r="P67" s="69">
        <v>8</v>
      </c>
      <c r="Q67" s="69">
        <v>28</v>
      </c>
      <c r="R67" s="69"/>
      <c r="S67" s="69"/>
      <c r="T67" s="69"/>
      <c r="U67" s="69"/>
      <c r="V67" s="70"/>
      <c r="W67" s="69"/>
      <c r="X67" s="72" t="s">
        <v>191</v>
      </c>
      <c r="Y67" s="72" t="s">
        <v>191</v>
      </c>
      <c r="Z67" s="82" t="s">
        <v>252</v>
      </c>
      <c r="AA67" s="72" t="s">
        <v>251</v>
      </c>
      <c r="AB67" s="96" t="s">
        <v>498</v>
      </c>
      <c r="AC67" s="3"/>
      <c r="AD67" s="3"/>
    </row>
    <row r="68" spans="1:30" x14ac:dyDescent="0.2">
      <c r="A68">
        <v>66</v>
      </c>
      <c r="B68" s="61" t="s">
        <v>294</v>
      </c>
      <c r="C68" s="69">
        <v>25</v>
      </c>
      <c r="D68" s="69">
        <v>0</v>
      </c>
      <c r="E68" s="69">
        <v>-120</v>
      </c>
      <c r="F68" s="69">
        <v>100</v>
      </c>
      <c r="G68" s="69">
        <v>0</v>
      </c>
      <c r="H68" s="69">
        <v>-15</v>
      </c>
      <c r="I68" s="69">
        <v>55.5</v>
      </c>
      <c r="J68" s="69">
        <v>0</v>
      </c>
      <c r="K68" s="69">
        <v>-150</v>
      </c>
      <c r="L68" s="69">
        <v>55</v>
      </c>
      <c r="M68" s="69">
        <v>24</v>
      </c>
      <c r="N68" s="69">
        <v>0</v>
      </c>
      <c r="O68" s="69" t="s">
        <v>90</v>
      </c>
      <c r="P68" s="69">
        <v>8</v>
      </c>
      <c r="Q68" s="69">
        <v>28</v>
      </c>
      <c r="R68" s="69">
        <v>64</v>
      </c>
      <c r="S68" s="69">
        <v>58</v>
      </c>
      <c r="T68" s="69">
        <v>64</v>
      </c>
      <c r="U68" s="69">
        <v>58</v>
      </c>
      <c r="V68" s="70" t="s">
        <v>156</v>
      </c>
      <c r="W68" s="69" t="s">
        <v>145</v>
      </c>
      <c r="X68" s="72" t="s">
        <v>293</v>
      </c>
      <c r="Y68" s="72" t="s">
        <v>292</v>
      </c>
      <c r="Z68" s="82">
        <v>42753</v>
      </c>
      <c r="AA68" s="72" t="s">
        <v>264</v>
      </c>
      <c r="AB68" s="96" t="s">
        <v>498</v>
      </c>
      <c r="AC68" s="3"/>
      <c r="AD68" s="3"/>
    </row>
    <row r="69" spans="1:30" x14ac:dyDescent="0.2">
      <c r="A69">
        <v>67</v>
      </c>
      <c r="B69" s="61" t="s">
        <v>113</v>
      </c>
      <c r="C69" s="69">
        <v>27</v>
      </c>
      <c r="D69" s="69">
        <v>0</v>
      </c>
      <c r="E69" s="69">
        <v>-150</v>
      </c>
      <c r="F69" s="69">
        <v>110</v>
      </c>
      <c r="G69" s="69">
        <v>0</v>
      </c>
      <c r="H69" s="69">
        <v>-15</v>
      </c>
      <c r="I69" s="69">
        <v>62</v>
      </c>
      <c r="J69" s="69">
        <v>0</v>
      </c>
      <c r="K69" s="69">
        <v>-150</v>
      </c>
      <c r="L69" s="69">
        <v>61.91</v>
      </c>
      <c r="M69" s="69">
        <v>24</v>
      </c>
      <c r="N69" s="69">
        <v>0</v>
      </c>
      <c r="O69" s="69" t="s">
        <v>90</v>
      </c>
      <c r="P69" s="69">
        <v>8</v>
      </c>
      <c r="Q69" s="69">
        <v>28</v>
      </c>
      <c r="R69" s="69"/>
      <c r="S69" s="69"/>
      <c r="T69" s="69"/>
      <c r="U69" s="69"/>
      <c r="V69" s="70"/>
      <c r="W69" s="69"/>
      <c r="X69" s="72" t="s">
        <v>191</v>
      </c>
      <c r="Y69" s="72" t="s">
        <v>191</v>
      </c>
      <c r="Z69" s="82" t="s">
        <v>252</v>
      </c>
      <c r="AA69" s="72" t="s">
        <v>251</v>
      </c>
      <c r="AB69" s="96" t="s">
        <v>498</v>
      </c>
      <c r="AC69" s="3"/>
      <c r="AD69" s="3"/>
    </row>
    <row r="70" spans="1:30" x14ac:dyDescent="0.2">
      <c r="A70">
        <v>68</v>
      </c>
      <c r="B70" s="61" t="s">
        <v>387</v>
      </c>
      <c r="C70" s="69">
        <v>27</v>
      </c>
      <c r="D70" s="69">
        <v>0</v>
      </c>
      <c r="E70" s="69">
        <v>-150</v>
      </c>
      <c r="F70" s="69">
        <v>110</v>
      </c>
      <c r="G70" s="69">
        <v>0</v>
      </c>
      <c r="H70" s="69">
        <v>-15</v>
      </c>
      <c r="I70" s="69">
        <v>61.8</v>
      </c>
      <c r="J70" s="69">
        <v>0</v>
      </c>
      <c r="K70" s="69">
        <v>-150</v>
      </c>
      <c r="L70" s="69">
        <v>60</v>
      </c>
      <c r="M70" s="69">
        <v>24</v>
      </c>
      <c r="N70" s="69">
        <v>0</v>
      </c>
      <c r="O70" s="69" t="s">
        <v>90</v>
      </c>
      <c r="P70" s="69">
        <v>8</v>
      </c>
      <c r="Q70" s="69">
        <v>28</v>
      </c>
      <c r="R70" s="69">
        <v>64</v>
      </c>
      <c r="S70" s="69">
        <v>58</v>
      </c>
      <c r="T70" s="69">
        <v>64</v>
      </c>
      <c r="U70" s="69">
        <v>58</v>
      </c>
      <c r="V70" s="70" t="s">
        <v>289</v>
      </c>
      <c r="W70" s="69" t="s">
        <v>145</v>
      </c>
      <c r="X70" s="72" t="s">
        <v>290</v>
      </c>
      <c r="Y70" s="72" t="s">
        <v>291</v>
      </c>
      <c r="Z70" s="82">
        <v>42724</v>
      </c>
      <c r="AA70" s="72">
        <v>0</v>
      </c>
      <c r="AB70" s="96" t="s">
        <v>498</v>
      </c>
      <c r="AC70" s="3"/>
      <c r="AD70" s="3"/>
    </row>
    <row r="71" spans="1:30" x14ac:dyDescent="0.2">
      <c r="A71">
        <v>69</v>
      </c>
      <c r="B71" s="60" t="s">
        <v>683</v>
      </c>
      <c r="C71" s="69">
        <v>23</v>
      </c>
      <c r="D71" s="69">
        <v>0</v>
      </c>
      <c r="E71" s="69">
        <v>-120</v>
      </c>
      <c r="F71" s="69">
        <v>72</v>
      </c>
      <c r="G71" s="69">
        <v>0</v>
      </c>
      <c r="H71" s="69">
        <v>-13</v>
      </c>
      <c r="I71" s="69">
        <v>36.5</v>
      </c>
      <c r="J71" s="69">
        <v>0</v>
      </c>
      <c r="K71" s="69">
        <v>-120</v>
      </c>
      <c r="L71" s="69">
        <v>30</v>
      </c>
      <c r="M71" s="69">
        <v>21</v>
      </c>
      <c r="N71" s="69">
        <v>0</v>
      </c>
      <c r="O71" s="69" t="s">
        <v>90</v>
      </c>
      <c r="P71" s="69">
        <v>5</v>
      </c>
      <c r="Q71" s="69">
        <v>20</v>
      </c>
      <c r="R71" s="69">
        <v>64</v>
      </c>
      <c r="S71" s="69">
        <v>58</v>
      </c>
      <c r="T71" s="69">
        <v>64</v>
      </c>
      <c r="U71" s="69">
        <v>58</v>
      </c>
      <c r="V71" s="70" t="s">
        <v>288</v>
      </c>
      <c r="W71" s="69" t="s">
        <v>145</v>
      </c>
      <c r="X71" s="72" t="s">
        <v>684</v>
      </c>
      <c r="Y71" s="72" t="s">
        <v>684</v>
      </c>
      <c r="Z71" s="82">
        <v>45435</v>
      </c>
      <c r="AA71" s="72" t="s">
        <v>264</v>
      </c>
      <c r="AB71" s="96" t="s">
        <v>634</v>
      </c>
      <c r="AC71" s="3"/>
      <c r="AD71" s="3"/>
    </row>
    <row r="72" spans="1:30" x14ac:dyDescent="0.2">
      <c r="A72">
        <v>70</v>
      </c>
      <c r="B72" s="61" t="s">
        <v>137</v>
      </c>
      <c r="C72" s="69">
        <v>26</v>
      </c>
      <c r="D72" s="69">
        <v>0</v>
      </c>
      <c r="E72" s="69">
        <v>-120</v>
      </c>
      <c r="F72" s="69">
        <v>80</v>
      </c>
      <c r="G72" s="69">
        <v>0</v>
      </c>
      <c r="H72" s="69">
        <v>-13</v>
      </c>
      <c r="I72" s="69">
        <v>38.1</v>
      </c>
      <c r="J72" s="69">
        <v>0</v>
      </c>
      <c r="K72" s="69">
        <v>-120</v>
      </c>
      <c r="L72" s="69">
        <v>35</v>
      </c>
      <c r="M72" s="69">
        <v>21</v>
      </c>
      <c r="N72" s="69">
        <v>0</v>
      </c>
      <c r="O72" s="69" t="s">
        <v>85</v>
      </c>
      <c r="P72" s="69">
        <v>15</v>
      </c>
      <c r="Q72" s="69">
        <v>33</v>
      </c>
      <c r="R72" s="69">
        <v>64</v>
      </c>
      <c r="S72" s="69">
        <v>58</v>
      </c>
      <c r="T72" s="69">
        <v>64</v>
      </c>
      <c r="U72" s="69">
        <v>58</v>
      </c>
      <c r="V72" s="70"/>
      <c r="W72" s="69"/>
      <c r="X72" s="72" t="s">
        <v>191</v>
      </c>
      <c r="Y72" s="72" t="s">
        <v>191</v>
      </c>
      <c r="Z72" s="82" t="s">
        <v>252</v>
      </c>
      <c r="AA72" s="72" t="s">
        <v>251</v>
      </c>
      <c r="AB72" s="96" t="s">
        <v>498</v>
      </c>
      <c r="AC72" s="3"/>
      <c r="AD72" s="3"/>
    </row>
    <row r="73" spans="1:30" x14ac:dyDescent="0.2">
      <c r="A73">
        <v>71</v>
      </c>
      <c r="B73" s="61" t="s">
        <v>174</v>
      </c>
      <c r="C73" s="69">
        <v>29</v>
      </c>
      <c r="D73" s="69">
        <v>0</v>
      </c>
      <c r="E73" s="69">
        <v>-120</v>
      </c>
      <c r="F73" s="69">
        <v>110</v>
      </c>
      <c r="G73" s="69">
        <v>0</v>
      </c>
      <c r="H73" s="69">
        <v>-15</v>
      </c>
      <c r="I73" s="69">
        <v>49.2</v>
      </c>
      <c r="J73" s="69">
        <v>0</v>
      </c>
      <c r="K73" s="69">
        <v>-120</v>
      </c>
      <c r="L73" s="69">
        <v>50</v>
      </c>
      <c r="M73" s="69">
        <v>21</v>
      </c>
      <c r="N73" s="69">
        <v>0</v>
      </c>
      <c r="O73" s="69" t="s">
        <v>85</v>
      </c>
      <c r="P73" s="69">
        <v>36</v>
      </c>
      <c r="Q73" s="69">
        <v>18</v>
      </c>
      <c r="R73" s="69">
        <v>64</v>
      </c>
      <c r="S73" s="69">
        <v>58</v>
      </c>
      <c r="T73" s="69">
        <v>64</v>
      </c>
      <c r="U73" s="69">
        <v>58</v>
      </c>
      <c r="V73" s="70" t="s">
        <v>175</v>
      </c>
      <c r="W73" s="76" t="s">
        <v>176</v>
      </c>
      <c r="X73" s="72" t="s">
        <v>191</v>
      </c>
      <c r="Y73" s="72" t="s">
        <v>191</v>
      </c>
      <c r="Z73" s="82" t="s">
        <v>252</v>
      </c>
      <c r="AA73" s="72" t="s">
        <v>251</v>
      </c>
      <c r="AB73" s="96" t="s">
        <v>498</v>
      </c>
      <c r="AC73" s="3"/>
      <c r="AD73" s="3"/>
    </row>
    <row r="74" spans="1:30" x14ac:dyDescent="0.2">
      <c r="A74">
        <v>72</v>
      </c>
      <c r="B74" s="61" t="s">
        <v>122</v>
      </c>
      <c r="C74" s="69">
        <v>31</v>
      </c>
      <c r="D74" s="71">
        <v>0</v>
      </c>
      <c r="E74" s="71">
        <v>-120</v>
      </c>
      <c r="F74" s="71">
        <v>120</v>
      </c>
      <c r="G74" s="71">
        <v>0</v>
      </c>
      <c r="H74" s="71">
        <v>-18</v>
      </c>
      <c r="I74" s="69">
        <v>55.5</v>
      </c>
      <c r="J74" s="69">
        <v>0</v>
      </c>
      <c r="K74" s="69">
        <v>-150</v>
      </c>
      <c r="L74" s="69">
        <v>50.8</v>
      </c>
      <c r="M74" s="69">
        <v>24</v>
      </c>
      <c r="N74" s="69">
        <v>0</v>
      </c>
      <c r="O74" s="69" t="s">
        <v>85</v>
      </c>
      <c r="P74" s="69"/>
      <c r="Q74" s="69"/>
      <c r="R74" s="69"/>
      <c r="S74" s="69"/>
      <c r="T74" s="69"/>
      <c r="U74" s="69"/>
      <c r="V74" s="70"/>
      <c r="W74" s="69"/>
      <c r="X74" s="72" t="s">
        <v>191</v>
      </c>
      <c r="Y74" s="72" t="s">
        <v>191</v>
      </c>
      <c r="Z74" s="82" t="s">
        <v>252</v>
      </c>
      <c r="AA74" s="72" t="s">
        <v>251</v>
      </c>
      <c r="AB74" s="96" t="s">
        <v>498</v>
      </c>
      <c r="AC74" s="3"/>
      <c r="AD74" s="3"/>
    </row>
    <row r="75" spans="1:30" x14ac:dyDescent="0.2">
      <c r="A75">
        <v>73</v>
      </c>
      <c r="B75" s="61" t="s">
        <v>388</v>
      </c>
      <c r="C75" s="69">
        <v>27</v>
      </c>
      <c r="D75" s="69">
        <v>0</v>
      </c>
      <c r="E75" s="69">
        <v>-150</v>
      </c>
      <c r="F75" s="69">
        <v>110</v>
      </c>
      <c r="G75" s="69">
        <v>0</v>
      </c>
      <c r="H75" s="69">
        <v>-15</v>
      </c>
      <c r="I75" s="69">
        <v>65.099999999999994</v>
      </c>
      <c r="J75" s="69">
        <v>0</v>
      </c>
      <c r="K75" s="69">
        <v>-150</v>
      </c>
      <c r="L75" s="69">
        <v>60</v>
      </c>
      <c r="M75" s="69">
        <v>24</v>
      </c>
      <c r="N75" s="69">
        <v>0</v>
      </c>
      <c r="O75" s="69" t="s">
        <v>90</v>
      </c>
      <c r="P75" s="69">
        <v>8</v>
      </c>
      <c r="Q75" s="69">
        <v>28</v>
      </c>
      <c r="R75" s="69">
        <v>64</v>
      </c>
      <c r="S75" s="69">
        <v>58</v>
      </c>
      <c r="T75" s="69">
        <v>64</v>
      </c>
      <c r="U75" s="69">
        <v>58</v>
      </c>
      <c r="V75" s="70" t="s">
        <v>289</v>
      </c>
      <c r="W75" s="69" t="s">
        <v>145</v>
      </c>
      <c r="X75" s="72" t="s">
        <v>290</v>
      </c>
      <c r="Y75" s="72" t="s">
        <v>291</v>
      </c>
      <c r="Z75" s="82">
        <v>42724</v>
      </c>
      <c r="AA75" s="72">
        <v>0</v>
      </c>
      <c r="AB75" s="96" t="s">
        <v>498</v>
      </c>
      <c r="AC75" s="3"/>
      <c r="AD75" s="3"/>
    </row>
    <row r="76" spans="1:30" x14ac:dyDescent="0.2">
      <c r="A76">
        <v>74</v>
      </c>
      <c r="B76" s="60" t="s">
        <v>390</v>
      </c>
      <c r="C76" s="69">
        <v>17</v>
      </c>
      <c r="D76" s="69">
        <v>0</v>
      </c>
      <c r="E76" s="69">
        <v>-120</v>
      </c>
      <c r="F76" s="69">
        <v>72</v>
      </c>
      <c r="G76" s="69">
        <v>0</v>
      </c>
      <c r="H76" s="69">
        <v>-13</v>
      </c>
      <c r="I76" s="69" t="s">
        <v>105</v>
      </c>
      <c r="J76" s="69" t="s">
        <v>105</v>
      </c>
      <c r="K76" s="69" t="s">
        <v>105</v>
      </c>
      <c r="L76" s="69" t="s">
        <v>105</v>
      </c>
      <c r="M76" s="69" t="s">
        <v>105</v>
      </c>
      <c r="N76" s="69" t="s">
        <v>105</v>
      </c>
      <c r="O76" s="69" t="s">
        <v>105</v>
      </c>
      <c r="P76" s="69" t="s">
        <v>105</v>
      </c>
      <c r="Q76" s="69" t="s">
        <v>105</v>
      </c>
      <c r="R76" s="69" t="s">
        <v>105</v>
      </c>
      <c r="S76" s="69" t="s">
        <v>105</v>
      </c>
      <c r="T76" s="69">
        <v>64</v>
      </c>
      <c r="U76" s="69">
        <v>58</v>
      </c>
      <c r="V76" s="70" t="s">
        <v>105</v>
      </c>
      <c r="W76" s="69" t="s">
        <v>105</v>
      </c>
      <c r="X76" s="72" t="s">
        <v>105</v>
      </c>
      <c r="Y76" s="72" t="s">
        <v>105</v>
      </c>
      <c r="Z76" s="82">
        <v>42486</v>
      </c>
      <c r="AA76" s="72">
        <v>0</v>
      </c>
      <c r="AB76" s="96" t="s">
        <v>498</v>
      </c>
      <c r="AC76" s="3"/>
      <c r="AD76" s="3"/>
    </row>
    <row r="77" spans="1:30" x14ac:dyDescent="0.2">
      <c r="A77">
        <v>75</v>
      </c>
      <c r="B77" s="60" t="s">
        <v>391</v>
      </c>
      <c r="C77" s="69">
        <v>19</v>
      </c>
      <c r="D77" s="69">
        <v>0</v>
      </c>
      <c r="E77" s="69">
        <v>-120</v>
      </c>
      <c r="F77" s="69">
        <v>72</v>
      </c>
      <c r="G77" s="69">
        <v>0</v>
      </c>
      <c r="H77" s="69">
        <v>-13</v>
      </c>
      <c r="I77" s="69" t="s">
        <v>105</v>
      </c>
      <c r="J77" s="69" t="s">
        <v>105</v>
      </c>
      <c r="K77" s="69" t="s">
        <v>105</v>
      </c>
      <c r="L77" s="69" t="s">
        <v>105</v>
      </c>
      <c r="M77" s="69" t="s">
        <v>105</v>
      </c>
      <c r="N77" s="69" t="s">
        <v>105</v>
      </c>
      <c r="O77" s="69" t="s">
        <v>105</v>
      </c>
      <c r="P77" s="69" t="s">
        <v>105</v>
      </c>
      <c r="Q77" s="69" t="s">
        <v>105</v>
      </c>
      <c r="R77" s="69" t="s">
        <v>105</v>
      </c>
      <c r="S77" s="69" t="s">
        <v>105</v>
      </c>
      <c r="T77" s="69">
        <v>64</v>
      </c>
      <c r="U77" s="69">
        <v>58</v>
      </c>
      <c r="V77" s="70" t="s">
        <v>105</v>
      </c>
      <c r="W77" s="69" t="s">
        <v>105</v>
      </c>
      <c r="X77" s="72" t="s">
        <v>105</v>
      </c>
      <c r="Y77" s="72" t="s">
        <v>105</v>
      </c>
      <c r="Z77" s="82">
        <v>42591</v>
      </c>
      <c r="AA77" s="72">
        <v>0</v>
      </c>
      <c r="AB77" s="96" t="s">
        <v>498</v>
      </c>
      <c r="AC77" s="3"/>
      <c r="AD77" s="3"/>
    </row>
    <row r="78" spans="1:30" x14ac:dyDescent="0.2">
      <c r="A78">
        <v>76</v>
      </c>
      <c r="B78" s="60" t="s">
        <v>392</v>
      </c>
      <c r="C78" s="69">
        <v>16</v>
      </c>
      <c r="D78" s="69">
        <v>0</v>
      </c>
      <c r="E78" s="69">
        <v>-120</v>
      </c>
      <c r="F78" s="69">
        <v>62</v>
      </c>
      <c r="G78" s="69">
        <v>0</v>
      </c>
      <c r="H78" s="69">
        <v>-13</v>
      </c>
      <c r="I78" s="69" t="s">
        <v>105</v>
      </c>
      <c r="J78" s="69" t="s">
        <v>105</v>
      </c>
      <c r="K78" s="69" t="s">
        <v>105</v>
      </c>
      <c r="L78" s="69" t="s">
        <v>105</v>
      </c>
      <c r="M78" s="69" t="s">
        <v>105</v>
      </c>
      <c r="N78" s="69" t="s">
        <v>105</v>
      </c>
      <c r="O78" s="69" t="s">
        <v>105</v>
      </c>
      <c r="P78" s="69" t="s">
        <v>105</v>
      </c>
      <c r="Q78" s="69" t="s">
        <v>105</v>
      </c>
      <c r="R78" s="69" t="s">
        <v>105</v>
      </c>
      <c r="S78" s="69" t="s">
        <v>105</v>
      </c>
      <c r="T78" s="69">
        <v>64</v>
      </c>
      <c r="U78" s="69">
        <v>58</v>
      </c>
      <c r="V78" s="70" t="s">
        <v>105</v>
      </c>
      <c r="W78" s="69" t="s">
        <v>105</v>
      </c>
      <c r="X78" s="72" t="s">
        <v>105</v>
      </c>
      <c r="Y78" s="72" t="s">
        <v>105</v>
      </c>
      <c r="Z78" s="82">
        <v>42487</v>
      </c>
      <c r="AA78" s="72">
        <v>0</v>
      </c>
      <c r="AB78" s="96" t="s">
        <v>498</v>
      </c>
      <c r="AC78" s="3"/>
      <c r="AD78" s="3"/>
    </row>
    <row r="79" spans="1:30" x14ac:dyDescent="0.2">
      <c r="A79">
        <v>77</v>
      </c>
      <c r="B79" s="65" t="s">
        <v>393</v>
      </c>
      <c r="C79" s="69">
        <v>15</v>
      </c>
      <c r="D79" s="69">
        <v>0</v>
      </c>
      <c r="E79" s="69">
        <v>-120</v>
      </c>
      <c r="F79" s="69">
        <v>52</v>
      </c>
      <c r="G79" s="69">
        <v>0</v>
      </c>
      <c r="H79" s="69">
        <v>-13</v>
      </c>
      <c r="I79" s="69" t="s">
        <v>105</v>
      </c>
      <c r="J79" s="69" t="s">
        <v>105</v>
      </c>
      <c r="K79" s="69" t="s">
        <v>105</v>
      </c>
      <c r="L79" s="69" t="s">
        <v>105</v>
      </c>
      <c r="M79" s="69" t="s">
        <v>105</v>
      </c>
      <c r="N79" s="69" t="s">
        <v>105</v>
      </c>
      <c r="O79" s="69" t="s">
        <v>105</v>
      </c>
      <c r="P79" s="69" t="s">
        <v>105</v>
      </c>
      <c r="Q79" s="69" t="s">
        <v>105</v>
      </c>
      <c r="R79" s="69" t="s">
        <v>105</v>
      </c>
      <c r="S79" s="69" t="s">
        <v>105</v>
      </c>
      <c r="T79" s="69">
        <v>64</v>
      </c>
      <c r="U79" s="69">
        <v>58</v>
      </c>
      <c r="V79" s="70" t="s">
        <v>105</v>
      </c>
      <c r="W79" s="69" t="s">
        <v>105</v>
      </c>
      <c r="X79" s="72" t="s">
        <v>105</v>
      </c>
      <c r="Y79" s="72" t="s">
        <v>105</v>
      </c>
      <c r="Z79" s="82">
        <v>42486</v>
      </c>
      <c r="AA79" s="72">
        <v>0</v>
      </c>
      <c r="AB79" s="96" t="s">
        <v>498</v>
      </c>
      <c r="AC79" s="3"/>
      <c r="AD79" s="3"/>
    </row>
    <row r="80" spans="1:30" x14ac:dyDescent="0.2">
      <c r="A80">
        <v>78</v>
      </c>
      <c r="B80" s="61" t="s">
        <v>344</v>
      </c>
      <c r="C80" s="69">
        <v>19</v>
      </c>
      <c r="D80" s="69">
        <v>0</v>
      </c>
      <c r="E80" s="69">
        <v>-120</v>
      </c>
      <c r="F80" s="69">
        <v>72</v>
      </c>
      <c r="G80" s="69">
        <v>0</v>
      </c>
      <c r="H80" s="69">
        <v>-13</v>
      </c>
      <c r="I80" s="69">
        <v>42.9</v>
      </c>
      <c r="J80" s="69">
        <v>0</v>
      </c>
      <c r="K80" s="69">
        <v>-120</v>
      </c>
      <c r="L80" s="69">
        <v>35</v>
      </c>
      <c r="M80" s="69">
        <v>21</v>
      </c>
      <c r="N80" s="69">
        <v>0</v>
      </c>
      <c r="O80" s="72" t="s">
        <v>90</v>
      </c>
      <c r="P80" s="69">
        <v>6</v>
      </c>
      <c r="Q80" s="69">
        <v>20</v>
      </c>
      <c r="R80" s="69">
        <v>64</v>
      </c>
      <c r="S80" s="69">
        <v>58</v>
      </c>
      <c r="T80" s="69">
        <v>64</v>
      </c>
      <c r="U80" s="69">
        <v>58</v>
      </c>
      <c r="V80" s="77" t="s">
        <v>333</v>
      </c>
      <c r="W80" s="72" t="s">
        <v>145</v>
      </c>
      <c r="X80" s="72" t="s">
        <v>342</v>
      </c>
      <c r="Y80" s="72" t="s">
        <v>343</v>
      </c>
      <c r="Z80" s="82">
        <v>42993</v>
      </c>
      <c r="AA80" s="72" t="s">
        <v>264</v>
      </c>
      <c r="AB80" s="96" t="s">
        <v>498</v>
      </c>
      <c r="AC80" s="3"/>
      <c r="AD80" s="3"/>
    </row>
    <row r="81" spans="1:30" x14ac:dyDescent="0.2">
      <c r="A81">
        <v>79</v>
      </c>
      <c r="B81" s="61" t="s">
        <v>361</v>
      </c>
      <c r="C81" s="69">
        <v>22</v>
      </c>
      <c r="D81" s="69">
        <v>0</v>
      </c>
      <c r="E81" s="69">
        <v>-120</v>
      </c>
      <c r="F81" s="69">
        <v>85</v>
      </c>
      <c r="G81" s="69">
        <v>0</v>
      </c>
      <c r="H81" s="69">
        <v>-15</v>
      </c>
      <c r="I81" s="69">
        <v>42.8</v>
      </c>
      <c r="J81" s="69">
        <v>0</v>
      </c>
      <c r="K81" s="69">
        <v>-120</v>
      </c>
      <c r="L81" s="69">
        <v>44.45</v>
      </c>
      <c r="M81" s="69">
        <v>21</v>
      </c>
      <c r="N81" s="69">
        <v>0</v>
      </c>
      <c r="O81" s="69" t="s">
        <v>90</v>
      </c>
      <c r="P81" s="69">
        <v>6</v>
      </c>
      <c r="Q81" s="69">
        <v>23</v>
      </c>
      <c r="R81" s="69">
        <v>64</v>
      </c>
      <c r="S81" s="69">
        <v>58</v>
      </c>
      <c r="T81" s="69">
        <v>64</v>
      </c>
      <c r="U81" s="69">
        <v>58</v>
      </c>
      <c r="V81" s="70" t="s">
        <v>362</v>
      </c>
      <c r="W81" s="69" t="s">
        <v>145</v>
      </c>
      <c r="X81" s="72" t="s">
        <v>363</v>
      </c>
      <c r="Y81" s="72" t="s">
        <v>364</v>
      </c>
      <c r="Z81" s="82">
        <v>42996</v>
      </c>
      <c r="AA81" s="72" t="s">
        <v>264</v>
      </c>
      <c r="AB81" s="96" t="s">
        <v>498</v>
      </c>
      <c r="AC81" s="3"/>
      <c r="AD81" s="3"/>
    </row>
    <row r="82" spans="1:30" x14ac:dyDescent="0.2">
      <c r="A82">
        <v>80</v>
      </c>
      <c r="B82" s="60" t="s">
        <v>365</v>
      </c>
      <c r="C82" s="69">
        <v>18</v>
      </c>
      <c r="D82" s="69">
        <v>0</v>
      </c>
      <c r="E82" s="69">
        <v>-120</v>
      </c>
      <c r="F82" s="69">
        <v>62</v>
      </c>
      <c r="G82" s="69">
        <v>0</v>
      </c>
      <c r="H82" s="69">
        <v>-13</v>
      </c>
      <c r="I82" s="69">
        <v>23.82</v>
      </c>
      <c r="J82" s="69">
        <v>0</v>
      </c>
      <c r="K82" s="69">
        <v>-120</v>
      </c>
      <c r="L82" s="69">
        <v>30</v>
      </c>
      <c r="M82" s="69">
        <v>18</v>
      </c>
      <c r="N82" s="69">
        <v>0</v>
      </c>
      <c r="O82" s="69" t="s">
        <v>90</v>
      </c>
      <c r="P82" s="69">
        <v>6</v>
      </c>
      <c r="Q82" s="69">
        <v>20</v>
      </c>
      <c r="R82" s="69">
        <v>64</v>
      </c>
      <c r="S82" s="69">
        <v>58</v>
      </c>
      <c r="T82" s="69">
        <v>64</v>
      </c>
      <c r="U82" s="69">
        <v>58</v>
      </c>
      <c r="V82" s="70" t="s">
        <v>366</v>
      </c>
      <c r="W82" s="69" t="s">
        <v>145</v>
      </c>
      <c r="X82" s="72">
        <v>9.0999999999999998E-2</v>
      </c>
      <c r="Y82" s="72">
        <v>5.6000000000000001E-2</v>
      </c>
      <c r="Z82" s="82">
        <v>44165</v>
      </c>
      <c r="AA82" s="72" t="s">
        <v>57</v>
      </c>
      <c r="AB82" s="96" t="s">
        <v>498</v>
      </c>
      <c r="AC82" s="3"/>
      <c r="AD82" s="3"/>
    </row>
    <row r="83" spans="1:30" x14ac:dyDescent="0.2">
      <c r="A83">
        <v>81</v>
      </c>
      <c r="B83" s="63" t="s">
        <v>367</v>
      </c>
      <c r="C83" s="75">
        <v>18</v>
      </c>
      <c r="D83" s="75">
        <v>0</v>
      </c>
      <c r="E83" s="75">
        <v>-120</v>
      </c>
      <c r="F83" s="75">
        <v>62</v>
      </c>
      <c r="G83" s="75">
        <v>0</v>
      </c>
      <c r="H83" s="75">
        <v>-13</v>
      </c>
      <c r="I83" s="75">
        <v>30</v>
      </c>
      <c r="J83" s="75">
        <v>0</v>
      </c>
      <c r="K83" s="75">
        <v>-120</v>
      </c>
      <c r="L83" s="75">
        <v>30</v>
      </c>
      <c r="M83" s="75">
        <v>18</v>
      </c>
      <c r="N83" s="75">
        <v>0</v>
      </c>
      <c r="O83" s="75" t="s">
        <v>90</v>
      </c>
      <c r="P83" s="75">
        <v>6</v>
      </c>
      <c r="Q83" s="75">
        <v>20</v>
      </c>
      <c r="R83" s="69">
        <v>64</v>
      </c>
      <c r="S83" s="69">
        <v>58</v>
      </c>
      <c r="T83" s="69">
        <v>64</v>
      </c>
      <c r="U83" s="69">
        <v>58</v>
      </c>
      <c r="V83" s="70" t="s">
        <v>368</v>
      </c>
      <c r="W83" s="69" t="s">
        <v>145</v>
      </c>
      <c r="X83" s="72">
        <v>9.0999999999999998E-2</v>
      </c>
      <c r="Y83" s="72">
        <v>5.6000000000000001E-2</v>
      </c>
      <c r="Z83" s="82">
        <v>42993</v>
      </c>
      <c r="AA83" s="72" t="s">
        <v>264</v>
      </c>
      <c r="AB83" s="96" t="s">
        <v>498</v>
      </c>
      <c r="AC83" s="3"/>
      <c r="AD83" s="3"/>
    </row>
    <row r="84" spans="1:30" x14ac:dyDescent="0.2">
      <c r="A84">
        <v>82</v>
      </c>
      <c r="B84" s="60" t="s">
        <v>369</v>
      </c>
      <c r="C84" s="69">
        <v>22</v>
      </c>
      <c r="D84" s="69">
        <v>0</v>
      </c>
      <c r="E84" s="69">
        <v>-120</v>
      </c>
      <c r="F84" s="69">
        <v>80</v>
      </c>
      <c r="G84" s="69">
        <v>0</v>
      </c>
      <c r="H84" s="69">
        <v>-13</v>
      </c>
      <c r="I84" s="69">
        <v>42.8</v>
      </c>
      <c r="J84" s="69">
        <v>0</v>
      </c>
      <c r="K84" s="69">
        <v>-120</v>
      </c>
      <c r="L84" s="69">
        <v>38.1</v>
      </c>
      <c r="M84" s="69">
        <v>21</v>
      </c>
      <c r="N84" s="69">
        <v>0</v>
      </c>
      <c r="O84" s="75" t="s">
        <v>90</v>
      </c>
      <c r="P84" s="75">
        <v>6</v>
      </c>
      <c r="Q84" s="75">
        <v>20</v>
      </c>
      <c r="R84" s="69">
        <v>64</v>
      </c>
      <c r="S84" s="69">
        <v>58</v>
      </c>
      <c r="T84" s="69">
        <v>64</v>
      </c>
      <c r="U84" s="69">
        <v>58</v>
      </c>
      <c r="V84" s="70" t="s">
        <v>370</v>
      </c>
      <c r="W84" s="69" t="s">
        <v>145</v>
      </c>
      <c r="X84" s="72">
        <v>0.56699999999999995</v>
      </c>
      <c r="Y84" s="72">
        <v>0.378</v>
      </c>
      <c r="Z84" s="82">
        <v>42993</v>
      </c>
      <c r="AA84" s="72" t="s">
        <v>264</v>
      </c>
      <c r="AB84" s="3" t="s">
        <v>498</v>
      </c>
      <c r="AC84" s="3"/>
      <c r="AD84" s="3"/>
    </row>
    <row r="85" spans="1:30" x14ac:dyDescent="0.2">
      <c r="A85">
        <v>83</v>
      </c>
      <c r="B85" s="60" t="s">
        <v>371</v>
      </c>
      <c r="C85" s="69">
        <v>18</v>
      </c>
      <c r="D85" s="69">
        <v>0</v>
      </c>
      <c r="E85" s="69">
        <v>-120</v>
      </c>
      <c r="F85" s="69">
        <v>62</v>
      </c>
      <c r="G85" s="69">
        <v>0</v>
      </c>
      <c r="H85" s="69">
        <v>-13</v>
      </c>
      <c r="I85" s="69">
        <v>36.4</v>
      </c>
      <c r="J85" s="69">
        <v>0</v>
      </c>
      <c r="K85" s="69">
        <v>-120</v>
      </c>
      <c r="L85" s="69">
        <v>30</v>
      </c>
      <c r="M85" s="69">
        <v>18</v>
      </c>
      <c r="N85" s="69">
        <v>0</v>
      </c>
      <c r="O85" s="69" t="s">
        <v>90</v>
      </c>
      <c r="P85" s="69">
        <v>5</v>
      </c>
      <c r="Q85" s="69">
        <v>20</v>
      </c>
      <c r="R85" s="69">
        <v>64</v>
      </c>
      <c r="S85" s="69">
        <v>58</v>
      </c>
      <c r="T85" s="69">
        <v>64</v>
      </c>
      <c r="U85" s="69">
        <v>58</v>
      </c>
      <c r="V85" s="70" t="s">
        <v>366</v>
      </c>
      <c r="W85" s="69" t="s">
        <v>145</v>
      </c>
      <c r="X85" s="72">
        <v>0.33</v>
      </c>
      <c r="Y85" s="72">
        <v>0.22</v>
      </c>
      <c r="Z85" s="82">
        <v>42996</v>
      </c>
      <c r="AA85" s="72" t="s">
        <v>264</v>
      </c>
      <c r="AB85" s="98" t="s">
        <v>498</v>
      </c>
      <c r="AC85" s="97"/>
      <c r="AD85" s="3"/>
    </row>
    <row r="86" spans="1:30" x14ac:dyDescent="0.2">
      <c r="A86">
        <v>84</v>
      </c>
      <c r="B86" s="61" t="s">
        <v>372</v>
      </c>
      <c r="C86" s="69">
        <v>18</v>
      </c>
      <c r="D86" s="69">
        <v>0</v>
      </c>
      <c r="E86" s="69">
        <v>-120</v>
      </c>
      <c r="F86" s="69">
        <v>62</v>
      </c>
      <c r="G86" s="69">
        <v>0</v>
      </c>
      <c r="H86" s="69">
        <v>-13</v>
      </c>
      <c r="I86" s="69">
        <v>38.1</v>
      </c>
      <c r="J86" s="69">
        <v>0</v>
      </c>
      <c r="K86" s="69">
        <v>-120</v>
      </c>
      <c r="L86" s="69">
        <v>30</v>
      </c>
      <c r="M86" s="69">
        <v>18</v>
      </c>
      <c r="N86" s="69">
        <v>0</v>
      </c>
      <c r="O86" s="69" t="s">
        <v>90</v>
      </c>
      <c r="P86" s="69">
        <v>5</v>
      </c>
      <c r="Q86" s="69">
        <v>20</v>
      </c>
      <c r="R86" s="69">
        <v>64</v>
      </c>
      <c r="S86" s="69">
        <v>58</v>
      </c>
      <c r="T86" s="69">
        <v>64</v>
      </c>
      <c r="U86" s="69">
        <v>58</v>
      </c>
      <c r="V86" s="70" t="s">
        <v>366</v>
      </c>
      <c r="W86" s="69" t="s">
        <v>145</v>
      </c>
      <c r="X86" s="72">
        <v>0.33</v>
      </c>
      <c r="Y86" s="72">
        <v>0.22</v>
      </c>
      <c r="Z86" s="82">
        <v>42993</v>
      </c>
      <c r="AA86" s="72" t="s">
        <v>264</v>
      </c>
      <c r="AB86" s="3" t="s">
        <v>498</v>
      </c>
      <c r="AC86" s="3"/>
      <c r="AD86" s="3"/>
    </row>
    <row r="87" spans="1:30" x14ac:dyDescent="0.2">
      <c r="A87">
        <v>85</v>
      </c>
      <c r="B87" s="60" t="s">
        <v>373</v>
      </c>
      <c r="C87" s="69">
        <v>22</v>
      </c>
      <c r="D87" s="69">
        <v>0</v>
      </c>
      <c r="E87" s="69">
        <v>-120</v>
      </c>
      <c r="F87" s="69">
        <v>80</v>
      </c>
      <c r="G87" s="69">
        <v>0</v>
      </c>
      <c r="H87" s="69">
        <v>-13</v>
      </c>
      <c r="I87" s="69">
        <v>49.2</v>
      </c>
      <c r="J87" s="69">
        <v>0</v>
      </c>
      <c r="K87" s="69">
        <v>-120</v>
      </c>
      <c r="L87" s="69">
        <v>38.1</v>
      </c>
      <c r="M87" s="69">
        <v>21</v>
      </c>
      <c r="N87" s="69">
        <v>0</v>
      </c>
      <c r="O87" s="69" t="s">
        <v>90</v>
      </c>
      <c r="P87" s="69">
        <v>6</v>
      </c>
      <c r="Q87" s="69">
        <v>20</v>
      </c>
      <c r="R87" s="69">
        <v>64</v>
      </c>
      <c r="S87" s="69">
        <v>58</v>
      </c>
      <c r="T87" s="69">
        <v>64</v>
      </c>
      <c r="U87" s="69">
        <v>58</v>
      </c>
      <c r="V87" s="70" t="s">
        <v>370</v>
      </c>
      <c r="W87" s="69" t="s">
        <v>145</v>
      </c>
      <c r="X87" s="72">
        <v>0.56699999999999995</v>
      </c>
      <c r="Y87" s="72">
        <v>0.378</v>
      </c>
      <c r="Z87" s="82">
        <v>42993</v>
      </c>
      <c r="AA87" s="72" t="s">
        <v>264</v>
      </c>
      <c r="AB87" s="3" t="s">
        <v>498</v>
      </c>
      <c r="AC87" s="3"/>
      <c r="AD87" s="3"/>
    </row>
    <row r="88" spans="1:30" x14ac:dyDescent="0.2">
      <c r="A88">
        <v>86</v>
      </c>
      <c r="B88" s="61" t="s">
        <v>374</v>
      </c>
      <c r="C88" s="69">
        <v>15</v>
      </c>
      <c r="D88" s="69">
        <v>0</v>
      </c>
      <c r="E88" s="69">
        <v>-120</v>
      </c>
      <c r="F88" s="69">
        <v>52</v>
      </c>
      <c r="G88" s="69">
        <v>0</v>
      </c>
      <c r="H88" s="69">
        <v>-13</v>
      </c>
      <c r="I88" s="69">
        <v>21.5</v>
      </c>
      <c r="J88" s="69">
        <v>0</v>
      </c>
      <c r="K88" s="69">
        <v>-120</v>
      </c>
      <c r="L88" s="72">
        <v>25.4</v>
      </c>
      <c r="M88" s="69">
        <v>18</v>
      </c>
      <c r="N88" s="69">
        <v>0</v>
      </c>
      <c r="O88" s="69" t="s">
        <v>85</v>
      </c>
      <c r="P88" s="69">
        <v>13</v>
      </c>
      <c r="Q88" s="69">
        <v>28</v>
      </c>
      <c r="R88" s="69">
        <v>64</v>
      </c>
      <c r="S88" s="69">
        <v>58</v>
      </c>
      <c r="T88" s="69">
        <v>64</v>
      </c>
      <c r="U88" s="69">
        <v>58</v>
      </c>
      <c r="V88" s="70" t="s">
        <v>559</v>
      </c>
      <c r="W88" s="69" t="s">
        <v>145</v>
      </c>
      <c r="X88" s="72">
        <v>9.0999999999999998E-2</v>
      </c>
      <c r="Y88" s="72">
        <v>5.6000000000000001E-2</v>
      </c>
      <c r="Z88" s="82">
        <v>44224</v>
      </c>
      <c r="AA88" s="72" t="s">
        <v>57</v>
      </c>
      <c r="AB88" s="3" t="s">
        <v>498</v>
      </c>
      <c r="AC88" s="3"/>
      <c r="AD88" s="3"/>
    </row>
    <row r="89" spans="1:30" x14ac:dyDescent="0.2">
      <c r="A89">
        <v>87</v>
      </c>
      <c r="B89" s="61" t="s">
        <v>375</v>
      </c>
      <c r="C89" s="69">
        <v>22</v>
      </c>
      <c r="D89" s="69">
        <v>0</v>
      </c>
      <c r="E89" s="69">
        <v>-120</v>
      </c>
      <c r="F89" s="69">
        <v>80</v>
      </c>
      <c r="G89" s="69">
        <v>0</v>
      </c>
      <c r="H89" s="69">
        <v>-13</v>
      </c>
      <c r="I89" s="69">
        <v>30.18</v>
      </c>
      <c r="J89" s="69">
        <v>0</v>
      </c>
      <c r="K89" s="69">
        <v>-120</v>
      </c>
      <c r="L89" s="69">
        <v>38.1</v>
      </c>
      <c r="M89" s="69">
        <v>21</v>
      </c>
      <c r="N89" s="69">
        <v>0</v>
      </c>
      <c r="O89" s="69" t="s">
        <v>90</v>
      </c>
      <c r="P89" s="69">
        <v>6</v>
      </c>
      <c r="Q89" s="69">
        <v>20</v>
      </c>
      <c r="R89" s="69">
        <v>64</v>
      </c>
      <c r="S89" s="69">
        <v>58</v>
      </c>
      <c r="T89" s="69">
        <v>64</v>
      </c>
      <c r="U89" s="69">
        <v>58</v>
      </c>
      <c r="V89" s="70" t="s">
        <v>370</v>
      </c>
      <c r="W89" s="69" t="s">
        <v>145</v>
      </c>
      <c r="X89" s="72">
        <v>0.17599999999999999</v>
      </c>
      <c r="Y89" s="72">
        <v>0.127</v>
      </c>
      <c r="Z89" s="82">
        <v>42997</v>
      </c>
      <c r="AA89" s="72">
        <v>0</v>
      </c>
      <c r="AB89" s="3" t="s">
        <v>498</v>
      </c>
      <c r="AC89" s="3"/>
      <c r="AD89" s="3"/>
    </row>
    <row r="90" spans="1:30" x14ac:dyDescent="0.2">
      <c r="A90">
        <v>88</v>
      </c>
      <c r="B90" s="84" t="s">
        <v>378</v>
      </c>
      <c r="C90" s="73">
        <v>19</v>
      </c>
      <c r="D90" s="73">
        <v>0</v>
      </c>
      <c r="E90" s="73">
        <v>-120</v>
      </c>
      <c r="F90" s="73">
        <v>85</v>
      </c>
      <c r="G90" s="73">
        <v>0</v>
      </c>
      <c r="H90" s="73">
        <v>-15</v>
      </c>
      <c r="I90" s="73" t="s">
        <v>105</v>
      </c>
      <c r="J90" s="73" t="s">
        <v>105</v>
      </c>
      <c r="K90" s="73" t="s">
        <v>105</v>
      </c>
      <c r="L90" s="73" t="s">
        <v>105</v>
      </c>
      <c r="M90" s="73" t="s">
        <v>105</v>
      </c>
      <c r="N90" s="73" t="s">
        <v>105</v>
      </c>
      <c r="O90" s="73" t="s">
        <v>105</v>
      </c>
      <c r="P90" s="73" t="s">
        <v>105</v>
      </c>
      <c r="Q90" s="73" t="s">
        <v>105</v>
      </c>
      <c r="R90" s="73" t="s">
        <v>105</v>
      </c>
      <c r="S90" s="73" t="s">
        <v>105</v>
      </c>
      <c r="T90" s="73">
        <v>64</v>
      </c>
      <c r="U90" s="73">
        <v>58</v>
      </c>
      <c r="V90" s="70" t="s">
        <v>105</v>
      </c>
      <c r="W90" s="69" t="s">
        <v>105</v>
      </c>
      <c r="X90" s="72" t="s">
        <v>105</v>
      </c>
      <c r="Y90" s="72" t="s">
        <v>105</v>
      </c>
      <c r="Z90" s="82">
        <v>42534</v>
      </c>
      <c r="AA90" s="72">
        <v>0</v>
      </c>
      <c r="AB90" s="3" t="s">
        <v>498</v>
      </c>
      <c r="AC90" s="3"/>
      <c r="AD90" s="3"/>
    </row>
    <row r="91" spans="1:30" x14ac:dyDescent="0.2">
      <c r="A91">
        <v>89</v>
      </c>
      <c r="B91" s="59" t="s">
        <v>379</v>
      </c>
      <c r="C91" s="69">
        <v>22</v>
      </c>
      <c r="D91" s="69">
        <v>0</v>
      </c>
      <c r="E91" s="69">
        <v>-120</v>
      </c>
      <c r="F91" s="69">
        <v>80</v>
      </c>
      <c r="G91" s="69">
        <v>0</v>
      </c>
      <c r="H91" s="69">
        <v>-13</v>
      </c>
      <c r="I91" s="69">
        <v>49.2</v>
      </c>
      <c r="J91" s="69">
        <v>0</v>
      </c>
      <c r="K91" s="69">
        <v>-120</v>
      </c>
      <c r="L91" s="69">
        <v>40</v>
      </c>
      <c r="M91" s="69">
        <v>25</v>
      </c>
      <c r="N91" s="69">
        <v>0</v>
      </c>
      <c r="O91" s="69" t="s">
        <v>90</v>
      </c>
      <c r="P91" s="69">
        <v>6</v>
      </c>
      <c r="Q91" s="69">
        <v>20</v>
      </c>
      <c r="R91" s="69">
        <v>64</v>
      </c>
      <c r="S91" s="69">
        <v>58</v>
      </c>
      <c r="T91" s="69">
        <v>64</v>
      </c>
      <c r="U91" s="69">
        <v>58</v>
      </c>
      <c r="V91" s="70" t="s">
        <v>325</v>
      </c>
      <c r="W91" s="69" t="s">
        <v>145</v>
      </c>
      <c r="X91" s="69" t="s">
        <v>320</v>
      </c>
      <c r="Y91" s="69" t="s">
        <v>320</v>
      </c>
      <c r="Z91" s="82">
        <v>43095</v>
      </c>
      <c r="AA91" s="72">
        <v>0</v>
      </c>
      <c r="AB91" s="3" t="s">
        <v>498</v>
      </c>
      <c r="AC91" s="3"/>
      <c r="AD91" s="3"/>
    </row>
    <row r="92" spans="1:30" x14ac:dyDescent="0.2">
      <c r="A92">
        <v>90</v>
      </c>
      <c r="B92" s="61" t="s">
        <v>380</v>
      </c>
      <c r="C92" s="69">
        <v>19</v>
      </c>
      <c r="D92" s="69">
        <v>0</v>
      </c>
      <c r="E92" s="69">
        <v>-120</v>
      </c>
      <c r="F92" s="69">
        <v>72</v>
      </c>
      <c r="G92" s="69">
        <v>0</v>
      </c>
      <c r="H92" s="69">
        <v>-13</v>
      </c>
      <c r="I92" s="69">
        <v>42.9</v>
      </c>
      <c r="J92" s="69">
        <v>0</v>
      </c>
      <c r="K92" s="69">
        <v>-120</v>
      </c>
      <c r="L92" s="69">
        <v>35</v>
      </c>
      <c r="M92" s="69">
        <v>21</v>
      </c>
      <c r="N92" s="69">
        <v>0</v>
      </c>
      <c r="O92" s="69" t="s">
        <v>90</v>
      </c>
      <c r="P92" s="69">
        <v>6</v>
      </c>
      <c r="Q92" s="69">
        <v>20</v>
      </c>
      <c r="R92" s="69">
        <v>64</v>
      </c>
      <c r="S92" s="69">
        <v>58</v>
      </c>
      <c r="T92" s="69">
        <v>64</v>
      </c>
      <c r="U92" s="69">
        <v>58</v>
      </c>
      <c r="V92" s="70" t="s">
        <v>325</v>
      </c>
      <c r="W92" s="69" t="s">
        <v>145</v>
      </c>
      <c r="X92" s="69" t="s">
        <v>320</v>
      </c>
      <c r="Y92" s="69" t="s">
        <v>320</v>
      </c>
      <c r="Z92" s="82">
        <v>43095</v>
      </c>
      <c r="AA92" s="72">
        <v>0</v>
      </c>
      <c r="AB92" s="3" t="s">
        <v>498</v>
      </c>
      <c r="AC92" s="3"/>
      <c r="AD92" s="3"/>
    </row>
    <row r="93" spans="1:30" x14ac:dyDescent="0.2">
      <c r="A93">
        <v>91</v>
      </c>
      <c r="B93" s="60" t="s">
        <v>381</v>
      </c>
      <c r="C93" s="69">
        <v>18</v>
      </c>
      <c r="D93" s="69">
        <v>0</v>
      </c>
      <c r="E93" s="69">
        <v>-120</v>
      </c>
      <c r="F93" s="69">
        <v>62</v>
      </c>
      <c r="G93" s="69">
        <v>0</v>
      </c>
      <c r="H93" s="69">
        <v>-11</v>
      </c>
      <c r="I93" s="69">
        <v>38.1</v>
      </c>
      <c r="J93" s="69">
        <v>0</v>
      </c>
      <c r="K93" s="69">
        <v>-120</v>
      </c>
      <c r="L93" s="69">
        <v>30</v>
      </c>
      <c r="M93" s="69">
        <v>21</v>
      </c>
      <c r="N93" s="69">
        <v>0</v>
      </c>
      <c r="O93" s="69" t="s">
        <v>90</v>
      </c>
      <c r="P93" s="69">
        <v>5</v>
      </c>
      <c r="Q93" s="69">
        <v>20</v>
      </c>
      <c r="R93" s="69">
        <v>64</v>
      </c>
      <c r="S93" s="69">
        <v>58</v>
      </c>
      <c r="T93" s="69">
        <v>64</v>
      </c>
      <c r="U93" s="69">
        <v>58</v>
      </c>
      <c r="V93" s="70" t="s">
        <v>325</v>
      </c>
      <c r="W93" s="69" t="s">
        <v>145</v>
      </c>
      <c r="X93" s="69" t="s">
        <v>320</v>
      </c>
      <c r="Y93" s="69" t="s">
        <v>320</v>
      </c>
      <c r="Z93" s="82">
        <v>43095</v>
      </c>
      <c r="AA93" s="72">
        <v>0</v>
      </c>
      <c r="AB93" s="3" t="s">
        <v>498</v>
      </c>
      <c r="AC93" s="3"/>
      <c r="AD93" s="3"/>
    </row>
    <row r="94" spans="1:30" x14ac:dyDescent="0.2">
      <c r="A94">
        <v>92</v>
      </c>
      <c r="B94" s="60" t="s">
        <v>382</v>
      </c>
      <c r="C94" s="69">
        <v>15</v>
      </c>
      <c r="D94" s="69">
        <v>0</v>
      </c>
      <c r="E94" s="69">
        <v>-120</v>
      </c>
      <c r="F94" s="69">
        <v>52</v>
      </c>
      <c r="G94" s="69">
        <v>0</v>
      </c>
      <c r="H94" s="69">
        <v>-11</v>
      </c>
      <c r="I94" s="69">
        <v>34</v>
      </c>
      <c r="J94" s="69">
        <v>0</v>
      </c>
      <c r="K94" s="69">
        <v>-120</v>
      </c>
      <c r="L94" s="69">
        <v>25</v>
      </c>
      <c r="M94" s="69">
        <v>21</v>
      </c>
      <c r="N94" s="69">
        <v>0</v>
      </c>
      <c r="O94" s="69" t="s">
        <v>90</v>
      </c>
      <c r="P94" s="69">
        <v>5</v>
      </c>
      <c r="Q94" s="69">
        <v>20</v>
      </c>
      <c r="R94" s="69">
        <v>64</v>
      </c>
      <c r="S94" s="69">
        <v>58</v>
      </c>
      <c r="T94" s="69">
        <v>64</v>
      </c>
      <c r="U94" s="69">
        <v>58</v>
      </c>
      <c r="V94" s="70" t="s">
        <v>325</v>
      </c>
      <c r="W94" s="69" t="s">
        <v>145</v>
      </c>
      <c r="X94" s="69" t="s">
        <v>320</v>
      </c>
      <c r="Y94" s="69" t="s">
        <v>320</v>
      </c>
      <c r="Z94" s="82">
        <v>43095</v>
      </c>
      <c r="AA94" s="72">
        <v>0</v>
      </c>
      <c r="AB94" s="3" t="s">
        <v>498</v>
      </c>
      <c r="AC94" s="3"/>
      <c r="AD94" s="3"/>
    </row>
    <row r="95" spans="1:30" x14ac:dyDescent="0.2">
      <c r="A95">
        <v>93</v>
      </c>
      <c r="B95" s="60" t="s">
        <v>383</v>
      </c>
      <c r="C95" s="69">
        <v>22</v>
      </c>
      <c r="D95" s="69">
        <v>0</v>
      </c>
      <c r="E95" s="69">
        <v>-120</v>
      </c>
      <c r="F95" s="69">
        <v>85</v>
      </c>
      <c r="G95" s="69">
        <v>0</v>
      </c>
      <c r="H95" s="69">
        <v>-15</v>
      </c>
      <c r="I95" s="69">
        <v>49.2</v>
      </c>
      <c r="J95" s="69">
        <v>0</v>
      </c>
      <c r="K95" s="69">
        <v>-120</v>
      </c>
      <c r="L95" s="69">
        <v>45</v>
      </c>
      <c r="M95" s="69">
        <v>25</v>
      </c>
      <c r="N95" s="69">
        <v>0</v>
      </c>
      <c r="O95" s="69" t="s">
        <v>90</v>
      </c>
      <c r="P95" s="69">
        <v>6</v>
      </c>
      <c r="Q95" s="69">
        <v>23</v>
      </c>
      <c r="R95" s="69">
        <v>64</v>
      </c>
      <c r="S95" s="69">
        <v>58</v>
      </c>
      <c r="T95" s="69">
        <v>64</v>
      </c>
      <c r="U95" s="69">
        <v>58</v>
      </c>
      <c r="V95" s="70" t="s">
        <v>325</v>
      </c>
      <c r="W95" s="69" t="s">
        <v>145</v>
      </c>
      <c r="X95" s="69" t="s">
        <v>320</v>
      </c>
      <c r="Y95" s="69" t="s">
        <v>320</v>
      </c>
      <c r="Z95" s="82">
        <v>43095</v>
      </c>
      <c r="AA95" s="72">
        <v>0</v>
      </c>
      <c r="AB95" s="3" t="s">
        <v>498</v>
      </c>
      <c r="AC95" s="3"/>
      <c r="AD95" s="3"/>
    </row>
    <row r="96" spans="1:30" x14ac:dyDescent="0.2">
      <c r="A96">
        <v>94</v>
      </c>
      <c r="B96" s="60" t="s">
        <v>394</v>
      </c>
      <c r="C96" s="69">
        <v>15</v>
      </c>
      <c r="D96" s="69">
        <v>0</v>
      </c>
      <c r="E96" s="69">
        <v>-120</v>
      </c>
      <c r="F96" s="69">
        <v>52</v>
      </c>
      <c r="G96" s="69">
        <v>0</v>
      </c>
      <c r="H96" s="69">
        <v>-13</v>
      </c>
      <c r="I96" s="69" t="s">
        <v>105</v>
      </c>
      <c r="J96" s="69" t="s">
        <v>105</v>
      </c>
      <c r="K96" s="69" t="s">
        <v>105</v>
      </c>
      <c r="L96" s="69" t="s">
        <v>105</v>
      </c>
      <c r="M96" s="69" t="s">
        <v>105</v>
      </c>
      <c r="N96" s="69" t="s">
        <v>105</v>
      </c>
      <c r="O96" s="69" t="s">
        <v>105</v>
      </c>
      <c r="P96" s="69" t="s">
        <v>105</v>
      </c>
      <c r="Q96" s="69" t="s">
        <v>105</v>
      </c>
      <c r="R96" s="69" t="s">
        <v>105</v>
      </c>
      <c r="S96" s="69" t="s">
        <v>105</v>
      </c>
      <c r="T96" s="69">
        <v>64</v>
      </c>
      <c r="U96" s="69">
        <v>58</v>
      </c>
      <c r="V96" s="70" t="s">
        <v>105</v>
      </c>
      <c r="W96" s="69" t="s">
        <v>105</v>
      </c>
      <c r="X96" s="72" t="s">
        <v>105</v>
      </c>
      <c r="Y96" s="72" t="s">
        <v>105</v>
      </c>
      <c r="Z96" s="82">
        <v>40674</v>
      </c>
      <c r="AA96" s="72">
        <v>0</v>
      </c>
      <c r="AB96" s="3" t="s">
        <v>498</v>
      </c>
      <c r="AC96" s="3"/>
      <c r="AD96" s="3"/>
    </row>
    <row r="97" spans="1:30" x14ac:dyDescent="0.2">
      <c r="A97">
        <v>95</v>
      </c>
      <c r="B97" s="61" t="s">
        <v>226</v>
      </c>
      <c r="C97" s="69">
        <v>15</v>
      </c>
      <c r="D97" s="69">
        <v>0</v>
      </c>
      <c r="E97" s="69">
        <v>-120</v>
      </c>
      <c r="F97" s="69">
        <v>52</v>
      </c>
      <c r="G97" s="69">
        <v>0</v>
      </c>
      <c r="H97" s="69">
        <v>-13</v>
      </c>
      <c r="I97" s="69" t="s">
        <v>105</v>
      </c>
      <c r="J97" s="69" t="s">
        <v>105</v>
      </c>
      <c r="K97" s="69" t="s">
        <v>105</v>
      </c>
      <c r="L97" s="69" t="s">
        <v>105</v>
      </c>
      <c r="M97" s="69" t="s">
        <v>105</v>
      </c>
      <c r="N97" s="69" t="s">
        <v>105</v>
      </c>
      <c r="O97" s="69" t="s">
        <v>105</v>
      </c>
      <c r="P97" s="69" t="s">
        <v>105</v>
      </c>
      <c r="Q97" s="69" t="s">
        <v>105</v>
      </c>
      <c r="R97" s="69" t="s">
        <v>105</v>
      </c>
      <c r="S97" s="69" t="s">
        <v>105</v>
      </c>
      <c r="T97" s="69">
        <v>64</v>
      </c>
      <c r="U97" s="69">
        <v>58</v>
      </c>
      <c r="V97" s="70" t="s">
        <v>105</v>
      </c>
      <c r="W97" s="69" t="s">
        <v>105</v>
      </c>
      <c r="X97" s="69" t="s">
        <v>105</v>
      </c>
      <c r="Y97" s="69" t="s">
        <v>105</v>
      </c>
      <c r="Z97" s="82">
        <v>40674</v>
      </c>
      <c r="AA97" s="72">
        <v>0</v>
      </c>
      <c r="AB97" s="3" t="s">
        <v>498</v>
      </c>
      <c r="AC97" s="3"/>
      <c r="AD97" s="3"/>
    </row>
    <row r="98" spans="1:30" x14ac:dyDescent="0.2">
      <c r="A98">
        <v>96</v>
      </c>
      <c r="B98" s="61" t="s">
        <v>199</v>
      </c>
      <c r="C98" s="69">
        <v>15.15</v>
      </c>
      <c r="D98" s="69">
        <v>120</v>
      </c>
      <c r="E98" s="69">
        <v>0</v>
      </c>
      <c r="F98" s="69">
        <v>52.15</v>
      </c>
      <c r="G98" s="69">
        <v>150</v>
      </c>
      <c r="H98" s="69">
        <v>0</v>
      </c>
      <c r="I98" s="69" t="s">
        <v>105</v>
      </c>
      <c r="J98" s="69" t="s">
        <v>105</v>
      </c>
      <c r="K98" s="69" t="s">
        <v>105</v>
      </c>
      <c r="L98" s="69" t="s">
        <v>105</v>
      </c>
      <c r="M98" s="69" t="s">
        <v>105</v>
      </c>
      <c r="N98" s="69" t="s">
        <v>105</v>
      </c>
      <c r="O98" s="69" t="s">
        <v>105</v>
      </c>
      <c r="P98" s="69" t="s">
        <v>105</v>
      </c>
      <c r="Q98" s="69" t="s">
        <v>105</v>
      </c>
      <c r="R98" s="69" t="s">
        <v>105</v>
      </c>
      <c r="S98" s="69" t="s">
        <v>105</v>
      </c>
      <c r="T98" s="69">
        <v>64</v>
      </c>
      <c r="U98" s="69">
        <v>58</v>
      </c>
      <c r="V98" s="70" t="s">
        <v>105</v>
      </c>
      <c r="W98" s="69" t="s">
        <v>105</v>
      </c>
      <c r="X98" s="69" t="s">
        <v>105</v>
      </c>
      <c r="Y98" s="69" t="s">
        <v>105</v>
      </c>
      <c r="Z98" s="82" t="s">
        <v>252</v>
      </c>
      <c r="AA98" s="72" t="s">
        <v>251</v>
      </c>
      <c r="AB98" s="3" t="s">
        <v>498</v>
      </c>
      <c r="AC98" s="3"/>
      <c r="AD98" s="3"/>
    </row>
    <row r="99" spans="1:30" x14ac:dyDescent="0.2">
      <c r="A99">
        <v>97</v>
      </c>
      <c r="B99" s="61" t="s">
        <v>318</v>
      </c>
      <c r="C99" s="69">
        <v>18</v>
      </c>
      <c r="D99" s="69">
        <v>0</v>
      </c>
      <c r="E99" s="69">
        <v>-120</v>
      </c>
      <c r="F99" s="69">
        <v>62</v>
      </c>
      <c r="G99" s="69">
        <v>0</v>
      </c>
      <c r="H99" s="69">
        <v>-13</v>
      </c>
      <c r="I99" s="69" t="s">
        <v>105</v>
      </c>
      <c r="J99" s="69" t="s">
        <v>105</v>
      </c>
      <c r="K99" s="69" t="s">
        <v>105</v>
      </c>
      <c r="L99" s="69" t="s">
        <v>105</v>
      </c>
      <c r="M99" s="69" t="s">
        <v>105</v>
      </c>
      <c r="N99" s="69" t="s">
        <v>105</v>
      </c>
      <c r="O99" s="69" t="s">
        <v>105</v>
      </c>
      <c r="P99" s="69" t="s">
        <v>105</v>
      </c>
      <c r="Q99" s="69" t="s">
        <v>105</v>
      </c>
      <c r="R99" s="69" t="s">
        <v>105</v>
      </c>
      <c r="S99" s="69" t="s">
        <v>105</v>
      </c>
      <c r="T99" s="69">
        <v>64</v>
      </c>
      <c r="U99" s="69">
        <v>58</v>
      </c>
      <c r="V99" s="70" t="s">
        <v>105</v>
      </c>
      <c r="W99" s="69" t="s">
        <v>105</v>
      </c>
      <c r="X99" s="69" t="s">
        <v>105</v>
      </c>
      <c r="Y99" s="69" t="s">
        <v>105</v>
      </c>
      <c r="Z99" s="82">
        <v>42649</v>
      </c>
      <c r="AA99" s="72">
        <v>0</v>
      </c>
      <c r="AB99" s="3" t="s">
        <v>498</v>
      </c>
      <c r="AC99" s="3"/>
      <c r="AD99" s="3"/>
    </row>
    <row r="100" spans="1:30" x14ac:dyDescent="0.2">
      <c r="A100">
        <v>98</v>
      </c>
      <c r="B100" s="61" t="s">
        <v>202</v>
      </c>
      <c r="C100" s="69">
        <v>19.149999999999999</v>
      </c>
      <c r="D100" s="69">
        <v>120</v>
      </c>
      <c r="E100" s="69">
        <v>0</v>
      </c>
      <c r="F100" s="69">
        <v>72.150000000000006</v>
      </c>
      <c r="G100" s="69">
        <v>150</v>
      </c>
      <c r="H100" s="69">
        <v>0</v>
      </c>
      <c r="I100" s="69" t="s">
        <v>105</v>
      </c>
      <c r="J100" s="69" t="s">
        <v>105</v>
      </c>
      <c r="K100" s="69" t="s">
        <v>105</v>
      </c>
      <c r="L100" s="69" t="s">
        <v>105</v>
      </c>
      <c r="M100" s="69" t="s">
        <v>105</v>
      </c>
      <c r="N100" s="69" t="s">
        <v>105</v>
      </c>
      <c r="O100" s="69" t="s">
        <v>105</v>
      </c>
      <c r="P100" s="69" t="s">
        <v>105</v>
      </c>
      <c r="Q100" s="69" t="s">
        <v>105</v>
      </c>
      <c r="R100" s="69" t="s">
        <v>105</v>
      </c>
      <c r="S100" s="69" t="s">
        <v>105</v>
      </c>
      <c r="T100" s="69">
        <v>64</v>
      </c>
      <c r="U100" s="69">
        <v>58</v>
      </c>
      <c r="V100" s="70" t="s">
        <v>105</v>
      </c>
      <c r="W100" s="69" t="s">
        <v>105</v>
      </c>
      <c r="X100" s="69" t="s">
        <v>105</v>
      </c>
      <c r="Y100" s="69" t="s">
        <v>105</v>
      </c>
      <c r="Z100" s="82">
        <v>40669</v>
      </c>
      <c r="AA100" s="72">
        <v>0</v>
      </c>
      <c r="AB100" s="3" t="s">
        <v>498</v>
      </c>
      <c r="AC100" s="3"/>
      <c r="AD100" s="3"/>
    </row>
    <row r="101" spans="1:30" x14ac:dyDescent="0.2">
      <c r="A101">
        <v>99</v>
      </c>
      <c r="B101" s="60" t="s">
        <v>91</v>
      </c>
      <c r="C101" s="69">
        <v>18</v>
      </c>
      <c r="D101" s="69">
        <v>0</v>
      </c>
      <c r="E101" s="69">
        <v>-120</v>
      </c>
      <c r="F101" s="69">
        <v>62</v>
      </c>
      <c r="G101" s="69">
        <v>0</v>
      </c>
      <c r="H101" s="69">
        <v>-13</v>
      </c>
      <c r="I101" s="69">
        <v>18</v>
      </c>
      <c r="J101" s="69">
        <v>0</v>
      </c>
      <c r="K101" s="69">
        <v>-120</v>
      </c>
      <c r="L101" s="69">
        <v>30</v>
      </c>
      <c r="M101" s="69">
        <v>0</v>
      </c>
      <c r="N101" s="69">
        <v>-10</v>
      </c>
      <c r="O101" s="69" t="s">
        <v>85</v>
      </c>
      <c r="P101" s="69">
        <v>13</v>
      </c>
      <c r="Q101" s="69">
        <v>28</v>
      </c>
      <c r="R101" s="69"/>
      <c r="S101" s="69"/>
      <c r="T101" s="69"/>
      <c r="U101" s="69"/>
      <c r="V101" s="70"/>
      <c r="W101" s="69"/>
      <c r="X101" s="72" t="s">
        <v>191</v>
      </c>
      <c r="Y101" s="72" t="s">
        <v>191</v>
      </c>
      <c r="Z101" s="82" t="s">
        <v>252</v>
      </c>
      <c r="AA101" s="72" t="s">
        <v>251</v>
      </c>
      <c r="AB101" s="3" t="s">
        <v>498</v>
      </c>
      <c r="AC101" s="3"/>
      <c r="AD101" s="3"/>
    </row>
    <row r="102" spans="1:30" x14ac:dyDescent="0.2">
      <c r="A102">
        <v>100</v>
      </c>
      <c r="B102" s="61" t="s">
        <v>99</v>
      </c>
      <c r="C102" s="69">
        <v>19</v>
      </c>
      <c r="D102" s="69">
        <v>0</v>
      </c>
      <c r="E102" s="69">
        <v>-120</v>
      </c>
      <c r="F102" s="69">
        <v>72</v>
      </c>
      <c r="G102" s="69">
        <v>0</v>
      </c>
      <c r="H102" s="69">
        <v>-13</v>
      </c>
      <c r="I102" s="69">
        <v>19</v>
      </c>
      <c r="J102" s="69">
        <v>0</v>
      </c>
      <c r="K102" s="69">
        <v>-120</v>
      </c>
      <c r="L102" s="69">
        <v>35</v>
      </c>
      <c r="M102" s="69">
        <v>0</v>
      </c>
      <c r="N102" s="69">
        <v>-12</v>
      </c>
      <c r="O102" s="69" t="s">
        <v>85</v>
      </c>
      <c r="P102" s="69">
        <v>15</v>
      </c>
      <c r="Q102" s="69">
        <v>33</v>
      </c>
      <c r="R102" s="69"/>
      <c r="S102" s="69"/>
      <c r="T102" s="69"/>
      <c r="U102" s="69"/>
      <c r="V102" s="70"/>
      <c r="W102" s="69"/>
      <c r="X102" s="72" t="s">
        <v>191</v>
      </c>
      <c r="Y102" s="72" t="s">
        <v>191</v>
      </c>
      <c r="Z102" s="82" t="s">
        <v>252</v>
      </c>
      <c r="AA102" s="72" t="s">
        <v>251</v>
      </c>
      <c r="AB102" s="3" t="s">
        <v>498</v>
      </c>
      <c r="AC102" s="3"/>
      <c r="AD102" s="3"/>
    </row>
    <row r="103" spans="1:30" x14ac:dyDescent="0.2">
      <c r="A103">
        <v>101</v>
      </c>
      <c r="B103" s="61" t="s">
        <v>220</v>
      </c>
      <c r="C103" s="69">
        <v>15</v>
      </c>
      <c r="D103" s="69">
        <v>0</v>
      </c>
      <c r="E103" s="69">
        <v>-120</v>
      </c>
      <c r="F103" s="69">
        <v>47</v>
      </c>
      <c r="G103" s="69">
        <v>0</v>
      </c>
      <c r="H103" s="69">
        <v>-11</v>
      </c>
      <c r="I103" s="69" t="s">
        <v>105</v>
      </c>
      <c r="J103" s="69" t="s">
        <v>105</v>
      </c>
      <c r="K103" s="69" t="s">
        <v>105</v>
      </c>
      <c r="L103" s="69" t="s">
        <v>105</v>
      </c>
      <c r="M103" s="69" t="s">
        <v>105</v>
      </c>
      <c r="N103" s="69" t="s">
        <v>105</v>
      </c>
      <c r="O103" s="69" t="s">
        <v>105</v>
      </c>
      <c r="P103" s="69" t="s">
        <v>105</v>
      </c>
      <c r="Q103" s="69" t="s">
        <v>105</v>
      </c>
      <c r="R103" s="69" t="s">
        <v>105</v>
      </c>
      <c r="S103" s="69" t="s">
        <v>105</v>
      </c>
      <c r="T103" s="69">
        <v>64</v>
      </c>
      <c r="U103" s="69">
        <v>58</v>
      </c>
      <c r="V103" s="70" t="s">
        <v>105</v>
      </c>
      <c r="W103" s="69" t="s">
        <v>105</v>
      </c>
      <c r="X103" s="69" t="s">
        <v>105</v>
      </c>
      <c r="Y103" s="69" t="s">
        <v>105</v>
      </c>
      <c r="Z103" s="82" t="s">
        <v>252</v>
      </c>
      <c r="AA103" s="72" t="s">
        <v>251</v>
      </c>
      <c r="AB103" s="3" t="s">
        <v>498</v>
      </c>
      <c r="AC103" s="3"/>
      <c r="AD103" s="3"/>
    </row>
    <row r="104" spans="1:30" x14ac:dyDescent="0.2">
      <c r="A104">
        <v>102</v>
      </c>
      <c r="B104" s="61" t="s">
        <v>221</v>
      </c>
      <c r="C104" s="69" t="s">
        <v>105</v>
      </c>
      <c r="D104" s="69" t="s">
        <v>105</v>
      </c>
      <c r="E104" s="69" t="s">
        <v>105</v>
      </c>
      <c r="F104" s="69" t="s">
        <v>105</v>
      </c>
      <c r="G104" s="69" t="s">
        <v>105</v>
      </c>
      <c r="H104" s="69" t="s">
        <v>105</v>
      </c>
      <c r="I104" s="69">
        <v>31</v>
      </c>
      <c r="J104" s="69">
        <v>0</v>
      </c>
      <c r="K104" s="69">
        <v>-120</v>
      </c>
      <c r="L104" s="69">
        <v>20</v>
      </c>
      <c r="M104" s="69">
        <v>18</v>
      </c>
      <c r="N104" s="69">
        <v>0</v>
      </c>
      <c r="O104" s="69" t="s">
        <v>105</v>
      </c>
      <c r="P104" s="69" t="s">
        <v>105</v>
      </c>
      <c r="Q104" s="69" t="s">
        <v>105</v>
      </c>
      <c r="R104" s="69">
        <v>64</v>
      </c>
      <c r="S104" s="69">
        <v>58</v>
      </c>
      <c r="T104" s="69" t="s">
        <v>105</v>
      </c>
      <c r="U104" s="69" t="s">
        <v>105</v>
      </c>
      <c r="V104" s="70" t="s">
        <v>105</v>
      </c>
      <c r="W104" s="69" t="s">
        <v>105</v>
      </c>
      <c r="X104" s="69" t="s">
        <v>105</v>
      </c>
      <c r="Y104" s="69" t="s">
        <v>105</v>
      </c>
      <c r="Z104" s="82" t="s">
        <v>252</v>
      </c>
      <c r="AA104" s="72" t="s">
        <v>251</v>
      </c>
      <c r="AB104" s="3" t="s">
        <v>498</v>
      </c>
      <c r="AC104" s="3"/>
      <c r="AD104" s="3"/>
    </row>
    <row r="105" spans="1:30" x14ac:dyDescent="0.2">
      <c r="A105">
        <v>103</v>
      </c>
      <c r="B105" s="83" t="s">
        <v>229</v>
      </c>
      <c r="C105" s="69">
        <v>15</v>
      </c>
      <c r="D105" s="69">
        <v>0</v>
      </c>
      <c r="E105" s="69">
        <v>-120</v>
      </c>
      <c r="F105" s="69">
        <v>47</v>
      </c>
      <c r="G105" s="69">
        <v>0</v>
      </c>
      <c r="H105" s="69">
        <v>-11</v>
      </c>
      <c r="I105" s="69">
        <v>31</v>
      </c>
      <c r="J105" s="69">
        <v>0</v>
      </c>
      <c r="K105" s="69">
        <v>-120</v>
      </c>
      <c r="L105" s="69">
        <v>20</v>
      </c>
      <c r="M105" s="69">
        <v>20</v>
      </c>
      <c r="N105" s="69">
        <v>0</v>
      </c>
      <c r="O105" s="69" t="s">
        <v>230</v>
      </c>
      <c r="P105" s="69">
        <v>5</v>
      </c>
      <c r="Q105" s="69">
        <v>20</v>
      </c>
      <c r="R105" s="69">
        <v>64</v>
      </c>
      <c r="S105" s="69">
        <v>58</v>
      </c>
      <c r="T105" s="69">
        <v>64</v>
      </c>
      <c r="U105" s="69">
        <v>58</v>
      </c>
      <c r="V105" s="70" t="s">
        <v>325</v>
      </c>
      <c r="W105" s="69" t="s">
        <v>145</v>
      </c>
      <c r="X105" s="72" t="s">
        <v>231</v>
      </c>
      <c r="Y105" s="72" t="s">
        <v>232</v>
      </c>
      <c r="Z105" s="82">
        <v>40604</v>
      </c>
      <c r="AA105" s="72">
        <v>0</v>
      </c>
      <c r="AB105" s="3" t="s">
        <v>498</v>
      </c>
    </row>
    <row r="106" spans="1:30" x14ac:dyDescent="0.2">
      <c r="A106">
        <v>104</v>
      </c>
      <c r="B106" s="60" t="s">
        <v>358</v>
      </c>
      <c r="C106" s="69">
        <v>15</v>
      </c>
      <c r="D106" s="69">
        <v>0</v>
      </c>
      <c r="E106" s="69">
        <v>-120</v>
      </c>
      <c r="F106" s="69">
        <v>52</v>
      </c>
      <c r="G106" s="69">
        <v>0</v>
      </c>
      <c r="H106" s="69">
        <v>-13</v>
      </c>
      <c r="I106" s="69">
        <v>34</v>
      </c>
      <c r="J106" s="69">
        <v>0</v>
      </c>
      <c r="K106" s="69">
        <v>-120</v>
      </c>
      <c r="L106" s="69">
        <v>25.4</v>
      </c>
      <c r="M106" s="69">
        <v>18</v>
      </c>
      <c r="N106" s="69">
        <v>0</v>
      </c>
      <c r="O106" s="72" t="s">
        <v>90</v>
      </c>
      <c r="P106" s="69">
        <v>5</v>
      </c>
      <c r="Q106" s="69">
        <v>20</v>
      </c>
      <c r="R106" s="69">
        <v>64</v>
      </c>
      <c r="S106" s="69">
        <v>58</v>
      </c>
      <c r="T106" s="69">
        <v>64</v>
      </c>
      <c r="U106" s="69">
        <v>58</v>
      </c>
      <c r="V106" s="90" t="s">
        <v>354</v>
      </c>
      <c r="W106" s="72" t="s">
        <v>145</v>
      </c>
      <c r="X106" s="72">
        <v>0.23</v>
      </c>
      <c r="Y106" s="72">
        <v>0.157</v>
      </c>
      <c r="Z106" s="82">
        <v>42993</v>
      </c>
      <c r="AA106" s="72" t="s">
        <v>264</v>
      </c>
      <c r="AB106" s="3" t="s">
        <v>498</v>
      </c>
      <c r="AC106" s="3"/>
      <c r="AD106" s="3"/>
    </row>
    <row r="107" spans="1:30" x14ac:dyDescent="0.2">
      <c r="A107">
        <v>105</v>
      </c>
      <c r="B107" s="61" t="s">
        <v>242</v>
      </c>
      <c r="C107" s="69" t="s">
        <v>105</v>
      </c>
      <c r="D107" s="69" t="s">
        <v>105</v>
      </c>
      <c r="E107" s="69" t="s">
        <v>105</v>
      </c>
      <c r="F107" s="69" t="s">
        <v>105</v>
      </c>
      <c r="G107" s="69" t="s">
        <v>105</v>
      </c>
      <c r="H107" s="69" t="s">
        <v>105</v>
      </c>
      <c r="I107" s="69">
        <v>34.15</v>
      </c>
      <c r="J107" s="69">
        <v>120</v>
      </c>
      <c r="K107" s="69">
        <v>20</v>
      </c>
      <c r="L107" s="69">
        <v>24.8</v>
      </c>
      <c r="M107" s="69">
        <v>0</v>
      </c>
      <c r="N107" s="69">
        <v>-15</v>
      </c>
      <c r="O107" s="69" t="s">
        <v>105</v>
      </c>
      <c r="P107" s="69" t="s">
        <v>105</v>
      </c>
      <c r="Q107" s="69" t="s">
        <v>105</v>
      </c>
      <c r="R107" s="69" t="s">
        <v>105</v>
      </c>
      <c r="S107" s="69">
        <v>64</v>
      </c>
      <c r="T107" s="69">
        <v>58</v>
      </c>
      <c r="U107" s="69" t="s">
        <v>105</v>
      </c>
      <c r="V107" s="70" t="s">
        <v>105</v>
      </c>
      <c r="W107" s="69" t="s">
        <v>105</v>
      </c>
      <c r="X107" s="72" t="s">
        <v>105</v>
      </c>
      <c r="Y107" s="72" t="s">
        <v>105</v>
      </c>
      <c r="Z107" s="82" t="s">
        <v>252</v>
      </c>
      <c r="AA107" s="72" t="s">
        <v>251</v>
      </c>
      <c r="AB107" s="3" t="s">
        <v>498</v>
      </c>
      <c r="AC107" s="3"/>
      <c r="AD107" s="3"/>
    </row>
    <row r="108" spans="1:30" x14ac:dyDescent="0.2">
      <c r="A108">
        <v>106</v>
      </c>
      <c r="B108" s="121" t="s">
        <v>626</v>
      </c>
      <c r="C108" s="69">
        <v>15</v>
      </c>
      <c r="D108" s="69">
        <v>0</v>
      </c>
      <c r="E108" s="69">
        <v>-120</v>
      </c>
      <c r="F108" s="69">
        <v>52</v>
      </c>
      <c r="G108" s="69">
        <v>0</v>
      </c>
      <c r="H108" s="69">
        <v>-13</v>
      </c>
      <c r="I108" s="69">
        <v>34</v>
      </c>
      <c r="J108" s="69">
        <v>0</v>
      </c>
      <c r="K108" s="69">
        <v>-120</v>
      </c>
      <c r="L108" s="69">
        <v>25</v>
      </c>
      <c r="M108" s="69">
        <v>18</v>
      </c>
      <c r="N108" s="69">
        <v>0</v>
      </c>
      <c r="O108" s="72" t="s">
        <v>90</v>
      </c>
      <c r="P108" s="69">
        <v>5</v>
      </c>
      <c r="Q108" s="69">
        <v>20</v>
      </c>
      <c r="R108" s="69">
        <v>64</v>
      </c>
      <c r="S108" s="69">
        <v>58</v>
      </c>
      <c r="T108" s="69">
        <v>64</v>
      </c>
      <c r="U108" s="69">
        <v>58</v>
      </c>
      <c r="V108" s="70" t="s">
        <v>153</v>
      </c>
      <c r="W108" s="69" t="s">
        <v>145</v>
      </c>
      <c r="X108" s="72">
        <v>0.23</v>
      </c>
      <c r="Y108" s="72">
        <v>0.157</v>
      </c>
      <c r="Z108" s="82">
        <v>45176</v>
      </c>
      <c r="AA108" s="72" t="s">
        <v>56</v>
      </c>
      <c r="AB108" s="3" t="s">
        <v>498</v>
      </c>
      <c r="AC108" s="3"/>
      <c r="AD108" s="3"/>
    </row>
    <row r="109" spans="1:30" x14ac:dyDescent="0.2">
      <c r="A109">
        <v>107</v>
      </c>
      <c r="B109" s="60" t="s">
        <v>376</v>
      </c>
      <c r="C109" s="69">
        <v>15</v>
      </c>
      <c r="D109" s="69">
        <v>0</v>
      </c>
      <c r="E109" s="69">
        <v>-120</v>
      </c>
      <c r="F109" s="69">
        <v>52</v>
      </c>
      <c r="G109" s="69">
        <v>0</v>
      </c>
      <c r="H109" s="69">
        <v>-13</v>
      </c>
      <c r="I109" s="69">
        <v>34</v>
      </c>
      <c r="J109" s="69">
        <v>0</v>
      </c>
      <c r="K109" s="69">
        <v>-120</v>
      </c>
      <c r="L109" s="69">
        <v>25</v>
      </c>
      <c r="M109" s="69">
        <v>18</v>
      </c>
      <c r="N109" s="69">
        <v>0</v>
      </c>
      <c r="O109" s="69" t="s">
        <v>90</v>
      </c>
      <c r="P109" s="69">
        <v>5</v>
      </c>
      <c r="Q109" s="69">
        <v>20</v>
      </c>
      <c r="R109" s="69">
        <v>64</v>
      </c>
      <c r="S109" s="69">
        <v>58</v>
      </c>
      <c r="T109" s="69">
        <v>64</v>
      </c>
      <c r="U109" s="69">
        <v>58</v>
      </c>
      <c r="V109" s="70" t="s">
        <v>153</v>
      </c>
      <c r="W109" s="69" t="s">
        <v>145</v>
      </c>
      <c r="X109" s="72">
        <v>0.23</v>
      </c>
      <c r="Y109" s="72">
        <v>0.157</v>
      </c>
      <c r="Z109" s="82">
        <v>42993</v>
      </c>
      <c r="AA109" s="72" t="s">
        <v>264</v>
      </c>
      <c r="AB109" s="3" t="s">
        <v>498</v>
      </c>
      <c r="AC109" s="3"/>
      <c r="AD109" s="3"/>
    </row>
    <row r="110" spans="1:30" x14ac:dyDescent="0.2">
      <c r="A110">
        <v>108</v>
      </c>
      <c r="B110" s="60" t="s">
        <v>127</v>
      </c>
      <c r="C110" s="69">
        <v>15</v>
      </c>
      <c r="D110" s="69">
        <v>0</v>
      </c>
      <c r="E110" s="69">
        <v>-120</v>
      </c>
      <c r="F110" s="69">
        <v>52</v>
      </c>
      <c r="G110" s="69">
        <v>0</v>
      </c>
      <c r="H110" s="69">
        <v>-13</v>
      </c>
      <c r="I110" s="69">
        <v>34.1</v>
      </c>
      <c r="J110" s="69">
        <v>0</v>
      </c>
      <c r="K110" s="69">
        <v>-120</v>
      </c>
      <c r="L110" s="69">
        <v>25</v>
      </c>
      <c r="M110" s="69">
        <v>20</v>
      </c>
      <c r="N110" s="69">
        <v>0</v>
      </c>
      <c r="O110" s="69" t="s">
        <v>85</v>
      </c>
      <c r="P110" s="69">
        <v>13</v>
      </c>
      <c r="Q110" s="69">
        <v>28</v>
      </c>
      <c r="R110" s="69" t="s">
        <v>105</v>
      </c>
      <c r="S110" s="69" t="s">
        <v>105</v>
      </c>
      <c r="T110" s="69" t="s">
        <v>105</v>
      </c>
      <c r="U110" s="69" t="s">
        <v>105</v>
      </c>
      <c r="V110" s="70"/>
      <c r="W110" s="69"/>
      <c r="X110" s="72" t="s">
        <v>191</v>
      </c>
      <c r="Y110" s="72" t="s">
        <v>191</v>
      </c>
      <c r="Z110" s="82" t="s">
        <v>252</v>
      </c>
      <c r="AA110" s="72" t="s">
        <v>251</v>
      </c>
      <c r="AB110" s="3" t="s">
        <v>498</v>
      </c>
      <c r="AC110" s="3"/>
      <c r="AD110" s="3"/>
    </row>
    <row r="111" spans="1:30" x14ac:dyDescent="0.2">
      <c r="A111">
        <v>109</v>
      </c>
      <c r="B111" s="61" t="s">
        <v>211</v>
      </c>
      <c r="C111" s="69">
        <v>18</v>
      </c>
      <c r="D111" s="69">
        <v>0</v>
      </c>
      <c r="E111" s="69">
        <v>-120</v>
      </c>
      <c r="F111" s="69">
        <v>62</v>
      </c>
      <c r="G111" s="69">
        <v>0</v>
      </c>
      <c r="H111" s="69">
        <v>-13</v>
      </c>
      <c r="I111" s="69">
        <v>38.1</v>
      </c>
      <c r="J111" s="69">
        <v>0</v>
      </c>
      <c r="K111" s="69">
        <v>-120</v>
      </c>
      <c r="L111" s="69">
        <v>31.75</v>
      </c>
      <c r="M111" s="69">
        <v>18</v>
      </c>
      <c r="N111" s="69">
        <v>0</v>
      </c>
      <c r="O111" s="69" t="s">
        <v>210</v>
      </c>
      <c r="P111" s="69">
        <v>6</v>
      </c>
      <c r="Q111" s="69">
        <v>20</v>
      </c>
      <c r="R111" s="69">
        <v>64</v>
      </c>
      <c r="S111" s="69">
        <v>58</v>
      </c>
      <c r="T111" s="69">
        <v>64</v>
      </c>
      <c r="U111" s="69">
        <v>58</v>
      </c>
      <c r="V111" s="70" t="s">
        <v>151</v>
      </c>
      <c r="W111" s="69" t="s">
        <v>145</v>
      </c>
      <c r="X111" s="72" t="s">
        <v>197</v>
      </c>
      <c r="Y111" s="72" t="s">
        <v>198</v>
      </c>
      <c r="Z111" s="82" t="s">
        <v>252</v>
      </c>
      <c r="AA111" s="72" t="s">
        <v>251</v>
      </c>
      <c r="AB111" s="3" t="s">
        <v>498</v>
      </c>
      <c r="AC111" s="3"/>
      <c r="AD111" s="3"/>
    </row>
    <row r="112" spans="1:30" x14ac:dyDescent="0.2">
      <c r="A112">
        <v>110</v>
      </c>
      <c r="B112" s="61" t="s">
        <v>200</v>
      </c>
      <c r="C112" s="69" t="s">
        <v>105</v>
      </c>
      <c r="D112" s="69" t="s">
        <v>105</v>
      </c>
      <c r="E112" s="69" t="s">
        <v>105</v>
      </c>
      <c r="F112" s="69" t="s">
        <v>105</v>
      </c>
      <c r="G112" s="69" t="s">
        <v>105</v>
      </c>
      <c r="H112" s="69" t="s">
        <v>105</v>
      </c>
      <c r="I112" s="69">
        <v>38.1</v>
      </c>
      <c r="J112" s="69">
        <v>0</v>
      </c>
      <c r="K112" s="69">
        <v>-120</v>
      </c>
      <c r="L112" s="69">
        <v>31.75</v>
      </c>
      <c r="M112" s="69">
        <v>18</v>
      </c>
      <c r="N112" s="69">
        <v>0</v>
      </c>
      <c r="O112" s="69" t="s">
        <v>105</v>
      </c>
      <c r="P112" s="69" t="s">
        <v>105</v>
      </c>
      <c r="Q112" s="69" t="s">
        <v>105</v>
      </c>
      <c r="R112" s="69">
        <v>64</v>
      </c>
      <c r="S112" s="69">
        <v>58</v>
      </c>
      <c r="T112" s="69" t="s">
        <v>105</v>
      </c>
      <c r="U112" s="69" t="s">
        <v>105</v>
      </c>
      <c r="V112" s="70" t="s">
        <v>105</v>
      </c>
      <c r="W112" s="69" t="s">
        <v>105</v>
      </c>
      <c r="X112" s="69" t="s">
        <v>105</v>
      </c>
      <c r="Y112" s="69" t="s">
        <v>105</v>
      </c>
      <c r="Z112" s="82" t="s">
        <v>252</v>
      </c>
      <c r="AA112" s="72" t="s">
        <v>251</v>
      </c>
      <c r="AB112" s="3" t="s">
        <v>498</v>
      </c>
      <c r="AC112" s="3"/>
      <c r="AD112" s="3"/>
    </row>
    <row r="113" spans="1:30" x14ac:dyDescent="0.2">
      <c r="A113">
        <v>111</v>
      </c>
      <c r="B113" s="61" t="s">
        <v>150</v>
      </c>
      <c r="C113" s="69">
        <v>18</v>
      </c>
      <c r="D113" s="69">
        <v>0</v>
      </c>
      <c r="E113" s="69">
        <v>-120</v>
      </c>
      <c r="F113" s="69">
        <v>62</v>
      </c>
      <c r="G113" s="69">
        <v>0</v>
      </c>
      <c r="H113" s="69">
        <v>-13</v>
      </c>
      <c r="I113" s="69">
        <v>38.1</v>
      </c>
      <c r="J113" s="69">
        <v>0</v>
      </c>
      <c r="K113" s="69">
        <v>-120</v>
      </c>
      <c r="L113" s="69">
        <v>30</v>
      </c>
      <c r="M113" s="69">
        <v>18</v>
      </c>
      <c r="N113" s="69">
        <v>0</v>
      </c>
      <c r="O113" s="69" t="s">
        <v>90</v>
      </c>
      <c r="P113" s="69">
        <v>5</v>
      </c>
      <c r="Q113" s="69">
        <v>20</v>
      </c>
      <c r="R113" s="69">
        <v>64</v>
      </c>
      <c r="S113" s="69">
        <v>58</v>
      </c>
      <c r="T113" s="69">
        <v>64</v>
      </c>
      <c r="U113" s="69">
        <v>58</v>
      </c>
      <c r="V113" s="70" t="s">
        <v>151</v>
      </c>
      <c r="W113" s="69" t="s">
        <v>145</v>
      </c>
      <c r="X113" s="72" t="s">
        <v>197</v>
      </c>
      <c r="Y113" s="72" t="s">
        <v>198</v>
      </c>
      <c r="Z113" s="82">
        <v>42996</v>
      </c>
      <c r="AA113" s="72" t="s">
        <v>264</v>
      </c>
      <c r="AB113" s="3" t="s">
        <v>498</v>
      </c>
      <c r="AC113" s="3"/>
      <c r="AD113" s="3"/>
    </row>
    <row r="114" spans="1:30" x14ac:dyDescent="0.2">
      <c r="A114">
        <v>112</v>
      </c>
      <c r="B114" s="61" t="s">
        <v>106</v>
      </c>
      <c r="C114" s="74">
        <v>19</v>
      </c>
      <c r="D114" s="74">
        <v>0</v>
      </c>
      <c r="E114" s="74">
        <v>-120</v>
      </c>
      <c r="F114" s="74">
        <v>62</v>
      </c>
      <c r="G114" s="74">
        <v>0</v>
      </c>
      <c r="H114" s="74">
        <v>-15</v>
      </c>
      <c r="I114" s="74">
        <v>38.1</v>
      </c>
      <c r="J114" s="74">
        <v>0</v>
      </c>
      <c r="K114" s="74">
        <v>-50</v>
      </c>
      <c r="L114" s="74">
        <v>30</v>
      </c>
      <c r="M114" s="74">
        <v>20</v>
      </c>
      <c r="N114" s="74">
        <v>0</v>
      </c>
      <c r="O114" s="74" t="s">
        <v>85</v>
      </c>
      <c r="P114" s="74">
        <v>13</v>
      </c>
      <c r="Q114" s="74">
        <v>28</v>
      </c>
      <c r="R114" s="74"/>
      <c r="S114" s="74"/>
      <c r="T114" s="74"/>
      <c r="U114" s="74"/>
      <c r="V114" s="70"/>
      <c r="W114" s="69"/>
      <c r="X114" s="72" t="s">
        <v>191</v>
      </c>
      <c r="Y114" s="72" t="s">
        <v>191</v>
      </c>
      <c r="Z114" s="82" t="s">
        <v>252</v>
      </c>
      <c r="AA114" s="72" t="s">
        <v>251</v>
      </c>
      <c r="AB114" s="3" t="s">
        <v>498</v>
      </c>
      <c r="AC114" s="3"/>
      <c r="AD114" s="3"/>
    </row>
    <row r="115" spans="1:30" x14ac:dyDescent="0.2">
      <c r="A115">
        <v>113</v>
      </c>
      <c r="B115" s="61" t="s">
        <v>101</v>
      </c>
      <c r="C115" s="69">
        <v>20</v>
      </c>
      <c r="D115" s="69">
        <v>0</v>
      </c>
      <c r="E115" s="69">
        <v>-120</v>
      </c>
      <c r="F115" s="69">
        <v>72</v>
      </c>
      <c r="G115" s="69">
        <v>0</v>
      </c>
      <c r="H115" s="69">
        <v>-13</v>
      </c>
      <c r="I115" s="69">
        <v>42.9</v>
      </c>
      <c r="J115" s="69">
        <v>0</v>
      </c>
      <c r="K115" s="69">
        <v>-120</v>
      </c>
      <c r="L115" s="69">
        <v>31.35</v>
      </c>
      <c r="M115" s="69">
        <v>18</v>
      </c>
      <c r="N115" s="69">
        <v>0</v>
      </c>
      <c r="O115" s="69" t="s">
        <v>85</v>
      </c>
      <c r="P115" s="69">
        <v>15</v>
      </c>
      <c r="Q115" s="69">
        <v>33</v>
      </c>
      <c r="R115" s="69"/>
      <c r="S115" s="69"/>
      <c r="T115" s="69"/>
      <c r="U115" s="69"/>
      <c r="V115" s="70"/>
      <c r="W115" s="69"/>
      <c r="X115" s="72" t="s">
        <v>191</v>
      </c>
      <c r="Y115" s="72" t="s">
        <v>191</v>
      </c>
      <c r="Z115" s="82" t="s">
        <v>252</v>
      </c>
      <c r="AA115" s="72" t="s">
        <v>251</v>
      </c>
      <c r="AB115" s="3" t="s">
        <v>498</v>
      </c>
      <c r="AC115" s="3"/>
      <c r="AD115" s="3"/>
    </row>
    <row r="116" spans="1:30" x14ac:dyDescent="0.2">
      <c r="A116">
        <v>114</v>
      </c>
      <c r="B116" s="61" t="s">
        <v>205</v>
      </c>
      <c r="C116" s="69" t="s">
        <v>105</v>
      </c>
      <c r="D116" s="69" t="s">
        <v>105</v>
      </c>
      <c r="E116" s="69" t="s">
        <v>105</v>
      </c>
      <c r="F116" s="69" t="s">
        <v>105</v>
      </c>
      <c r="G116" s="69" t="s">
        <v>105</v>
      </c>
      <c r="H116" s="69" t="s">
        <v>105</v>
      </c>
      <c r="I116" s="69">
        <v>43.1</v>
      </c>
      <c r="J116" s="69">
        <v>120</v>
      </c>
      <c r="K116" s="69">
        <v>-20</v>
      </c>
      <c r="L116" s="69">
        <v>34.85</v>
      </c>
      <c r="M116" s="69">
        <v>0</v>
      </c>
      <c r="N116" s="69">
        <v>-160</v>
      </c>
      <c r="O116" s="69" t="s">
        <v>105</v>
      </c>
      <c r="P116" s="69" t="s">
        <v>105</v>
      </c>
      <c r="Q116" s="69" t="s">
        <v>105</v>
      </c>
      <c r="R116" s="69">
        <v>64</v>
      </c>
      <c r="S116" s="69">
        <v>58</v>
      </c>
      <c r="T116" s="69" t="s">
        <v>105</v>
      </c>
      <c r="U116" s="69" t="s">
        <v>105</v>
      </c>
      <c r="V116" s="70" t="s">
        <v>105</v>
      </c>
      <c r="W116" s="69" t="s">
        <v>105</v>
      </c>
      <c r="X116" s="69" t="s">
        <v>105</v>
      </c>
      <c r="Y116" s="69" t="s">
        <v>105</v>
      </c>
      <c r="Z116" s="82">
        <v>40661</v>
      </c>
      <c r="AA116" s="72">
        <v>0</v>
      </c>
      <c r="AB116" s="3" t="s">
        <v>498</v>
      </c>
      <c r="AC116" s="3"/>
      <c r="AD116" s="3"/>
    </row>
    <row r="117" spans="1:30" x14ac:dyDescent="0.2">
      <c r="A117">
        <v>115</v>
      </c>
      <c r="B117" s="61" t="s">
        <v>138</v>
      </c>
      <c r="C117" s="69">
        <v>19</v>
      </c>
      <c r="D117" s="69">
        <v>0</v>
      </c>
      <c r="E117" s="69">
        <v>-120</v>
      </c>
      <c r="F117" s="69">
        <v>72</v>
      </c>
      <c r="G117" s="69">
        <v>0</v>
      </c>
      <c r="H117" s="69">
        <v>-13</v>
      </c>
      <c r="I117" s="69">
        <v>42.9</v>
      </c>
      <c r="J117" s="69">
        <v>0</v>
      </c>
      <c r="K117" s="69">
        <v>-120</v>
      </c>
      <c r="L117" s="69">
        <v>35</v>
      </c>
      <c r="M117" s="69">
        <v>21</v>
      </c>
      <c r="N117" s="69">
        <v>0</v>
      </c>
      <c r="O117" s="69" t="s">
        <v>85</v>
      </c>
      <c r="P117" s="69">
        <v>13</v>
      </c>
      <c r="Q117" s="69">
        <v>28</v>
      </c>
      <c r="R117" s="69" t="s">
        <v>105</v>
      </c>
      <c r="S117" s="69" t="s">
        <v>105</v>
      </c>
      <c r="T117" s="69" t="s">
        <v>105</v>
      </c>
      <c r="U117" s="69" t="s">
        <v>105</v>
      </c>
      <c r="V117" s="70"/>
      <c r="W117" s="69"/>
      <c r="X117" s="72" t="s">
        <v>191</v>
      </c>
      <c r="Y117" s="72" t="s">
        <v>191</v>
      </c>
      <c r="Z117" s="82" t="s">
        <v>252</v>
      </c>
      <c r="AA117" s="72" t="s">
        <v>251</v>
      </c>
      <c r="AB117" s="3" t="s">
        <v>498</v>
      </c>
      <c r="AC117" s="3"/>
      <c r="AD117" s="3"/>
    </row>
    <row r="118" spans="1:30" x14ac:dyDescent="0.2">
      <c r="A118">
        <v>116</v>
      </c>
      <c r="B118" s="61" t="s">
        <v>123</v>
      </c>
      <c r="C118" s="69">
        <v>19</v>
      </c>
      <c r="D118" s="69">
        <v>0</v>
      </c>
      <c r="E118" s="69">
        <v>-120</v>
      </c>
      <c r="F118" s="69">
        <v>72</v>
      </c>
      <c r="G118" s="69">
        <v>0</v>
      </c>
      <c r="H118" s="69">
        <v>-13</v>
      </c>
      <c r="I118" s="69">
        <v>42.9</v>
      </c>
      <c r="J118" s="69">
        <v>0</v>
      </c>
      <c r="K118" s="69">
        <v>-120</v>
      </c>
      <c r="L118" s="69">
        <v>35</v>
      </c>
      <c r="M118" s="69">
        <v>21</v>
      </c>
      <c r="N118" s="69">
        <v>0</v>
      </c>
      <c r="O118" s="69" t="s">
        <v>85</v>
      </c>
      <c r="P118" s="69">
        <v>6</v>
      </c>
      <c r="Q118" s="69">
        <v>20</v>
      </c>
      <c r="R118" s="69">
        <v>58</v>
      </c>
      <c r="S118" s="69">
        <v>64</v>
      </c>
      <c r="T118" s="69">
        <v>58</v>
      </c>
      <c r="U118" s="69">
        <v>64</v>
      </c>
      <c r="V118" s="70" t="s">
        <v>155</v>
      </c>
      <c r="W118" s="69" t="s">
        <v>145</v>
      </c>
      <c r="X118" s="72" t="s">
        <v>191</v>
      </c>
      <c r="Y118" s="72" t="s">
        <v>191</v>
      </c>
      <c r="Z118" s="82" t="s">
        <v>252</v>
      </c>
      <c r="AA118" s="72" t="s">
        <v>251</v>
      </c>
      <c r="AB118" s="3" t="s">
        <v>498</v>
      </c>
      <c r="AC118" s="3"/>
      <c r="AD118" s="3"/>
    </row>
    <row r="119" spans="1:30" x14ac:dyDescent="0.2">
      <c r="A119">
        <v>117</v>
      </c>
      <c r="B119" s="61" t="s">
        <v>123</v>
      </c>
      <c r="C119" s="69">
        <v>19</v>
      </c>
      <c r="D119" s="69">
        <v>0</v>
      </c>
      <c r="E119" s="69">
        <v>-120</v>
      </c>
      <c r="F119" s="69">
        <v>72</v>
      </c>
      <c r="G119" s="69">
        <v>0</v>
      </c>
      <c r="H119" s="69">
        <v>-13</v>
      </c>
      <c r="I119" s="69">
        <v>42.9</v>
      </c>
      <c r="J119" s="69">
        <v>0</v>
      </c>
      <c r="K119" s="69">
        <v>-120</v>
      </c>
      <c r="L119" s="69">
        <v>35</v>
      </c>
      <c r="M119" s="69">
        <v>21</v>
      </c>
      <c r="N119" s="69">
        <v>0</v>
      </c>
      <c r="O119" s="69" t="s">
        <v>90</v>
      </c>
      <c r="P119" s="69">
        <v>6</v>
      </c>
      <c r="Q119" s="69">
        <v>20</v>
      </c>
      <c r="R119" s="69">
        <v>58</v>
      </c>
      <c r="S119" s="69">
        <v>64</v>
      </c>
      <c r="T119" s="69">
        <v>58</v>
      </c>
      <c r="U119" s="69">
        <v>64</v>
      </c>
      <c r="V119" s="70" t="s">
        <v>173</v>
      </c>
      <c r="W119" s="69" t="s">
        <v>145</v>
      </c>
      <c r="X119" s="72">
        <v>0.3</v>
      </c>
      <c r="Y119" s="72">
        <v>0.44800000000000001</v>
      </c>
      <c r="Z119" s="82">
        <v>42993</v>
      </c>
      <c r="AA119" s="72" t="s">
        <v>264</v>
      </c>
      <c r="AB119" s="3" t="s">
        <v>498</v>
      </c>
      <c r="AC119" s="3"/>
      <c r="AD119" s="3"/>
    </row>
    <row r="120" spans="1:30" x14ac:dyDescent="0.2">
      <c r="A120">
        <v>118</v>
      </c>
      <c r="B120" s="61" t="s">
        <v>130</v>
      </c>
      <c r="C120" s="69">
        <v>20</v>
      </c>
      <c r="D120" s="69">
        <v>0</v>
      </c>
      <c r="E120" s="69">
        <v>-120</v>
      </c>
      <c r="F120" s="69">
        <v>72</v>
      </c>
      <c r="G120" s="69">
        <v>0</v>
      </c>
      <c r="H120" s="69">
        <v>0</v>
      </c>
      <c r="I120" s="69">
        <v>42.9</v>
      </c>
      <c r="J120" s="69">
        <v>0</v>
      </c>
      <c r="K120" s="69">
        <v>-120</v>
      </c>
      <c r="L120" s="69">
        <v>35</v>
      </c>
      <c r="M120" s="69">
        <v>20</v>
      </c>
      <c r="N120" s="69">
        <v>0</v>
      </c>
      <c r="O120" s="69" t="s">
        <v>85</v>
      </c>
      <c r="P120" s="69">
        <v>15</v>
      </c>
      <c r="Q120" s="69">
        <v>33</v>
      </c>
      <c r="R120" s="69">
        <v>58</v>
      </c>
      <c r="S120" s="69">
        <v>62</v>
      </c>
      <c r="T120" s="69">
        <v>58</v>
      </c>
      <c r="U120" s="69">
        <v>62</v>
      </c>
      <c r="V120" s="70" t="s">
        <v>161</v>
      </c>
      <c r="W120" s="69" t="s">
        <v>145</v>
      </c>
      <c r="X120" s="72" t="s">
        <v>191</v>
      </c>
      <c r="Y120" s="72" t="s">
        <v>191</v>
      </c>
      <c r="Z120" s="82" t="s">
        <v>252</v>
      </c>
      <c r="AA120" s="72" t="s">
        <v>251</v>
      </c>
      <c r="AB120" s="3" t="s">
        <v>498</v>
      </c>
      <c r="AC120" s="3"/>
      <c r="AD120" s="3"/>
    </row>
    <row r="121" spans="1:30" x14ac:dyDescent="0.2">
      <c r="A121">
        <v>119</v>
      </c>
      <c r="B121" s="61" t="s">
        <v>350</v>
      </c>
      <c r="C121" s="69">
        <v>22</v>
      </c>
      <c r="D121" s="69">
        <v>0</v>
      </c>
      <c r="E121" s="69">
        <v>-120</v>
      </c>
      <c r="F121" s="69">
        <v>80</v>
      </c>
      <c r="G121" s="69">
        <v>0</v>
      </c>
      <c r="H121" s="69">
        <v>-13</v>
      </c>
      <c r="I121" s="69">
        <v>49.2</v>
      </c>
      <c r="J121" s="69">
        <v>0</v>
      </c>
      <c r="K121" s="69">
        <v>-120</v>
      </c>
      <c r="L121" s="69">
        <v>40</v>
      </c>
      <c r="M121" s="69">
        <v>21</v>
      </c>
      <c r="N121" s="69">
        <v>0</v>
      </c>
      <c r="O121" s="69" t="s">
        <v>90</v>
      </c>
      <c r="P121" s="69">
        <v>6</v>
      </c>
      <c r="Q121" s="69">
        <v>20</v>
      </c>
      <c r="R121" s="69">
        <v>64</v>
      </c>
      <c r="S121" s="69">
        <v>58</v>
      </c>
      <c r="T121" s="69">
        <v>64</v>
      </c>
      <c r="U121" s="69">
        <v>58</v>
      </c>
      <c r="V121" s="70" t="s">
        <v>157</v>
      </c>
      <c r="W121" s="69" t="s">
        <v>145</v>
      </c>
      <c r="X121" s="72" t="s">
        <v>351</v>
      </c>
      <c r="Y121" s="72" t="s">
        <v>352</v>
      </c>
      <c r="Z121" s="82">
        <v>44165</v>
      </c>
      <c r="AA121" s="72" t="s">
        <v>57</v>
      </c>
      <c r="AB121" s="3" t="s">
        <v>498</v>
      </c>
      <c r="AC121" s="3"/>
      <c r="AD121" s="3"/>
    </row>
    <row r="122" spans="1:30" x14ac:dyDescent="0.2">
      <c r="A122">
        <v>120</v>
      </c>
      <c r="B122" s="61" t="s">
        <v>125</v>
      </c>
      <c r="C122" s="69">
        <v>22</v>
      </c>
      <c r="D122" s="69">
        <v>0</v>
      </c>
      <c r="E122" s="69">
        <v>-120</v>
      </c>
      <c r="F122" s="69">
        <v>80</v>
      </c>
      <c r="G122" s="69">
        <v>0</v>
      </c>
      <c r="H122" s="69">
        <v>-13</v>
      </c>
      <c r="I122" s="69">
        <v>49.2</v>
      </c>
      <c r="J122" s="69">
        <v>0</v>
      </c>
      <c r="K122" s="69">
        <v>-120</v>
      </c>
      <c r="L122" s="69">
        <v>40</v>
      </c>
      <c r="M122" s="69">
        <v>21</v>
      </c>
      <c r="N122" s="69">
        <v>0</v>
      </c>
      <c r="O122" s="69" t="s">
        <v>85</v>
      </c>
      <c r="P122" s="69">
        <v>15</v>
      </c>
      <c r="Q122" s="69">
        <v>33</v>
      </c>
      <c r="R122" s="69"/>
      <c r="S122" s="69"/>
      <c r="T122" s="69"/>
      <c r="U122" s="69"/>
      <c r="V122" s="70"/>
      <c r="W122" s="69"/>
      <c r="X122" s="72">
        <v>0.56699999999999995</v>
      </c>
      <c r="Y122" s="72">
        <v>0.378</v>
      </c>
      <c r="Z122" s="82" t="s">
        <v>252</v>
      </c>
      <c r="AA122" s="72" t="s">
        <v>251</v>
      </c>
      <c r="AB122" s="3" t="s">
        <v>498</v>
      </c>
      <c r="AC122" s="3"/>
      <c r="AD122" s="3"/>
    </row>
    <row r="123" spans="1:30" x14ac:dyDescent="0.2">
      <c r="A123">
        <v>121</v>
      </c>
      <c r="B123" s="61" t="s">
        <v>353</v>
      </c>
      <c r="C123" s="69">
        <v>22</v>
      </c>
      <c r="D123" s="69">
        <v>0</v>
      </c>
      <c r="E123" s="69">
        <v>-120</v>
      </c>
      <c r="F123" s="69">
        <v>85</v>
      </c>
      <c r="G123" s="69">
        <v>0</v>
      </c>
      <c r="H123" s="69">
        <v>-15</v>
      </c>
      <c r="I123" s="69">
        <v>49.2</v>
      </c>
      <c r="J123" s="69">
        <v>0</v>
      </c>
      <c r="K123" s="69">
        <v>-120</v>
      </c>
      <c r="L123" s="69">
        <v>45</v>
      </c>
      <c r="M123" s="69">
        <v>21</v>
      </c>
      <c r="N123" s="69">
        <v>0</v>
      </c>
      <c r="O123" s="69" t="s">
        <v>90</v>
      </c>
      <c r="P123" s="69">
        <v>6</v>
      </c>
      <c r="Q123" s="69">
        <v>23</v>
      </c>
      <c r="R123" s="69">
        <v>64</v>
      </c>
      <c r="S123" s="69">
        <v>58</v>
      </c>
      <c r="T123" s="69">
        <v>64</v>
      </c>
      <c r="U123" s="69">
        <v>58</v>
      </c>
      <c r="V123" s="77" t="s">
        <v>158</v>
      </c>
      <c r="W123" s="69" t="s">
        <v>145</v>
      </c>
      <c r="X123" s="72" t="s">
        <v>194</v>
      </c>
      <c r="Y123" s="72" t="s">
        <v>195</v>
      </c>
      <c r="Z123" s="82">
        <v>42993</v>
      </c>
      <c r="AA123" s="72" t="s">
        <v>264</v>
      </c>
      <c r="AB123" s="3" t="s">
        <v>498</v>
      </c>
      <c r="AC123" s="3"/>
      <c r="AD123" s="3"/>
    </row>
    <row r="124" spans="1:30" x14ac:dyDescent="0.2">
      <c r="A124">
        <v>122</v>
      </c>
      <c r="B124" s="61" t="s">
        <v>168</v>
      </c>
      <c r="C124" s="69">
        <v>22</v>
      </c>
      <c r="D124" s="69">
        <v>0</v>
      </c>
      <c r="E124" s="69">
        <v>-120</v>
      </c>
      <c r="F124" s="69">
        <v>90</v>
      </c>
      <c r="G124" s="69">
        <v>0</v>
      </c>
      <c r="H124" s="69">
        <v>-15</v>
      </c>
      <c r="I124" s="69">
        <v>51.6</v>
      </c>
      <c r="J124" s="69">
        <v>0</v>
      </c>
      <c r="K124" s="69">
        <v>-120</v>
      </c>
      <c r="L124" s="69">
        <v>50</v>
      </c>
      <c r="M124" s="69">
        <v>20</v>
      </c>
      <c r="N124" s="69">
        <v>0</v>
      </c>
      <c r="O124" s="69" t="s">
        <v>90</v>
      </c>
      <c r="P124" s="69">
        <v>6</v>
      </c>
      <c r="Q124" s="69">
        <v>23</v>
      </c>
      <c r="R124" s="69">
        <v>64</v>
      </c>
      <c r="S124" s="69">
        <v>58</v>
      </c>
      <c r="T124" s="69">
        <v>64</v>
      </c>
      <c r="U124" s="69">
        <v>58</v>
      </c>
      <c r="V124" s="70" t="s">
        <v>167</v>
      </c>
      <c r="W124" s="69" t="s">
        <v>145</v>
      </c>
      <c r="X124" s="72" t="s">
        <v>256</v>
      </c>
      <c r="Y124" s="72" t="s">
        <v>255</v>
      </c>
      <c r="Z124" s="82">
        <v>40795</v>
      </c>
      <c r="AA124" s="72">
        <v>0</v>
      </c>
      <c r="AB124" s="3" t="s">
        <v>498</v>
      </c>
      <c r="AC124" s="3"/>
      <c r="AD124" s="3"/>
    </row>
    <row r="125" spans="1:30" x14ac:dyDescent="0.2">
      <c r="A125">
        <v>123</v>
      </c>
      <c r="B125" s="61" t="s">
        <v>128</v>
      </c>
      <c r="C125" s="69">
        <v>24</v>
      </c>
      <c r="D125" s="69">
        <v>0</v>
      </c>
      <c r="E125" s="69">
        <v>-120</v>
      </c>
      <c r="F125" s="69">
        <v>90</v>
      </c>
      <c r="G125" s="69">
        <v>0</v>
      </c>
      <c r="H125" s="69">
        <v>-15</v>
      </c>
      <c r="I125" s="69">
        <v>51.6</v>
      </c>
      <c r="J125" s="69">
        <v>0</v>
      </c>
      <c r="K125" s="69">
        <v>-120</v>
      </c>
      <c r="L125" s="69">
        <v>50</v>
      </c>
      <c r="M125" s="69">
        <v>20</v>
      </c>
      <c r="N125" s="69">
        <v>0</v>
      </c>
      <c r="O125" s="69" t="s">
        <v>85</v>
      </c>
      <c r="P125" s="69">
        <v>18</v>
      </c>
      <c r="Q125" s="69">
        <v>36</v>
      </c>
      <c r="R125" s="69" t="s">
        <v>105</v>
      </c>
      <c r="S125" s="69" t="s">
        <v>105</v>
      </c>
      <c r="T125" s="69" t="s">
        <v>105</v>
      </c>
      <c r="U125" s="69" t="s">
        <v>105</v>
      </c>
      <c r="V125" s="70"/>
      <c r="W125" s="69"/>
      <c r="X125" s="72" t="s">
        <v>191</v>
      </c>
      <c r="Y125" s="72" t="s">
        <v>191</v>
      </c>
      <c r="Z125" s="82" t="s">
        <v>252</v>
      </c>
      <c r="AA125" s="72" t="s">
        <v>251</v>
      </c>
      <c r="AB125" s="3" t="s">
        <v>498</v>
      </c>
      <c r="AC125" s="3"/>
      <c r="AD125" s="3"/>
    </row>
    <row r="126" spans="1:30" x14ac:dyDescent="0.2">
      <c r="A126">
        <v>124</v>
      </c>
      <c r="B126" s="61" t="s">
        <v>103</v>
      </c>
      <c r="C126" s="69">
        <v>25</v>
      </c>
      <c r="D126" s="69">
        <v>0</v>
      </c>
      <c r="E126" s="69">
        <v>-150</v>
      </c>
      <c r="F126" s="69">
        <v>100</v>
      </c>
      <c r="G126" s="69">
        <v>0</v>
      </c>
      <c r="H126" s="69">
        <v>-15</v>
      </c>
      <c r="I126" s="69">
        <v>55.6</v>
      </c>
      <c r="J126" s="69">
        <v>0</v>
      </c>
      <c r="K126" s="69">
        <v>-150</v>
      </c>
      <c r="L126" s="69">
        <v>55</v>
      </c>
      <c r="M126" s="69">
        <v>24</v>
      </c>
      <c r="N126" s="69">
        <v>0</v>
      </c>
      <c r="O126" s="69" t="s">
        <v>90</v>
      </c>
      <c r="P126" s="69">
        <v>8</v>
      </c>
      <c r="Q126" s="69">
        <v>28</v>
      </c>
      <c r="R126" s="69">
        <v>64</v>
      </c>
      <c r="S126" s="69">
        <v>58</v>
      </c>
      <c r="T126" s="69">
        <v>64</v>
      </c>
      <c r="U126" s="69">
        <v>58</v>
      </c>
      <c r="V126" s="70" t="s">
        <v>156</v>
      </c>
      <c r="W126" s="69" t="s">
        <v>145</v>
      </c>
      <c r="X126" s="72" t="s">
        <v>273</v>
      </c>
      <c r="Y126" s="72" t="s">
        <v>274</v>
      </c>
      <c r="Z126" s="82">
        <v>40795</v>
      </c>
      <c r="AA126" s="72">
        <v>0</v>
      </c>
      <c r="AB126" s="3" t="s">
        <v>498</v>
      </c>
      <c r="AC126" s="3"/>
      <c r="AD126" s="3"/>
    </row>
    <row r="127" spans="1:30" x14ac:dyDescent="0.2">
      <c r="A127">
        <v>125</v>
      </c>
      <c r="B127" s="61" t="s">
        <v>115</v>
      </c>
      <c r="C127" s="69">
        <v>33</v>
      </c>
      <c r="D127" s="69">
        <v>0</v>
      </c>
      <c r="E127" s="69">
        <v>-150</v>
      </c>
      <c r="F127" s="69">
        <v>140</v>
      </c>
      <c r="G127" s="69">
        <v>0</v>
      </c>
      <c r="H127" s="69">
        <v>-18</v>
      </c>
      <c r="I127" s="69">
        <v>82.6</v>
      </c>
      <c r="J127" s="69">
        <v>0</v>
      </c>
      <c r="K127" s="69">
        <v>-150</v>
      </c>
      <c r="L127" s="69">
        <v>80</v>
      </c>
      <c r="M127" s="69">
        <v>24</v>
      </c>
      <c r="N127" s="69">
        <v>0</v>
      </c>
      <c r="O127" s="69" t="s">
        <v>85</v>
      </c>
      <c r="P127" s="69">
        <v>25</v>
      </c>
      <c r="Q127" s="69">
        <v>51</v>
      </c>
      <c r="R127" s="69">
        <v>64</v>
      </c>
      <c r="S127" s="69">
        <v>58</v>
      </c>
      <c r="T127" s="69">
        <v>64</v>
      </c>
      <c r="U127" s="69">
        <v>58</v>
      </c>
      <c r="V127" s="70" t="s">
        <v>323</v>
      </c>
      <c r="W127" s="69" t="s">
        <v>324</v>
      </c>
      <c r="X127" s="72" t="s">
        <v>320</v>
      </c>
      <c r="Y127" s="72" t="s">
        <v>320</v>
      </c>
      <c r="Z127" s="82">
        <v>39856</v>
      </c>
      <c r="AA127" s="72">
        <v>0</v>
      </c>
      <c r="AB127" s="3" t="s">
        <v>498</v>
      </c>
      <c r="AC127" s="3"/>
      <c r="AD127" s="3"/>
    </row>
    <row r="128" spans="1:30" x14ac:dyDescent="0.2">
      <c r="A128">
        <v>126</v>
      </c>
      <c r="B128" s="61" t="s">
        <v>212</v>
      </c>
      <c r="C128" s="69">
        <v>19.100000000000001</v>
      </c>
      <c r="D128" s="69">
        <v>0</v>
      </c>
      <c r="E128" s="69">
        <v>-120</v>
      </c>
      <c r="F128" s="69">
        <v>52</v>
      </c>
      <c r="G128" s="69">
        <v>0</v>
      </c>
      <c r="H128" s="69">
        <v>-15</v>
      </c>
      <c r="I128" s="69">
        <v>34.9</v>
      </c>
      <c r="J128" s="69">
        <v>0</v>
      </c>
      <c r="K128" s="69">
        <v>-120</v>
      </c>
      <c r="L128" s="69">
        <v>25</v>
      </c>
      <c r="M128" s="69">
        <v>18</v>
      </c>
      <c r="N128" s="69">
        <v>0</v>
      </c>
      <c r="O128" s="69" t="s">
        <v>210</v>
      </c>
      <c r="P128" s="69">
        <v>5</v>
      </c>
      <c r="Q128" s="69">
        <v>20</v>
      </c>
      <c r="R128" s="69">
        <v>64</v>
      </c>
      <c r="S128" s="69">
        <v>58</v>
      </c>
      <c r="T128" s="69">
        <v>64</v>
      </c>
      <c r="U128" s="69">
        <v>58</v>
      </c>
      <c r="V128" s="70" t="s">
        <v>213</v>
      </c>
      <c r="W128" s="69" t="s">
        <v>145</v>
      </c>
      <c r="X128" s="72" t="s">
        <v>215</v>
      </c>
      <c r="Y128" s="72" t="s">
        <v>214</v>
      </c>
      <c r="Z128" s="82" t="s">
        <v>252</v>
      </c>
      <c r="AA128" s="72" t="s">
        <v>251</v>
      </c>
      <c r="AB128" s="3" t="s">
        <v>498</v>
      </c>
      <c r="AC128" s="3"/>
      <c r="AD128" s="3"/>
    </row>
    <row r="129" spans="1:30" x14ac:dyDescent="0.2">
      <c r="A129">
        <v>127</v>
      </c>
      <c r="B129" s="61" t="s">
        <v>389</v>
      </c>
      <c r="C129" s="69">
        <v>42.86</v>
      </c>
      <c r="D129" s="69">
        <v>0</v>
      </c>
      <c r="E129" s="69">
        <v>-120</v>
      </c>
      <c r="F129" s="69">
        <v>140</v>
      </c>
      <c r="G129" s="69">
        <v>0</v>
      </c>
      <c r="H129" s="69">
        <v>-18</v>
      </c>
      <c r="I129" s="69">
        <v>77.8</v>
      </c>
      <c r="J129" s="69">
        <v>0</v>
      </c>
      <c r="K129" s="69">
        <v>-120</v>
      </c>
      <c r="L129" s="69">
        <v>80.959999999999994</v>
      </c>
      <c r="M129" s="69">
        <v>24</v>
      </c>
      <c r="N129" s="69">
        <v>5</v>
      </c>
      <c r="O129" s="69" t="s">
        <v>85</v>
      </c>
      <c r="P129" s="69">
        <v>30</v>
      </c>
      <c r="Q129" s="69">
        <v>58</v>
      </c>
      <c r="R129" s="69">
        <v>64</v>
      </c>
      <c r="S129" s="69">
        <v>58</v>
      </c>
      <c r="T129" s="69">
        <v>64</v>
      </c>
      <c r="U129" s="69">
        <v>58</v>
      </c>
      <c r="V129" s="70" t="s">
        <v>161</v>
      </c>
      <c r="W129" s="69" t="s">
        <v>145</v>
      </c>
      <c r="X129" s="72" t="s">
        <v>285</v>
      </c>
      <c r="Y129" s="72" t="s">
        <v>310</v>
      </c>
      <c r="Z129" s="82">
        <v>40413</v>
      </c>
      <c r="AA129" s="72">
        <v>0</v>
      </c>
      <c r="AB129" s="3" t="s">
        <v>498</v>
      </c>
      <c r="AC129" s="3"/>
      <c r="AD129" s="3"/>
    </row>
    <row r="130" spans="1:30" x14ac:dyDescent="0.2">
      <c r="A130">
        <v>128</v>
      </c>
      <c r="B130" s="60" t="s">
        <v>92</v>
      </c>
      <c r="C130" s="69">
        <v>15</v>
      </c>
      <c r="D130" s="69">
        <v>0</v>
      </c>
      <c r="E130" s="69">
        <v>-120</v>
      </c>
      <c r="F130" s="69">
        <v>52</v>
      </c>
      <c r="G130" s="69">
        <v>0</v>
      </c>
      <c r="H130" s="69">
        <v>-13</v>
      </c>
      <c r="I130" s="69">
        <v>34.5</v>
      </c>
      <c r="J130" s="69">
        <v>0</v>
      </c>
      <c r="K130" s="69">
        <v>-120</v>
      </c>
      <c r="L130" s="69">
        <v>25</v>
      </c>
      <c r="M130" s="69">
        <v>18</v>
      </c>
      <c r="N130" s="69">
        <v>0</v>
      </c>
      <c r="O130" s="69" t="s">
        <v>85</v>
      </c>
      <c r="P130" s="69">
        <v>13</v>
      </c>
      <c r="Q130" s="69">
        <v>28</v>
      </c>
      <c r="R130" s="69"/>
      <c r="S130" s="69"/>
      <c r="T130" s="69"/>
      <c r="U130" s="69"/>
      <c r="V130" s="70"/>
      <c r="W130" s="69"/>
      <c r="X130" s="72" t="s">
        <v>191</v>
      </c>
      <c r="Y130" s="72" t="s">
        <v>191</v>
      </c>
      <c r="Z130" s="82" t="s">
        <v>252</v>
      </c>
      <c r="AA130" s="72" t="s">
        <v>251</v>
      </c>
      <c r="AB130" s="3" t="s">
        <v>498</v>
      </c>
      <c r="AC130" s="3"/>
      <c r="AD130" s="3"/>
    </row>
    <row r="131" spans="1:30" x14ac:dyDescent="0.2">
      <c r="A131">
        <v>129</v>
      </c>
      <c r="B131" s="61" t="s">
        <v>117</v>
      </c>
      <c r="C131" s="69">
        <v>18</v>
      </c>
      <c r="D131" s="69">
        <v>0</v>
      </c>
      <c r="E131" s="69">
        <v>-120</v>
      </c>
      <c r="F131" s="69">
        <v>62</v>
      </c>
      <c r="G131" s="69">
        <v>0</v>
      </c>
      <c r="H131" s="69">
        <v>-13</v>
      </c>
      <c r="I131" s="69">
        <v>31.2</v>
      </c>
      <c r="J131" s="69">
        <v>0</v>
      </c>
      <c r="K131" s="69">
        <v>-120</v>
      </c>
      <c r="L131" s="69">
        <v>30</v>
      </c>
      <c r="M131" s="69">
        <v>18</v>
      </c>
      <c r="N131" s="69">
        <v>0</v>
      </c>
      <c r="O131" s="69" t="s">
        <v>85</v>
      </c>
      <c r="P131" s="69">
        <v>13</v>
      </c>
      <c r="Q131" s="69">
        <v>28</v>
      </c>
      <c r="R131" s="69"/>
      <c r="S131" s="69"/>
      <c r="T131" s="69"/>
      <c r="U131" s="69"/>
      <c r="V131" s="70"/>
      <c r="W131" s="69"/>
      <c r="X131" s="72" t="s">
        <v>191</v>
      </c>
      <c r="Y131" s="72" t="s">
        <v>191</v>
      </c>
      <c r="Z131" s="82" t="s">
        <v>252</v>
      </c>
      <c r="AA131" s="72" t="s">
        <v>251</v>
      </c>
      <c r="AB131" s="3" t="s">
        <v>498</v>
      </c>
      <c r="AC131" s="3"/>
      <c r="AD131" s="3"/>
    </row>
    <row r="132" spans="1:30" x14ac:dyDescent="0.2">
      <c r="A132">
        <v>130</v>
      </c>
      <c r="B132" s="61" t="s">
        <v>118</v>
      </c>
      <c r="C132" s="69">
        <v>18</v>
      </c>
      <c r="D132" s="69">
        <v>0</v>
      </c>
      <c r="E132" s="69">
        <v>-120</v>
      </c>
      <c r="F132" s="69">
        <v>72</v>
      </c>
      <c r="G132" s="69">
        <v>0</v>
      </c>
      <c r="H132" s="69">
        <v>-13</v>
      </c>
      <c r="I132" s="69">
        <v>42.9</v>
      </c>
      <c r="J132" s="69">
        <v>0</v>
      </c>
      <c r="K132" s="69">
        <v>-120</v>
      </c>
      <c r="L132" s="69">
        <v>35</v>
      </c>
      <c r="M132" s="69">
        <v>21</v>
      </c>
      <c r="N132" s="69">
        <v>0</v>
      </c>
      <c r="O132" s="69" t="s">
        <v>85</v>
      </c>
      <c r="P132" s="69">
        <v>15</v>
      </c>
      <c r="Q132" s="69">
        <v>33</v>
      </c>
      <c r="R132" s="69"/>
      <c r="S132" s="69"/>
      <c r="T132" s="69"/>
      <c r="U132" s="69"/>
      <c r="V132" s="70"/>
      <c r="W132" s="69"/>
      <c r="X132" s="72" t="s">
        <v>191</v>
      </c>
      <c r="Y132" s="72" t="s">
        <v>191</v>
      </c>
      <c r="Z132" s="82" t="s">
        <v>252</v>
      </c>
      <c r="AA132" s="72" t="s">
        <v>251</v>
      </c>
      <c r="AB132" s="3" t="s">
        <v>498</v>
      </c>
      <c r="AC132" s="3"/>
      <c r="AD132" s="3"/>
    </row>
    <row r="133" spans="1:30" x14ac:dyDescent="0.2">
      <c r="A133">
        <v>131</v>
      </c>
      <c r="B133" s="60" t="s">
        <v>93</v>
      </c>
      <c r="C133" s="69">
        <v>18</v>
      </c>
      <c r="D133" s="69">
        <v>0</v>
      </c>
      <c r="E133" s="69">
        <v>-120</v>
      </c>
      <c r="F133" s="69">
        <v>72</v>
      </c>
      <c r="G133" s="69">
        <v>0</v>
      </c>
      <c r="H133" s="69">
        <v>-13</v>
      </c>
      <c r="I133" s="69">
        <v>42.9</v>
      </c>
      <c r="J133" s="69">
        <v>0</v>
      </c>
      <c r="K133" s="69">
        <v>-120</v>
      </c>
      <c r="L133" s="69">
        <v>35</v>
      </c>
      <c r="M133" s="69">
        <v>21</v>
      </c>
      <c r="N133" s="69">
        <v>0</v>
      </c>
      <c r="O133" s="69" t="s">
        <v>85</v>
      </c>
      <c r="P133" s="69">
        <v>15</v>
      </c>
      <c r="Q133" s="69">
        <v>33</v>
      </c>
      <c r="R133" s="69"/>
      <c r="S133" s="69"/>
      <c r="T133" s="69"/>
      <c r="U133" s="69"/>
      <c r="V133" s="70"/>
      <c r="W133" s="69"/>
      <c r="X133" s="72" t="s">
        <v>191</v>
      </c>
      <c r="Y133" s="72" t="s">
        <v>191</v>
      </c>
      <c r="Z133" s="82" t="s">
        <v>252</v>
      </c>
      <c r="AA133" s="72" t="s">
        <v>251</v>
      </c>
      <c r="AB133" s="3" t="s">
        <v>498</v>
      </c>
      <c r="AC133" s="3"/>
      <c r="AD133" s="3"/>
    </row>
    <row r="134" spans="1:30" x14ac:dyDescent="0.2">
      <c r="A134">
        <v>132</v>
      </c>
      <c r="B134" s="61" t="s">
        <v>140</v>
      </c>
      <c r="C134" s="69">
        <v>22</v>
      </c>
      <c r="D134" s="69">
        <v>0</v>
      </c>
      <c r="E134" s="69">
        <v>-120</v>
      </c>
      <c r="F134" s="69">
        <v>85</v>
      </c>
      <c r="G134" s="69">
        <v>0</v>
      </c>
      <c r="H134" s="69">
        <v>-15</v>
      </c>
      <c r="I134" s="69">
        <v>49.2</v>
      </c>
      <c r="J134" s="69">
        <v>0</v>
      </c>
      <c r="K134" s="69">
        <v>-120</v>
      </c>
      <c r="L134" s="69">
        <v>45</v>
      </c>
      <c r="M134" s="69">
        <v>21</v>
      </c>
      <c r="N134" s="69">
        <v>0</v>
      </c>
      <c r="O134" s="69" t="s">
        <v>85</v>
      </c>
      <c r="P134" s="69">
        <v>18</v>
      </c>
      <c r="Q134" s="69">
        <v>36</v>
      </c>
      <c r="R134" s="69">
        <v>62</v>
      </c>
      <c r="S134" s="69">
        <v>58</v>
      </c>
      <c r="T134" s="69">
        <v>62</v>
      </c>
      <c r="U134" s="69">
        <v>58</v>
      </c>
      <c r="V134" s="70"/>
      <c r="W134" s="69"/>
      <c r="X134" s="72" t="s">
        <v>191</v>
      </c>
      <c r="Y134" s="72" t="s">
        <v>191</v>
      </c>
      <c r="Z134" s="82" t="s">
        <v>252</v>
      </c>
      <c r="AA134" s="72" t="s">
        <v>251</v>
      </c>
      <c r="AB134" s="3" t="s">
        <v>498</v>
      </c>
      <c r="AC134" s="3"/>
      <c r="AD134" s="3"/>
    </row>
    <row r="135" spans="1:30" x14ac:dyDescent="0.2">
      <c r="A135">
        <v>133</v>
      </c>
      <c r="B135" s="60" t="s">
        <v>94</v>
      </c>
      <c r="C135" s="69">
        <v>22</v>
      </c>
      <c r="D135" s="69">
        <v>0</v>
      </c>
      <c r="E135" s="69">
        <v>-120</v>
      </c>
      <c r="F135" s="69">
        <v>85</v>
      </c>
      <c r="G135" s="69">
        <v>0</v>
      </c>
      <c r="H135" s="69">
        <v>-13</v>
      </c>
      <c r="I135" s="69">
        <v>49.2</v>
      </c>
      <c r="J135" s="69">
        <v>12</v>
      </c>
      <c r="K135" s="69">
        <v>-12</v>
      </c>
      <c r="L135" s="69">
        <v>45</v>
      </c>
      <c r="M135" s="69">
        <v>18</v>
      </c>
      <c r="N135" s="69">
        <v>0</v>
      </c>
      <c r="O135" s="69" t="s">
        <v>85</v>
      </c>
      <c r="P135" s="69">
        <v>18</v>
      </c>
      <c r="Q135" s="69">
        <v>36</v>
      </c>
      <c r="R135" s="69"/>
      <c r="S135" s="69"/>
      <c r="T135" s="69"/>
      <c r="U135" s="69"/>
      <c r="V135" s="70"/>
      <c r="W135" s="69"/>
      <c r="X135" s="72" t="s">
        <v>191</v>
      </c>
      <c r="Y135" s="72" t="s">
        <v>191</v>
      </c>
      <c r="Z135" s="82" t="s">
        <v>252</v>
      </c>
      <c r="AA135" s="72" t="s">
        <v>251</v>
      </c>
      <c r="AB135" s="3" t="s">
        <v>498</v>
      </c>
      <c r="AC135" s="3"/>
      <c r="AD135" s="3"/>
    </row>
    <row r="136" spans="1:30" x14ac:dyDescent="0.2">
      <c r="A136">
        <v>134</v>
      </c>
      <c r="B136" s="61" t="s">
        <v>416</v>
      </c>
      <c r="C136" s="69">
        <v>22</v>
      </c>
      <c r="D136" s="69">
        <v>0</v>
      </c>
      <c r="E136" s="69">
        <v>-120</v>
      </c>
      <c r="F136" s="69">
        <v>85</v>
      </c>
      <c r="G136" s="69">
        <v>0</v>
      </c>
      <c r="H136" s="69">
        <v>-15</v>
      </c>
      <c r="I136" s="69">
        <v>42.8</v>
      </c>
      <c r="J136" s="69">
        <v>0</v>
      </c>
      <c r="K136" s="69">
        <v>-120</v>
      </c>
      <c r="L136" s="69">
        <v>45</v>
      </c>
      <c r="M136" s="69">
        <v>21</v>
      </c>
      <c r="N136" s="69">
        <v>0</v>
      </c>
      <c r="O136" s="72" t="s">
        <v>90</v>
      </c>
      <c r="P136" s="69">
        <v>6</v>
      </c>
      <c r="Q136" s="69">
        <v>23</v>
      </c>
      <c r="R136" s="69">
        <v>64</v>
      </c>
      <c r="S136" s="69">
        <v>58</v>
      </c>
      <c r="T136" s="69">
        <v>64</v>
      </c>
      <c r="U136" s="69">
        <v>58</v>
      </c>
      <c r="V136" s="77" t="s">
        <v>417</v>
      </c>
      <c r="W136" s="72" t="s">
        <v>145</v>
      </c>
      <c r="X136" s="72" t="s">
        <v>418</v>
      </c>
      <c r="Y136" s="72" t="s">
        <v>419</v>
      </c>
      <c r="Z136" s="82">
        <v>43403</v>
      </c>
      <c r="AA136" s="72" t="s">
        <v>57</v>
      </c>
      <c r="AB136" s="3" t="s">
        <v>498</v>
      </c>
      <c r="AC136" s="3"/>
      <c r="AD136" s="3"/>
    </row>
    <row r="137" spans="1:30" x14ac:dyDescent="0.2">
      <c r="A137">
        <v>135</v>
      </c>
      <c r="B137" s="61" t="s">
        <v>433</v>
      </c>
      <c r="C137" s="69">
        <v>27</v>
      </c>
      <c r="D137" s="69">
        <v>0</v>
      </c>
      <c r="E137" s="69">
        <v>-120</v>
      </c>
      <c r="F137" s="69">
        <v>110</v>
      </c>
      <c r="G137" s="69">
        <v>0</v>
      </c>
      <c r="H137" s="69">
        <v>-15</v>
      </c>
      <c r="I137" s="69">
        <v>61.8</v>
      </c>
      <c r="J137" s="69">
        <v>0</v>
      </c>
      <c r="K137" s="69">
        <v>-120</v>
      </c>
      <c r="L137" s="69">
        <v>60</v>
      </c>
      <c r="M137" s="69">
        <v>25</v>
      </c>
      <c r="N137" s="69">
        <v>0</v>
      </c>
      <c r="O137" s="69" t="s">
        <v>90</v>
      </c>
      <c r="P137" s="69">
        <v>8</v>
      </c>
      <c r="Q137" s="69">
        <v>28</v>
      </c>
      <c r="R137" s="69">
        <v>64</v>
      </c>
      <c r="S137" s="69">
        <v>58</v>
      </c>
      <c r="T137" s="69">
        <v>64</v>
      </c>
      <c r="U137" s="69">
        <v>58</v>
      </c>
      <c r="V137" s="70" t="s">
        <v>289</v>
      </c>
      <c r="W137" s="69" t="s">
        <v>145</v>
      </c>
      <c r="X137" s="72" t="s">
        <v>290</v>
      </c>
      <c r="Y137" s="72" t="s">
        <v>291</v>
      </c>
      <c r="Z137" s="82">
        <v>44165</v>
      </c>
      <c r="AA137" s="72" t="s">
        <v>55</v>
      </c>
      <c r="AB137" s="3" t="s">
        <v>498</v>
      </c>
      <c r="AC137" s="3"/>
      <c r="AD137" s="3"/>
    </row>
    <row r="138" spans="1:30" x14ac:dyDescent="0.2">
      <c r="A138">
        <v>136</v>
      </c>
      <c r="B138" s="61" t="s">
        <v>491</v>
      </c>
      <c r="C138" s="69">
        <v>38</v>
      </c>
      <c r="D138" s="69">
        <v>0</v>
      </c>
      <c r="E138" s="69">
        <v>-120</v>
      </c>
      <c r="F138" s="69">
        <v>90</v>
      </c>
      <c r="G138" s="69">
        <v>0</v>
      </c>
      <c r="H138" s="69">
        <v>-13</v>
      </c>
      <c r="I138" s="69">
        <v>38</v>
      </c>
      <c r="J138" s="69">
        <v>0</v>
      </c>
      <c r="K138" s="69">
        <v>-120</v>
      </c>
      <c r="L138" s="69">
        <v>45</v>
      </c>
      <c r="M138" s="69">
        <v>0</v>
      </c>
      <c r="N138" s="69">
        <v>-12</v>
      </c>
      <c r="O138" s="69" t="s">
        <v>492</v>
      </c>
      <c r="P138" s="69">
        <v>23</v>
      </c>
      <c r="Q138" s="69">
        <v>44</v>
      </c>
      <c r="R138" s="69" t="s">
        <v>105</v>
      </c>
      <c r="S138" s="69" t="s">
        <v>105</v>
      </c>
      <c r="T138" s="69" t="s">
        <v>105</v>
      </c>
      <c r="U138" s="69" t="s">
        <v>105</v>
      </c>
      <c r="V138" s="70" t="s">
        <v>493</v>
      </c>
      <c r="W138" s="69" t="s">
        <v>145</v>
      </c>
      <c r="X138" s="72" t="s">
        <v>495</v>
      </c>
      <c r="Y138" s="72" t="s">
        <v>494</v>
      </c>
      <c r="Z138" s="82">
        <v>44399</v>
      </c>
      <c r="AA138" s="72" t="s">
        <v>57</v>
      </c>
      <c r="AB138" s="3" t="s">
        <v>498</v>
      </c>
      <c r="AC138" s="3"/>
      <c r="AD138" s="3"/>
    </row>
    <row r="139" spans="1:30" x14ac:dyDescent="0.2">
      <c r="A139">
        <v>137</v>
      </c>
      <c r="B139" s="61" t="s">
        <v>322</v>
      </c>
      <c r="C139" s="69">
        <v>29</v>
      </c>
      <c r="D139" s="69">
        <v>0</v>
      </c>
      <c r="E139" s="69">
        <v>-120</v>
      </c>
      <c r="F139" s="69">
        <v>125</v>
      </c>
      <c r="G139" s="69">
        <v>0</v>
      </c>
      <c r="H139" s="69">
        <v>-18</v>
      </c>
      <c r="I139" s="78">
        <v>74.599999999999994</v>
      </c>
      <c r="J139" s="78">
        <v>0</v>
      </c>
      <c r="K139" s="78">
        <v>-150</v>
      </c>
      <c r="L139" s="78">
        <v>70</v>
      </c>
      <c r="M139" s="78">
        <v>24</v>
      </c>
      <c r="N139" s="78">
        <v>0</v>
      </c>
      <c r="O139" s="69" t="s">
        <v>90</v>
      </c>
      <c r="P139" s="69">
        <v>10</v>
      </c>
      <c r="Q139" s="69">
        <v>30</v>
      </c>
      <c r="R139" s="69">
        <v>62</v>
      </c>
      <c r="S139" s="69">
        <v>58</v>
      </c>
      <c r="T139" s="69">
        <v>62</v>
      </c>
      <c r="U139" s="69">
        <v>58</v>
      </c>
      <c r="V139" s="70" t="s">
        <v>289</v>
      </c>
      <c r="W139" s="69" t="s">
        <v>145</v>
      </c>
      <c r="X139" s="72" t="s">
        <v>191</v>
      </c>
      <c r="Y139" s="72" t="s">
        <v>191</v>
      </c>
      <c r="Z139" s="82">
        <v>40513</v>
      </c>
      <c r="AA139" s="72" t="s">
        <v>264</v>
      </c>
      <c r="AB139" s="3" t="s">
        <v>498</v>
      </c>
      <c r="AC139" s="3"/>
      <c r="AD139" s="3"/>
    </row>
    <row r="140" spans="1:30" x14ac:dyDescent="0.2">
      <c r="A140">
        <v>138</v>
      </c>
      <c r="B140" s="61" t="s">
        <v>114</v>
      </c>
      <c r="C140" s="69">
        <v>27</v>
      </c>
      <c r="D140" s="69">
        <v>0</v>
      </c>
      <c r="E140" s="69">
        <v>-150</v>
      </c>
      <c r="F140" s="69">
        <v>110</v>
      </c>
      <c r="G140" s="69">
        <v>0</v>
      </c>
      <c r="H140" s="69">
        <v>-15</v>
      </c>
      <c r="I140" s="69">
        <v>36</v>
      </c>
      <c r="J140" s="69">
        <v>0</v>
      </c>
      <c r="K140" s="69">
        <v>-150</v>
      </c>
      <c r="L140" s="69">
        <v>60</v>
      </c>
      <c r="M140" s="69">
        <v>24</v>
      </c>
      <c r="N140" s="69">
        <v>0</v>
      </c>
      <c r="O140" s="69" t="s">
        <v>85</v>
      </c>
      <c r="P140" s="69">
        <v>23</v>
      </c>
      <c r="Q140" s="69">
        <v>43</v>
      </c>
      <c r="R140" s="69"/>
      <c r="S140" s="69"/>
      <c r="T140" s="69"/>
      <c r="U140" s="69"/>
      <c r="V140" s="70"/>
      <c r="W140" s="69"/>
      <c r="X140" s="72" t="s">
        <v>191</v>
      </c>
      <c r="Y140" s="72" t="s">
        <v>191</v>
      </c>
      <c r="Z140" s="82" t="s">
        <v>252</v>
      </c>
      <c r="AA140" s="72" t="s">
        <v>251</v>
      </c>
      <c r="AB140" s="3" t="s">
        <v>498</v>
      </c>
      <c r="AC140" s="3"/>
      <c r="AD140" s="3"/>
    </row>
    <row r="141" spans="1:30" x14ac:dyDescent="0.2">
      <c r="A141">
        <v>139</v>
      </c>
      <c r="B141" s="61" t="s">
        <v>131</v>
      </c>
      <c r="C141" s="69">
        <v>19</v>
      </c>
      <c r="D141" s="69">
        <v>0</v>
      </c>
      <c r="E141" s="69">
        <v>-120</v>
      </c>
      <c r="F141" s="69">
        <v>72</v>
      </c>
      <c r="G141" s="69">
        <v>0</v>
      </c>
      <c r="H141" s="69">
        <v>0</v>
      </c>
      <c r="I141" s="69">
        <v>42.9</v>
      </c>
      <c r="J141" s="69">
        <v>0</v>
      </c>
      <c r="K141" s="69">
        <v>-120</v>
      </c>
      <c r="L141" s="69">
        <v>35</v>
      </c>
      <c r="M141" s="69">
        <v>20</v>
      </c>
      <c r="N141" s="69">
        <v>0</v>
      </c>
      <c r="O141" s="69" t="s">
        <v>85</v>
      </c>
      <c r="P141" s="69">
        <v>15</v>
      </c>
      <c r="Q141" s="69">
        <v>33</v>
      </c>
      <c r="R141" s="69" t="s">
        <v>105</v>
      </c>
      <c r="S141" s="69" t="s">
        <v>105</v>
      </c>
      <c r="T141" s="69" t="s">
        <v>105</v>
      </c>
      <c r="U141" s="69" t="s">
        <v>105</v>
      </c>
      <c r="V141" s="70"/>
      <c r="W141" s="69"/>
      <c r="X141" s="72" t="s">
        <v>191</v>
      </c>
      <c r="Y141" s="72" t="s">
        <v>191</v>
      </c>
      <c r="Z141" s="82" t="s">
        <v>252</v>
      </c>
      <c r="AA141" s="72" t="s">
        <v>251</v>
      </c>
      <c r="AB141" s="3" t="s">
        <v>498</v>
      </c>
      <c r="AC141" s="3"/>
      <c r="AD141" s="3"/>
    </row>
    <row r="142" spans="1:30" x14ac:dyDescent="0.2">
      <c r="A142">
        <v>140</v>
      </c>
      <c r="B142" s="61" t="s">
        <v>132</v>
      </c>
      <c r="C142" s="69">
        <v>22</v>
      </c>
      <c r="D142" s="69">
        <v>0</v>
      </c>
      <c r="E142" s="69">
        <v>-120</v>
      </c>
      <c r="F142" s="69">
        <v>85</v>
      </c>
      <c r="G142" s="69">
        <v>0</v>
      </c>
      <c r="H142" s="69">
        <v>-15</v>
      </c>
      <c r="I142" s="69">
        <v>49.2</v>
      </c>
      <c r="J142" s="69">
        <v>0</v>
      </c>
      <c r="K142" s="69">
        <v>-120</v>
      </c>
      <c r="L142" s="69">
        <v>45</v>
      </c>
      <c r="M142" s="69">
        <v>21</v>
      </c>
      <c r="N142" s="69">
        <v>0</v>
      </c>
      <c r="O142" s="69" t="s">
        <v>85</v>
      </c>
      <c r="P142" s="69">
        <v>18</v>
      </c>
      <c r="Q142" s="69">
        <v>36</v>
      </c>
      <c r="R142" s="69" t="s">
        <v>105</v>
      </c>
      <c r="S142" s="69" t="s">
        <v>105</v>
      </c>
      <c r="T142" s="69" t="s">
        <v>105</v>
      </c>
      <c r="U142" s="69" t="s">
        <v>105</v>
      </c>
      <c r="V142" s="70"/>
      <c r="W142" s="69"/>
      <c r="X142" s="72" t="s">
        <v>191</v>
      </c>
      <c r="Y142" s="72" t="s">
        <v>191</v>
      </c>
      <c r="Z142" s="82" t="s">
        <v>252</v>
      </c>
      <c r="AA142" s="72" t="s">
        <v>251</v>
      </c>
      <c r="AB142" s="3" t="s">
        <v>498</v>
      </c>
      <c r="AC142" s="3"/>
      <c r="AD142" s="3"/>
    </row>
    <row r="143" spans="1:30" x14ac:dyDescent="0.2">
      <c r="A143">
        <v>141</v>
      </c>
      <c r="B143" s="61" t="s">
        <v>253</v>
      </c>
      <c r="C143" s="69" t="s">
        <v>105</v>
      </c>
      <c r="D143" s="69" t="s">
        <v>105</v>
      </c>
      <c r="E143" s="69" t="s">
        <v>105</v>
      </c>
      <c r="F143" s="69" t="s">
        <v>105</v>
      </c>
      <c r="G143" s="69" t="s">
        <v>105</v>
      </c>
      <c r="H143" s="69" t="s">
        <v>105</v>
      </c>
      <c r="I143" s="69">
        <v>42.9</v>
      </c>
      <c r="J143" s="69">
        <v>0</v>
      </c>
      <c r="K143" s="69">
        <v>-120</v>
      </c>
      <c r="L143" s="69">
        <v>35</v>
      </c>
      <c r="M143" s="69">
        <v>21</v>
      </c>
      <c r="N143" s="69">
        <v>0</v>
      </c>
      <c r="O143" s="69" t="s">
        <v>105</v>
      </c>
      <c r="P143" s="69" t="s">
        <v>105</v>
      </c>
      <c r="Q143" s="69" t="s">
        <v>105</v>
      </c>
      <c r="R143" s="69">
        <v>64</v>
      </c>
      <c r="S143" s="69">
        <v>58</v>
      </c>
      <c r="T143" s="69" t="s">
        <v>105</v>
      </c>
      <c r="U143" s="69" t="s">
        <v>105</v>
      </c>
      <c r="V143" s="69" t="s">
        <v>105</v>
      </c>
      <c r="W143" s="69" t="s">
        <v>105</v>
      </c>
      <c r="X143" s="69" t="s">
        <v>105</v>
      </c>
      <c r="Y143" s="69" t="s">
        <v>105</v>
      </c>
      <c r="Z143" s="82">
        <v>40661</v>
      </c>
      <c r="AA143" s="72">
        <v>0</v>
      </c>
      <c r="AB143" s="3" t="s">
        <v>498</v>
      </c>
      <c r="AC143" s="3"/>
      <c r="AD143" s="3"/>
    </row>
    <row r="144" spans="1:30" x14ac:dyDescent="0.2">
      <c r="A144">
        <v>142</v>
      </c>
      <c r="B144" s="61" t="s">
        <v>254</v>
      </c>
      <c r="C144" s="69" t="s">
        <v>105</v>
      </c>
      <c r="D144" s="69" t="s">
        <v>105</v>
      </c>
      <c r="E144" s="69" t="s">
        <v>105</v>
      </c>
      <c r="F144" s="69" t="s">
        <v>105</v>
      </c>
      <c r="G144" s="69" t="s">
        <v>105</v>
      </c>
      <c r="H144" s="69" t="s">
        <v>105</v>
      </c>
      <c r="I144" s="69">
        <v>27</v>
      </c>
      <c r="J144" s="69">
        <v>0</v>
      </c>
      <c r="K144" s="69">
        <v>-120</v>
      </c>
      <c r="L144" s="69">
        <v>25</v>
      </c>
      <c r="M144" s="69">
        <v>18</v>
      </c>
      <c r="N144" s="69">
        <v>0</v>
      </c>
      <c r="O144" s="69" t="s">
        <v>105</v>
      </c>
      <c r="P144" s="69" t="s">
        <v>105</v>
      </c>
      <c r="Q144" s="69" t="s">
        <v>105</v>
      </c>
      <c r="R144" s="69">
        <v>64</v>
      </c>
      <c r="S144" s="69">
        <v>58</v>
      </c>
      <c r="T144" s="69" t="s">
        <v>105</v>
      </c>
      <c r="U144" s="69" t="s">
        <v>105</v>
      </c>
      <c r="V144" s="69" t="s">
        <v>105</v>
      </c>
      <c r="W144" s="69" t="s">
        <v>105</v>
      </c>
      <c r="X144" s="69" t="s">
        <v>105</v>
      </c>
      <c r="Y144" s="69" t="s">
        <v>105</v>
      </c>
      <c r="Z144" s="82">
        <v>40660</v>
      </c>
      <c r="AA144" s="72">
        <v>0</v>
      </c>
      <c r="AB144" s="3" t="s">
        <v>498</v>
      </c>
      <c r="AC144" s="3"/>
      <c r="AD144" s="3"/>
    </row>
    <row r="145" spans="1:30" x14ac:dyDescent="0.2">
      <c r="A145">
        <v>143</v>
      </c>
      <c r="B145" s="61" t="s">
        <v>258</v>
      </c>
      <c r="C145" s="69">
        <v>15</v>
      </c>
      <c r="D145" s="69">
        <v>0</v>
      </c>
      <c r="E145" s="69">
        <v>-120</v>
      </c>
      <c r="F145" s="69">
        <v>52</v>
      </c>
      <c r="G145" s="69">
        <v>0</v>
      </c>
      <c r="H145" s="69">
        <v>-13</v>
      </c>
      <c r="I145" s="69" t="s">
        <v>105</v>
      </c>
      <c r="J145" s="69" t="s">
        <v>105</v>
      </c>
      <c r="K145" s="69" t="s">
        <v>105</v>
      </c>
      <c r="L145" s="69" t="s">
        <v>105</v>
      </c>
      <c r="M145" s="69" t="s">
        <v>105</v>
      </c>
      <c r="N145" s="69" t="s">
        <v>105</v>
      </c>
      <c r="O145" s="69" t="s">
        <v>105</v>
      </c>
      <c r="P145" s="69" t="s">
        <v>105</v>
      </c>
      <c r="Q145" s="69" t="s">
        <v>105</v>
      </c>
      <c r="R145" s="69" t="s">
        <v>105</v>
      </c>
      <c r="S145" s="69" t="s">
        <v>105</v>
      </c>
      <c r="T145" s="69">
        <v>64</v>
      </c>
      <c r="U145" s="69">
        <v>58</v>
      </c>
      <c r="V145" s="70" t="s">
        <v>105</v>
      </c>
      <c r="W145" s="69" t="s">
        <v>105</v>
      </c>
      <c r="X145" s="69" t="s">
        <v>105</v>
      </c>
      <c r="Y145" s="69" t="s">
        <v>105</v>
      </c>
      <c r="Z145" s="82" t="s">
        <v>252</v>
      </c>
      <c r="AA145" s="72" t="s">
        <v>251</v>
      </c>
      <c r="AB145" s="3" t="s">
        <v>498</v>
      </c>
      <c r="AC145" s="3"/>
      <c r="AD145" s="3"/>
    </row>
    <row r="146" spans="1:30" x14ac:dyDescent="0.2">
      <c r="A146">
        <v>144</v>
      </c>
      <c r="B146" s="61" t="s">
        <v>257</v>
      </c>
      <c r="C146" s="72" t="s">
        <v>105</v>
      </c>
      <c r="D146" s="72" t="s">
        <v>105</v>
      </c>
      <c r="E146" s="72" t="s">
        <v>105</v>
      </c>
      <c r="F146" s="72" t="s">
        <v>105</v>
      </c>
      <c r="G146" s="72" t="s">
        <v>105</v>
      </c>
      <c r="H146" s="72" t="s">
        <v>105</v>
      </c>
      <c r="I146" s="69">
        <v>34</v>
      </c>
      <c r="J146" s="69">
        <v>0</v>
      </c>
      <c r="K146" s="69">
        <v>-120</v>
      </c>
      <c r="L146" s="69">
        <v>25</v>
      </c>
      <c r="M146" s="69">
        <v>20</v>
      </c>
      <c r="N146" s="69">
        <v>0</v>
      </c>
      <c r="O146" s="72" t="s">
        <v>105</v>
      </c>
      <c r="P146" s="72" t="s">
        <v>105</v>
      </c>
      <c r="Q146" s="72" t="s">
        <v>105</v>
      </c>
      <c r="R146" s="69">
        <v>64</v>
      </c>
      <c r="S146" s="69">
        <v>58</v>
      </c>
      <c r="T146" s="72" t="s">
        <v>105</v>
      </c>
      <c r="U146" s="72" t="s">
        <v>105</v>
      </c>
      <c r="V146" s="77" t="s">
        <v>105</v>
      </c>
      <c r="W146" s="72" t="s">
        <v>105</v>
      </c>
      <c r="X146" s="72" t="s">
        <v>105</v>
      </c>
      <c r="Y146" s="72" t="s">
        <v>105</v>
      </c>
      <c r="Z146" s="82">
        <v>42643</v>
      </c>
      <c r="AA146" s="72">
        <v>0</v>
      </c>
      <c r="AB146" s="3" t="s">
        <v>498</v>
      </c>
      <c r="AC146" s="3"/>
      <c r="AD146" s="3"/>
    </row>
    <row r="147" spans="1:30" x14ac:dyDescent="0.2">
      <c r="A147">
        <v>145</v>
      </c>
      <c r="B147" s="61" t="s">
        <v>259</v>
      </c>
      <c r="C147" s="69" t="s">
        <v>105</v>
      </c>
      <c r="D147" s="69" t="s">
        <v>105</v>
      </c>
      <c r="E147" s="69" t="s">
        <v>105</v>
      </c>
      <c r="F147" s="69" t="s">
        <v>105</v>
      </c>
      <c r="G147" s="69" t="s">
        <v>105</v>
      </c>
      <c r="H147" s="69" t="s">
        <v>105</v>
      </c>
      <c r="I147" s="69">
        <v>21.65</v>
      </c>
      <c r="J147" s="69">
        <v>100</v>
      </c>
      <c r="K147" s="69">
        <v>20</v>
      </c>
      <c r="L147" s="69">
        <v>24.85</v>
      </c>
      <c r="M147" s="69">
        <v>0</v>
      </c>
      <c r="N147" s="69">
        <v>-15</v>
      </c>
      <c r="O147" s="69" t="s">
        <v>105</v>
      </c>
      <c r="P147" s="69" t="s">
        <v>105</v>
      </c>
      <c r="Q147" s="69" t="s">
        <v>105</v>
      </c>
      <c r="R147" s="69" t="s">
        <v>105</v>
      </c>
      <c r="S147" s="69">
        <v>64</v>
      </c>
      <c r="T147" s="69">
        <v>58</v>
      </c>
      <c r="U147" s="69" t="s">
        <v>105</v>
      </c>
      <c r="V147" s="70" t="s">
        <v>105</v>
      </c>
      <c r="W147" s="69" t="s">
        <v>105</v>
      </c>
      <c r="X147" s="72" t="s">
        <v>105</v>
      </c>
      <c r="Y147" s="72" t="s">
        <v>105</v>
      </c>
      <c r="Z147" s="82" t="s">
        <v>252</v>
      </c>
      <c r="AA147" s="72" t="s">
        <v>251</v>
      </c>
      <c r="AB147" s="3" t="s">
        <v>498</v>
      </c>
      <c r="AC147" s="3"/>
      <c r="AD147" s="3"/>
    </row>
    <row r="148" spans="1:30" x14ac:dyDescent="0.2">
      <c r="A148">
        <v>146</v>
      </c>
      <c r="B148" s="61" t="s">
        <v>260</v>
      </c>
      <c r="C148" s="69" t="s">
        <v>105</v>
      </c>
      <c r="D148" s="69" t="s">
        <v>105</v>
      </c>
      <c r="E148" s="69" t="s">
        <v>105</v>
      </c>
      <c r="F148" s="69" t="s">
        <v>105</v>
      </c>
      <c r="G148" s="69" t="s">
        <v>105</v>
      </c>
      <c r="H148" s="69" t="s">
        <v>105</v>
      </c>
      <c r="I148" s="69">
        <v>34.799999999999997</v>
      </c>
      <c r="J148" s="69">
        <v>0</v>
      </c>
      <c r="K148" s="69">
        <v>-120</v>
      </c>
      <c r="L148" s="69">
        <v>25</v>
      </c>
      <c r="M148" s="69">
        <v>18</v>
      </c>
      <c r="N148" s="69">
        <v>0</v>
      </c>
      <c r="O148" s="69" t="s">
        <v>105</v>
      </c>
      <c r="P148" s="69" t="s">
        <v>105</v>
      </c>
      <c r="Q148" s="69" t="s">
        <v>105</v>
      </c>
      <c r="R148" s="69">
        <v>64</v>
      </c>
      <c r="S148" s="69">
        <v>58</v>
      </c>
      <c r="T148" s="69" t="s">
        <v>105</v>
      </c>
      <c r="U148" s="69" t="s">
        <v>105</v>
      </c>
      <c r="V148" s="70" t="s">
        <v>105</v>
      </c>
      <c r="W148" s="69" t="s">
        <v>105</v>
      </c>
      <c r="X148" s="69" t="s">
        <v>105</v>
      </c>
      <c r="Y148" s="69" t="s">
        <v>105</v>
      </c>
      <c r="Z148" s="82" t="s">
        <v>252</v>
      </c>
      <c r="AA148" s="72" t="s">
        <v>251</v>
      </c>
      <c r="AB148" s="3" t="s">
        <v>498</v>
      </c>
      <c r="AC148" s="3"/>
      <c r="AD148" s="3"/>
    </row>
    <row r="149" spans="1:30" x14ac:dyDescent="0.2">
      <c r="A149">
        <v>147</v>
      </c>
      <c r="B149" s="61" t="s">
        <v>261</v>
      </c>
      <c r="C149" s="69">
        <v>15</v>
      </c>
      <c r="D149" s="69">
        <v>0</v>
      </c>
      <c r="E149" s="69">
        <v>-120</v>
      </c>
      <c r="F149" s="69">
        <v>52</v>
      </c>
      <c r="G149" s="69">
        <v>0</v>
      </c>
      <c r="H149" s="69">
        <v>-13</v>
      </c>
      <c r="I149" s="69" t="s">
        <v>105</v>
      </c>
      <c r="J149" s="69" t="s">
        <v>105</v>
      </c>
      <c r="K149" s="69" t="s">
        <v>105</v>
      </c>
      <c r="L149" s="69" t="s">
        <v>105</v>
      </c>
      <c r="M149" s="69" t="s">
        <v>105</v>
      </c>
      <c r="N149" s="69" t="s">
        <v>105</v>
      </c>
      <c r="O149" s="69" t="s">
        <v>105</v>
      </c>
      <c r="P149" s="69" t="s">
        <v>105</v>
      </c>
      <c r="Q149" s="69" t="s">
        <v>105</v>
      </c>
      <c r="R149" s="69" t="s">
        <v>105</v>
      </c>
      <c r="S149" s="69" t="s">
        <v>105</v>
      </c>
      <c r="T149" s="69">
        <v>64</v>
      </c>
      <c r="U149" s="69">
        <v>58</v>
      </c>
      <c r="V149" s="70" t="s">
        <v>105</v>
      </c>
      <c r="W149" s="69" t="s">
        <v>105</v>
      </c>
      <c r="X149" s="69" t="s">
        <v>105</v>
      </c>
      <c r="Y149" s="69" t="s">
        <v>105</v>
      </c>
      <c r="Z149" s="82">
        <v>40674</v>
      </c>
      <c r="AA149" s="72">
        <v>0</v>
      </c>
      <c r="AB149" s="3" t="s">
        <v>498</v>
      </c>
      <c r="AC149" s="3"/>
      <c r="AD149" s="3"/>
    </row>
    <row r="150" spans="1:30" x14ac:dyDescent="0.2">
      <c r="A150">
        <v>148</v>
      </c>
      <c r="B150" s="61" t="s">
        <v>262</v>
      </c>
      <c r="C150" s="69">
        <v>15</v>
      </c>
      <c r="D150" s="69">
        <v>0</v>
      </c>
      <c r="E150" s="69">
        <v>-120</v>
      </c>
      <c r="F150" s="69">
        <v>52</v>
      </c>
      <c r="G150" s="69">
        <v>0</v>
      </c>
      <c r="H150" s="69">
        <v>-13</v>
      </c>
      <c r="I150" s="69" t="s">
        <v>105</v>
      </c>
      <c r="J150" s="69" t="s">
        <v>105</v>
      </c>
      <c r="K150" s="69" t="s">
        <v>105</v>
      </c>
      <c r="L150" s="69" t="s">
        <v>105</v>
      </c>
      <c r="M150" s="69" t="s">
        <v>105</v>
      </c>
      <c r="N150" s="69" t="s">
        <v>105</v>
      </c>
      <c r="O150" s="69" t="s">
        <v>105</v>
      </c>
      <c r="P150" s="69" t="s">
        <v>105</v>
      </c>
      <c r="Q150" s="69" t="s">
        <v>105</v>
      </c>
      <c r="R150" s="69" t="s">
        <v>105</v>
      </c>
      <c r="S150" s="69" t="s">
        <v>105</v>
      </c>
      <c r="T150" s="69">
        <v>64</v>
      </c>
      <c r="U150" s="69">
        <v>58</v>
      </c>
      <c r="V150" s="70" t="s">
        <v>105</v>
      </c>
      <c r="W150" s="69" t="s">
        <v>105</v>
      </c>
      <c r="X150" s="69" t="s">
        <v>105</v>
      </c>
      <c r="Y150" s="69" t="s">
        <v>105</v>
      </c>
      <c r="Z150" s="82">
        <v>42486</v>
      </c>
      <c r="AA150" s="72">
        <v>0</v>
      </c>
      <c r="AB150" s="3" t="s">
        <v>498</v>
      </c>
      <c r="AC150" s="3"/>
      <c r="AD150" s="3"/>
    </row>
    <row r="151" spans="1:30" x14ac:dyDescent="0.2">
      <c r="A151">
        <v>149</v>
      </c>
      <c r="B151" s="61" t="s">
        <v>263</v>
      </c>
      <c r="C151" s="69">
        <v>15</v>
      </c>
      <c r="D151" s="69">
        <v>0</v>
      </c>
      <c r="E151" s="69">
        <v>-120</v>
      </c>
      <c r="F151" s="69">
        <v>52</v>
      </c>
      <c r="G151" s="69">
        <v>0</v>
      </c>
      <c r="H151" s="69">
        <v>-13</v>
      </c>
      <c r="I151" s="69" t="s">
        <v>105</v>
      </c>
      <c r="J151" s="69" t="s">
        <v>105</v>
      </c>
      <c r="K151" s="69" t="s">
        <v>105</v>
      </c>
      <c r="L151" s="69" t="s">
        <v>105</v>
      </c>
      <c r="M151" s="69" t="s">
        <v>105</v>
      </c>
      <c r="N151" s="69" t="s">
        <v>105</v>
      </c>
      <c r="O151" s="69" t="s">
        <v>105</v>
      </c>
      <c r="P151" s="69" t="s">
        <v>105</v>
      </c>
      <c r="Q151" s="69" t="s">
        <v>105</v>
      </c>
      <c r="R151" s="69" t="s">
        <v>105</v>
      </c>
      <c r="S151" s="69" t="s">
        <v>105</v>
      </c>
      <c r="T151" s="69">
        <v>64</v>
      </c>
      <c r="U151" s="69">
        <v>58</v>
      </c>
      <c r="V151" s="70" t="s">
        <v>105</v>
      </c>
      <c r="W151" s="69" t="s">
        <v>105</v>
      </c>
      <c r="X151" s="69" t="s">
        <v>105</v>
      </c>
      <c r="Y151" s="69" t="s">
        <v>105</v>
      </c>
      <c r="Z151" s="82">
        <v>42466</v>
      </c>
      <c r="AA151" s="72" t="s">
        <v>264</v>
      </c>
      <c r="AB151" s="3" t="s">
        <v>498</v>
      </c>
      <c r="AC151" s="3"/>
      <c r="AD151" s="3"/>
    </row>
    <row r="152" spans="1:30" x14ac:dyDescent="0.2">
      <c r="A152">
        <v>150</v>
      </c>
      <c r="B152" s="61" t="s">
        <v>265</v>
      </c>
      <c r="C152" s="69" t="s">
        <v>105</v>
      </c>
      <c r="D152" s="69" t="s">
        <v>105</v>
      </c>
      <c r="E152" s="69" t="s">
        <v>105</v>
      </c>
      <c r="F152" s="69" t="s">
        <v>105</v>
      </c>
      <c r="G152" s="69" t="s">
        <v>105</v>
      </c>
      <c r="H152" s="69" t="s">
        <v>105</v>
      </c>
      <c r="I152" s="69">
        <v>49.2</v>
      </c>
      <c r="J152" s="69">
        <v>0</v>
      </c>
      <c r="K152" s="69">
        <v>-120</v>
      </c>
      <c r="L152" s="69">
        <v>45</v>
      </c>
      <c r="M152" s="69">
        <v>21</v>
      </c>
      <c r="N152" s="69">
        <v>0</v>
      </c>
      <c r="O152" s="69" t="s">
        <v>105</v>
      </c>
      <c r="P152" s="69" t="s">
        <v>105</v>
      </c>
      <c r="Q152" s="69" t="s">
        <v>105</v>
      </c>
      <c r="R152" s="69">
        <v>64</v>
      </c>
      <c r="S152" s="69">
        <v>58</v>
      </c>
      <c r="T152" s="69">
        <v>64</v>
      </c>
      <c r="U152" s="69">
        <v>58</v>
      </c>
      <c r="V152" s="69" t="s">
        <v>105</v>
      </c>
      <c r="W152" s="69" t="s">
        <v>105</v>
      </c>
      <c r="X152" s="69" t="s">
        <v>105</v>
      </c>
      <c r="Y152" s="69" t="s">
        <v>105</v>
      </c>
      <c r="Z152" s="82">
        <v>42647</v>
      </c>
      <c r="AA152" s="72">
        <v>0</v>
      </c>
      <c r="AB152" s="3" t="s">
        <v>498</v>
      </c>
      <c r="AC152" s="3"/>
      <c r="AD152" s="3"/>
    </row>
    <row r="153" spans="1:30" x14ac:dyDescent="0.2">
      <c r="A153">
        <v>151</v>
      </c>
      <c r="B153" s="61" t="s">
        <v>266</v>
      </c>
      <c r="C153" s="69">
        <v>22</v>
      </c>
      <c r="D153" s="69">
        <v>0</v>
      </c>
      <c r="E153" s="69">
        <v>-120</v>
      </c>
      <c r="F153" s="69">
        <v>85</v>
      </c>
      <c r="G153" s="69">
        <v>0</v>
      </c>
      <c r="H153" s="69">
        <v>-15</v>
      </c>
      <c r="I153" s="69" t="s">
        <v>105</v>
      </c>
      <c r="J153" s="69" t="s">
        <v>105</v>
      </c>
      <c r="K153" s="69" t="s">
        <v>105</v>
      </c>
      <c r="L153" s="69" t="s">
        <v>105</v>
      </c>
      <c r="M153" s="69" t="s">
        <v>105</v>
      </c>
      <c r="N153" s="69" t="s">
        <v>105</v>
      </c>
      <c r="O153" s="69" t="s">
        <v>105</v>
      </c>
      <c r="P153" s="69" t="s">
        <v>105</v>
      </c>
      <c r="Q153" s="69" t="s">
        <v>105</v>
      </c>
      <c r="R153" s="69" t="s">
        <v>105</v>
      </c>
      <c r="S153" s="69" t="s">
        <v>105</v>
      </c>
      <c r="T153" s="69">
        <v>64</v>
      </c>
      <c r="U153" s="69">
        <v>58</v>
      </c>
      <c r="V153" s="69" t="s">
        <v>105</v>
      </c>
      <c r="W153" s="69" t="s">
        <v>105</v>
      </c>
      <c r="X153" s="69" t="s">
        <v>105</v>
      </c>
      <c r="Y153" s="69" t="s">
        <v>105</v>
      </c>
      <c r="Z153" s="82">
        <v>42643</v>
      </c>
      <c r="AA153" s="72" t="s">
        <v>264</v>
      </c>
      <c r="AB153" s="3" t="s">
        <v>498</v>
      </c>
      <c r="AC153" s="3"/>
      <c r="AD153" s="3"/>
    </row>
    <row r="154" spans="1:30" x14ac:dyDescent="0.2">
      <c r="A154">
        <v>152</v>
      </c>
      <c r="B154" s="64" t="s">
        <v>267</v>
      </c>
      <c r="C154" s="69" t="s">
        <v>105</v>
      </c>
      <c r="D154" s="69" t="s">
        <v>105</v>
      </c>
      <c r="E154" s="69" t="s">
        <v>105</v>
      </c>
      <c r="F154" s="69" t="s">
        <v>105</v>
      </c>
      <c r="G154" s="69" t="s">
        <v>105</v>
      </c>
      <c r="H154" s="69" t="s">
        <v>105</v>
      </c>
      <c r="I154" s="69">
        <v>42.8</v>
      </c>
      <c r="J154" s="69">
        <v>0</v>
      </c>
      <c r="K154" s="69">
        <v>-120</v>
      </c>
      <c r="L154" s="69">
        <v>45</v>
      </c>
      <c r="M154" s="69">
        <v>21</v>
      </c>
      <c r="N154" s="69">
        <v>0</v>
      </c>
      <c r="O154" s="69" t="s">
        <v>105</v>
      </c>
      <c r="P154" s="69" t="s">
        <v>105</v>
      </c>
      <c r="Q154" s="69" t="s">
        <v>105</v>
      </c>
      <c r="R154" s="69">
        <v>64</v>
      </c>
      <c r="S154" s="69">
        <v>58</v>
      </c>
      <c r="T154" s="69" t="s">
        <v>105</v>
      </c>
      <c r="U154" s="69" t="s">
        <v>105</v>
      </c>
      <c r="V154" s="70" t="s">
        <v>105</v>
      </c>
      <c r="W154" s="69" t="s">
        <v>105</v>
      </c>
      <c r="X154" s="72" t="s">
        <v>105</v>
      </c>
      <c r="Y154" s="72" t="s">
        <v>105</v>
      </c>
      <c r="Z154" s="82">
        <v>42643</v>
      </c>
      <c r="AA154" s="72" t="s">
        <v>264</v>
      </c>
      <c r="AB154" s="3" t="s">
        <v>498</v>
      </c>
      <c r="AC154" s="3"/>
      <c r="AD154" s="3"/>
    </row>
    <row r="155" spans="1:30" x14ac:dyDescent="0.2">
      <c r="A155">
        <v>153</v>
      </c>
      <c r="B155" s="61" t="s">
        <v>268</v>
      </c>
      <c r="C155" s="69">
        <v>19</v>
      </c>
      <c r="D155" s="69">
        <v>0</v>
      </c>
      <c r="E155" s="69">
        <v>-120</v>
      </c>
      <c r="F155" s="69">
        <v>85</v>
      </c>
      <c r="G155" s="69">
        <v>0</v>
      </c>
      <c r="H155" s="69">
        <v>-15</v>
      </c>
      <c r="I155" s="69" t="s">
        <v>105</v>
      </c>
      <c r="J155" s="69" t="s">
        <v>105</v>
      </c>
      <c r="K155" s="69" t="s">
        <v>105</v>
      </c>
      <c r="L155" s="69" t="s">
        <v>105</v>
      </c>
      <c r="M155" s="69" t="s">
        <v>105</v>
      </c>
      <c r="N155" s="69" t="s">
        <v>105</v>
      </c>
      <c r="O155" s="69" t="s">
        <v>105</v>
      </c>
      <c r="P155" s="69" t="s">
        <v>105</v>
      </c>
      <c r="Q155" s="69" t="s">
        <v>105</v>
      </c>
      <c r="R155" s="69" t="s">
        <v>105</v>
      </c>
      <c r="S155" s="69" t="s">
        <v>105</v>
      </c>
      <c r="T155" s="69">
        <v>64</v>
      </c>
      <c r="U155" s="69">
        <v>58</v>
      </c>
      <c r="V155" s="69" t="s">
        <v>105</v>
      </c>
      <c r="W155" s="69" t="s">
        <v>105</v>
      </c>
      <c r="X155" s="69" t="s">
        <v>105</v>
      </c>
      <c r="Y155" s="69" t="s">
        <v>105</v>
      </c>
      <c r="Z155" s="82">
        <v>42534</v>
      </c>
      <c r="AA155" s="72">
        <v>0</v>
      </c>
      <c r="AB155" s="3" t="s">
        <v>498</v>
      </c>
      <c r="AC155" s="3"/>
      <c r="AD155" s="3"/>
    </row>
    <row r="156" spans="1:30" x14ac:dyDescent="0.2">
      <c r="A156">
        <v>154</v>
      </c>
      <c r="B156" s="61" t="s">
        <v>271</v>
      </c>
      <c r="C156" s="69" t="s">
        <v>105</v>
      </c>
      <c r="D156" s="69" t="s">
        <v>105</v>
      </c>
      <c r="E156" s="69" t="s">
        <v>105</v>
      </c>
      <c r="F156" s="69" t="s">
        <v>105</v>
      </c>
      <c r="G156" s="69" t="s">
        <v>105</v>
      </c>
      <c r="H156" s="69" t="s">
        <v>105</v>
      </c>
      <c r="I156" s="69">
        <v>36.4</v>
      </c>
      <c r="J156" s="69">
        <v>0</v>
      </c>
      <c r="K156" s="69">
        <v>-120</v>
      </c>
      <c r="L156" s="69">
        <v>25</v>
      </c>
      <c r="M156" s="69">
        <v>18</v>
      </c>
      <c r="N156" s="69">
        <v>0</v>
      </c>
      <c r="O156" s="69" t="s">
        <v>105</v>
      </c>
      <c r="P156" s="69" t="s">
        <v>105</v>
      </c>
      <c r="Q156" s="69" t="s">
        <v>105</v>
      </c>
      <c r="R156" s="69">
        <v>64</v>
      </c>
      <c r="S156" s="69">
        <v>58</v>
      </c>
      <c r="T156" s="69" t="s">
        <v>105</v>
      </c>
      <c r="U156" s="69" t="s">
        <v>105</v>
      </c>
      <c r="V156" s="69" t="s">
        <v>105</v>
      </c>
      <c r="W156" s="69" t="s">
        <v>105</v>
      </c>
      <c r="X156" s="69" t="s">
        <v>105</v>
      </c>
      <c r="Y156" s="69" t="s">
        <v>105</v>
      </c>
      <c r="Z156" s="82">
        <v>42503</v>
      </c>
      <c r="AA156" s="72">
        <v>0</v>
      </c>
      <c r="AB156" s="3" t="s">
        <v>498</v>
      </c>
      <c r="AC156" s="3"/>
      <c r="AD156" s="3"/>
    </row>
    <row r="157" spans="1:30" x14ac:dyDescent="0.2">
      <c r="A157">
        <v>155</v>
      </c>
      <c r="B157" s="61" t="s">
        <v>272</v>
      </c>
      <c r="C157" s="69">
        <v>19</v>
      </c>
      <c r="D157" s="69">
        <v>0</v>
      </c>
      <c r="E157" s="69">
        <v>-120</v>
      </c>
      <c r="F157" s="69">
        <v>72</v>
      </c>
      <c r="G157" s="69">
        <v>0</v>
      </c>
      <c r="H157" s="69">
        <v>-13</v>
      </c>
      <c r="I157" s="69" t="s">
        <v>105</v>
      </c>
      <c r="J157" s="69" t="s">
        <v>105</v>
      </c>
      <c r="K157" s="69" t="s">
        <v>105</v>
      </c>
      <c r="L157" s="69" t="s">
        <v>105</v>
      </c>
      <c r="M157" s="69" t="s">
        <v>105</v>
      </c>
      <c r="N157" s="69" t="s">
        <v>105</v>
      </c>
      <c r="O157" s="69" t="s">
        <v>105</v>
      </c>
      <c r="P157" s="69" t="s">
        <v>105</v>
      </c>
      <c r="Q157" s="69" t="s">
        <v>105</v>
      </c>
      <c r="R157" s="69" t="s">
        <v>105</v>
      </c>
      <c r="S157" s="69" t="s">
        <v>105</v>
      </c>
      <c r="T157" s="69">
        <v>64</v>
      </c>
      <c r="U157" s="69">
        <v>58</v>
      </c>
      <c r="V157" s="69" t="s">
        <v>105</v>
      </c>
      <c r="W157" s="69" t="s">
        <v>105</v>
      </c>
      <c r="X157" s="69" t="s">
        <v>105</v>
      </c>
      <c r="Y157" s="69" t="s">
        <v>105</v>
      </c>
      <c r="Z157" s="82">
        <v>42591</v>
      </c>
      <c r="AA157" s="72">
        <v>0</v>
      </c>
      <c r="AB157" s="3" t="s">
        <v>498</v>
      </c>
      <c r="AC157" s="3"/>
      <c r="AD157" s="3"/>
    </row>
    <row r="158" spans="1:30" x14ac:dyDescent="0.2">
      <c r="A158">
        <v>156</v>
      </c>
      <c r="B158" s="61" t="s">
        <v>624</v>
      </c>
      <c r="C158" s="69">
        <v>18</v>
      </c>
      <c r="D158" s="69">
        <v>0</v>
      </c>
      <c r="E158" s="69">
        <v>-120</v>
      </c>
      <c r="F158" s="69">
        <v>62</v>
      </c>
      <c r="G158" s="69">
        <v>0</v>
      </c>
      <c r="H158" s="69">
        <v>-13</v>
      </c>
      <c r="I158" s="69" t="s">
        <v>105</v>
      </c>
      <c r="J158" s="69" t="s">
        <v>105</v>
      </c>
      <c r="K158" s="69" t="s">
        <v>105</v>
      </c>
      <c r="L158" s="69" t="s">
        <v>105</v>
      </c>
      <c r="M158" s="69" t="s">
        <v>105</v>
      </c>
      <c r="N158" s="69" t="s">
        <v>105</v>
      </c>
      <c r="O158" s="69" t="s">
        <v>105</v>
      </c>
      <c r="P158" s="69" t="s">
        <v>105</v>
      </c>
      <c r="Q158" s="69" t="s">
        <v>105</v>
      </c>
      <c r="R158" s="69" t="s">
        <v>105</v>
      </c>
      <c r="S158" s="69" t="s">
        <v>105</v>
      </c>
      <c r="T158" s="69">
        <v>64</v>
      </c>
      <c r="U158" s="69">
        <v>58</v>
      </c>
      <c r="V158" s="70" t="s">
        <v>105</v>
      </c>
      <c r="W158" s="69" t="s">
        <v>105</v>
      </c>
      <c r="X158" s="69" t="s">
        <v>105</v>
      </c>
      <c r="Y158" s="69" t="s">
        <v>105</v>
      </c>
      <c r="Z158" s="82">
        <v>42537</v>
      </c>
      <c r="AA158" s="72">
        <v>0</v>
      </c>
      <c r="AB158" s="3" t="s">
        <v>498</v>
      </c>
      <c r="AC158" s="3"/>
      <c r="AD158" s="3"/>
    </row>
    <row r="159" spans="1:30" x14ac:dyDescent="0.2">
      <c r="A159">
        <v>157</v>
      </c>
      <c r="B159" s="61" t="s">
        <v>275</v>
      </c>
      <c r="C159" s="69" t="s">
        <v>105</v>
      </c>
      <c r="D159" s="69" t="s">
        <v>105</v>
      </c>
      <c r="E159" s="69" t="s">
        <v>105</v>
      </c>
      <c r="F159" s="69" t="s">
        <v>105</v>
      </c>
      <c r="G159" s="69" t="s">
        <v>105</v>
      </c>
      <c r="H159" s="69" t="s">
        <v>105</v>
      </c>
      <c r="I159" s="69">
        <v>38.1</v>
      </c>
      <c r="J159" s="69">
        <v>0</v>
      </c>
      <c r="K159" s="69">
        <v>-120</v>
      </c>
      <c r="L159" s="69">
        <v>30</v>
      </c>
      <c r="M159" s="69">
        <v>18</v>
      </c>
      <c r="N159" s="69">
        <v>0</v>
      </c>
      <c r="O159" s="69" t="s">
        <v>105</v>
      </c>
      <c r="P159" s="69" t="s">
        <v>105</v>
      </c>
      <c r="Q159" s="69" t="s">
        <v>105</v>
      </c>
      <c r="R159" s="69">
        <v>64</v>
      </c>
      <c r="S159" s="69">
        <v>58</v>
      </c>
      <c r="T159" s="69" t="s">
        <v>105</v>
      </c>
      <c r="U159" s="69" t="s">
        <v>105</v>
      </c>
      <c r="V159" s="70" t="s">
        <v>105</v>
      </c>
      <c r="W159" s="69" t="s">
        <v>105</v>
      </c>
      <c r="X159" s="69" t="s">
        <v>105</v>
      </c>
      <c r="Y159" s="69" t="s">
        <v>105</v>
      </c>
      <c r="Z159" s="82">
        <v>42647</v>
      </c>
      <c r="AA159" s="72">
        <v>0</v>
      </c>
      <c r="AB159" s="3" t="s">
        <v>498</v>
      </c>
      <c r="AC159" s="3"/>
      <c r="AD159" s="3"/>
    </row>
    <row r="160" spans="1:30" x14ac:dyDescent="0.2">
      <c r="A160">
        <v>158</v>
      </c>
      <c r="B160" s="61" t="s">
        <v>276</v>
      </c>
      <c r="C160" s="69">
        <v>19</v>
      </c>
      <c r="D160" s="69">
        <v>0</v>
      </c>
      <c r="E160" s="69">
        <v>-120</v>
      </c>
      <c r="F160" s="69">
        <v>72</v>
      </c>
      <c r="G160" s="69">
        <v>0</v>
      </c>
      <c r="H160" s="69">
        <v>-13</v>
      </c>
      <c r="I160" s="69" t="s">
        <v>105</v>
      </c>
      <c r="J160" s="69" t="s">
        <v>105</v>
      </c>
      <c r="K160" s="69" t="s">
        <v>105</v>
      </c>
      <c r="L160" s="69" t="s">
        <v>105</v>
      </c>
      <c r="M160" s="69" t="s">
        <v>105</v>
      </c>
      <c r="N160" s="69" t="s">
        <v>105</v>
      </c>
      <c r="O160" s="69" t="s">
        <v>105</v>
      </c>
      <c r="P160" s="69" t="s">
        <v>105</v>
      </c>
      <c r="Q160" s="69" t="s">
        <v>105</v>
      </c>
      <c r="R160" s="69" t="s">
        <v>105</v>
      </c>
      <c r="S160" s="69" t="s">
        <v>105</v>
      </c>
      <c r="T160" s="69">
        <v>64</v>
      </c>
      <c r="U160" s="69">
        <v>58</v>
      </c>
      <c r="V160" s="69" t="s">
        <v>105</v>
      </c>
      <c r="W160" s="69" t="s">
        <v>105</v>
      </c>
      <c r="X160" s="69" t="s">
        <v>105</v>
      </c>
      <c r="Y160" s="69" t="s">
        <v>105</v>
      </c>
      <c r="Z160" s="82">
        <v>42647</v>
      </c>
      <c r="AA160" s="72" t="s">
        <v>264</v>
      </c>
      <c r="AB160" s="3" t="s">
        <v>498</v>
      </c>
      <c r="AC160" s="3"/>
      <c r="AD160" s="3"/>
    </row>
    <row r="161" spans="1:30" x14ac:dyDescent="0.2">
      <c r="A161">
        <v>159</v>
      </c>
      <c r="B161" s="61" t="s">
        <v>278</v>
      </c>
      <c r="C161" s="69" t="s">
        <v>105</v>
      </c>
      <c r="D161" s="69" t="s">
        <v>105</v>
      </c>
      <c r="E161" s="69" t="s">
        <v>105</v>
      </c>
      <c r="F161" s="69" t="s">
        <v>105</v>
      </c>
      <c r="G161" s="69" t="s">
        <v>105</v>
      </c>
      <c r="H161" s="69" t="s">
        <v>105</v>
      </c>
      <c r="I161" s="69">
        <v>23.82</v>
      </c>
      <c r="J161" s="69">
        <v>0</v>
      </c>
      <c r="K161" s="69">
        <v>-120</v>
      </c>
      <c r="L161" s="69">
        <v>30</v>
      </c>
      <c r="M161" s="69">
        <v>18</v>
      </c>
      <c r="N161" s="69">
        <v>0</v>
      </c>
      <c r="O161" s="69" t="s">
        <v>105</v>
      </c>
      <c r="P161" s="69" t="s">
        <v>105</v>
      </c>
      <c r="Q161" s="69" t="s">
        <v>105</v>
      </c>
      <c r="R161" s="69">
        <v>64</v>
      </c>
      <c r="S161" s="69">
        <v>58</v>
      </c>
      <c r="T161" s="69" t="s">
        <v>105</v>
      </c>
      <c r="U161" s="69" t="s">
        <v>105</v>
      </c>
      <c r="V161" s="70" t="s">
        <v>105</v>
      </c>
      <c r="W161" s="69" t="s">
        <v>105</v>
      </c>
      <c r="X161" s="69" t="s">
        <v>105</v>
      </c>
      <c r="Y161" s="69" t="s">
        <v>105</v>
      </c>
      <c r="Z161" s="82">
        <v>42649</v>
      </c>
      <c r="AA161" s="72">
        <v>0</v>
      </c>
      <c r="AB161" s="3" t="s">
        <v>498</v>
      </c>
      <c r="AC161" s="3"/>
      <c r="AD161" s="3"/>
    </row>
    <row r="162" spans="1:30" x14ac:dyDescent="0.2">
      <c r="A162">
        <v>160</v>
      </c>
      <c r="B162" s="61" t="s">
        <v>279</v>
      </c>
      <c r="C162" s="69" t="s">
        <v>105</v>
      </c>
      <c r="D162" s="69" t="s">
        <v>105</v>
      </c>
      <c r="E162" s="69" t="s">
        <v>105</v>
      </c>
      <c r="F162" s="69" t="s">
        <v>105</v>
      </c>
      <c r="G162" s="69" t="s">
        <v>105</v>
      </c>
      <c r="H162" s="69" t="s">
        <v>105</v>
      </c>
      <c r="I162" s="69">
        <v>49.2</v>
      </c>
      <c r="J162" s="69">
        <v>0</v>
      </c>
      <c r="K162" s="69">
        <v>-120</v>
      </c>
      <c r="L162" s="69">
        <v>40</v>
      </c>
      <c r="M162" s="69">
        <v>21</v>
      </c>
      <c r="N162" s="69">
        <v>0</v>
      </c>
      <c r="O162" s="69" t="s">
        <v>105</v>
      </c>
      <c r="P162" s="69" t="s">
        <v>105</v>
      </c>
      <c r="Q162" s="69" t="s">
        <v>105</v>
      </c>
      <c r="R162" s="69">
        <v>64</v>
      </c>
      <c r="S162" s="69">
        <v>58</v>
      </c>
      <c r="T162" s="69" t="s">
        <v>105</v>
      </c>
      <c r="U162" s="69" t="s">
        <v>105</v>
      </c>
      <c r="V162" s="69" t="s">
        <v>105</v>
      </c>
      <c r="W162" s="69" t="s">
        <v>105</v>
      </c>
      <c r="X162" s="69" t="s">
        <v>105</v>
      </c>
      <c r="Y162" s="69" t="s">
        <v>105</v>
      </c>
      <c r="Z162" s="82">
        <v>42649</v>
      </c>
      <c r="AA162" s="72">
        <v>0</v>
      </c>
      <c r="AB162" s="3" t="s">
        <v>498</v>
      </c>
      <c r="AC162" s="3"/>
      <c r="AD162" s="3"/>
    </row>
    <row r="163" spans="1:30" x14ac:dyDescent="0.2">
      <c r="A163">
        <v>161</v>
      </c>
      <c r="B163" s="61" t="s">
        <v>280</v>
      </c>
      <c r="C163" s="69">
        <v>22</v>
      </c>
      <c r="D163" s="69">
        <v>0</v>
      </c>
      <c r="E163" s="69">
        <v>-120</v>
      </c>
      <c r="F163" s="69">
        <v>80</v>
      </c>
      <c r="G163" s="69">
        <v>0</v>
      </c>
      <c r="H163" s="69">
        <v>-13</v>
      </c>
      <c r="I163" s="69" t="s">
        <v>105</v>
      </c>
      <c r="J163" s="69" t="s">
        <v>105</v>
      </c>
      <c r="K163" s="69" t="s">
        <v>105</v>
      </c>
      <c r="L163" s="69" t="s">
        <v>105</v>
      </c>
      <c r="M163" s="69" t="s">
        <v>105</v>
      </c>
      <c r="N163" s="69" t="s">
        <v>105</v>
      </c>
      <c r="O163" s="69" t="s">
        <v>105</v>
      </c>
      <c r="P163" s="69" t="s">
        <v>105</v>
      </c>
      <c r="Q163" s="69" t="s">
        <v>105</v>
      </c>
      <c r="R163" s="69" t="s">
        <v>105</v>
      </c>
      <c r="S163" s="69" t="s">
        <v>105</v>
      </c>
      <c r="T163" s="69">
        <v>64</v>
      </c>
      <c r="U163" s="69">
        <v>58</v>
      </c>
      <c r="V163" s="69" t="s">
        <v>105</v>
      </c>
      <c r="W163" s="69" t="s">
        <v>105</v>
      </c>
      <c r="X163" s="69" t="s">
        <v>105</v>
      </c>
      <c r="Y163" s="69" t="s">
        <v>105</v>
      </c>
      <c r="Z163" s="82">
        <v>42649</v>
      </c>
      <c r="AA163" s="72">
        <v>0</v>
      </c>
      <c r="AB163" s="3" t="s">
        <v>498</v>
      </c>
      <c r="AC163" s="3"/>
      <c r="AD163" s="3"/>
    </row>
    <row r="164" spans="1:30" x14ac:dyDescent="0.2">
      <c r="A164">
        <v>162</v>
      </c>
      <c r="B164" s="61" t="s">
        <v>281</v>
      </c>
      <c r="C164" s="69" t="s">
        <v>105</v>
      </c>
      <c r="D164" s="69" t="s">
        <v>105</v>
      </c>
      <c r="E164" s="69" t="s">
        <v>105</v>
      </c>
      <c r="F164" s="69" t="s">
        <v>105</v>
      </c>
      <c r="G164" s="69" t="s">
        <v>105</v>
      </c>
      <c r="H164" s="69" t="s">
        <v>105</v>
      </c>
      <c r="I164" s="69">
        <v>21.5</v>
      </c>
      <c r="J164" s="69">
        <v>0</v>
      </c>
      <c r="K164" s="69">
        <v>-120</v>
      </c>
      <c r="L164" s="69">
        <v>22.225000000000001</v>
      </c>
      <c r="M164" s="69">
        <v>18</v>
      </c>
      <c r="N164" s="69">
        <v>0</v>
      </c>
      <c r="O164" s="69" t="s">
        <v>105</v>
      </c>
      <c r="P164" s="69" t="s">
        <v>105</v>
      </c>
      <c r="Q164" s="69" t="s">
        <v>105</v>
      </c>
      <c r="R164" s="69">
        <v>64</v>
      </c>
      <c r="S164" s="69">
        <v>58</v>
      </c>
      <c r="T164" s="69" t="s">
        <v>105</v>
      </c>
      <c r="U164" s="69" t="s">
        <v>105</v>
      </c>
      <c r="V164" s="70" t="s">
        <v>105</v>
      </c>
      <c r="W164" s="69" t="s">
        <v>105</v>
      </c>
      <c r="X164" s="69" t="s">
        <v>105</v>
      </c>
      <c r="Y164" s="69" t="s">
        <v>105</v>
      </c>
      <c r="Z164" s="82">
        <v>42650</v>
      </c>
      <c r="AA164" s="72">
        <v>0</v>
      </c>
      <c r="AB164" s="3" t="s">
        <v>498</v>
      </c>
      <c r="AC164" s="3"/>
      <c r="AD164" s="3"/>
    </row>
    <row r="165" spans="1:30" x14ac:dyDescent="0.2">
      <c r="A165">
        <v>163</v>
      </c>
      <c r="B165" s="61" t="s">
        <v>282</v>
      </c>
      <c r="C165" s="69" t="s">
        <v>105</v>
      </c>
      <c r="D165" s="69" t="s">
        <v>105</v>
      </c>
      <c r="E165" s="69" t="s">
        <v>105</v>
      </c>
      <c r="F165" s="69" t="s">
        <v>105</v>
      </c>
      <c r="G165" s="69" t="s">
        <v>105</v>
      </c>
      <c r="H165" s="69" t="s">
        <v>105</v>
      </c>
      <c r="I165" s="69">
        <v>23.82</v>
      </c>
      <c r="J165" s="69">
        <v>0</v>
      </c>
      <c r="K165" s="69">
        <v>-120</v>
      </c>
      <c r="L165" s="69">
        <v>28.574999999999999</v>
      </c>
      <c r="M165" s="69">
        <v>18</v>
      </c>
      <c r="N165" s="69">
        <v>0</v>
      </c>
      <c r="O165" s="69" t="s">
        <v>105</v>
      </c>
      <c r="P165" s="69" t="s">
        <v>105</v>
      </c>
      <c r="Q165" s="69" t="s">
        <v>105</v>
      </c>
      <c r="R165" s="69">
        <v>64</v>
      </c>
      <c r="S165" s="69">
        <v>58</v>
      </c>
      <c r="T165" s="69" t="s">
        <v>105</v>
      </c>
      <c r="U165" s="69" t="s">
        <v>105</v>
      </c>
      <c r="V165" s="70" t="s">
        <v>105</v>
      </c>
      <c r="W165" s="69" t="s">
        <v>105</v>
      </c>
      <c r="X165" s="69" t="s">
        <v>105</v>
      </c>
      <c r="Y165" s="69" t="s">
        <v>105</v>
      </c>
      <c r="Z165" s="82">
        <v>41871</v>
      </c>
      <c r="AA165" s="72">
        <v>0</v>
      </c>
      <c r="AB165" s="3" t="s">
        <v>498</v>
      </c>
      <c r="AC165" s="3"/>
      <c r="AD165" s="3"/>
    </row>
    <row r="166" spans="1:30" x14ac:dyDescent="0.2">
      <c r="A166">
        <v>164</v>
      </c>
      <c r="B166" s="61" t="s">
        <v>283</v>
      </c>
      <c r="C166" s="69" t="s">
        <v>105</v>
      </c>
      <c r="D166" s="69" t="s">
        <v>105</v>
      </c>
      <c r="E166" s="69" t="s">
        <v>105</v>
      </c>
      <c r="F166" s="69" t="s">
        <v>105</v>
      </c>
      <c r="G166" s="69" t="s">
        <v>105</v>
      </c>
      <c r="H166" s="69" t="s">
        <v>105</v>
      </c>
      <c r="I166" s="69">
        <v>23.82</v>
      </c>
      <c r="J166" s="69">
        <v>0</v>
      </c>
      <c r="K166" s="69">
        <v>-120</v>
      </c>
      <c r="L166" s="69">
        <v>30.163</v>
      </c>
      <c r="M166" s="69">
        <v>18</v>
      </c>
      <c r="N166" s="69">
        <v>0</v>
      </c>
      <c r="O166" s="69" t="s">
        <v>105</v>
      </c>
      <c r="P166" s="69" t="s">
        <v>105</v>
      </c>
      <c r="Q166" s="69" t="s">
        <v>105</v>
      </c>
      <c r="R166" s="69">
        <v>64</v>
      </c>
      <c r="S166" s="69">
        <v>58</v>
      </c>
      <c r="T166" s="69" t="s">
        <v>105</v>
      </c>
      <c r="U166" s="69" t="s">
        <v>105</v>
      </c>
      <c r="V166" s="70" t="s">
        <v>105</v>
      </c>
      <c r="W166" s="69" t="s">
        <v>105</v>
      </c>
      <c r="X166" s="69" t="s">
        <v>105</v>
      </c>
      <c r="Y166" s="69" t="s">
        <v>105</v>
      </c>
      <c r="Z166" s="82">
        <v>42650</v>
      </c>
      <c r="AA166" s="72">
        <v>0</v>
      </c>
      <c r="AB166" s="3" t="s">
        <v>498</v>
      </c>
      <c r="AC166" s="3"/>
      <c r="AD166" s="3"/>
    </row>
    <row r="167" spans="1:30" x14ac:dyDescent="0.2">
      <c r="A167">
        <v>165</v>
      </c>
      <c r="B167" s="62" t="s">
        <v>284</v>
      </c>
      <c r="C167" s="73" t="s">
        <v>105</v>
      </c>
      <c r="D167" s="73" t="s">
        <v>105</v>
      </c>
      <c r="E167" s="73" t="s">
        <v>105</v>
      </c>
      <c r="F167" s="73" t="s">
        <v>105</v>
      </c>
      <c r="G167" s="73" t="s">
        <v>105</v>
      </c>
      <c r="H167" s="73" t="s">
        <v>105</v>
      </c>
      <c r="I167" s="73">
        <v>36.4</v>
      </c>
      <c r="J167" s="73">
        <v>0</v>
      </c>
      <c r="K167" s="73">
        <v>-120</v>
      </c>
      <c r="L167" s="73">
        <v>28.574999999999999</v>
      </c>
      <c r="M167" s="73">
        <v>18</v>
      </c>
      <c r="N167" s="73">
        <v>0</v>
      </c>
      <c r="O167" s="73" t="s">
        <v>105</v>
      </c>
      <c r="P167" s="73" t="s">
        <v>105</v>
      </c>
      <c r="Q167" s="73" t="s">
        <v>105</v>
      </c>
      <c r="R167" s="73">
        <v>64</v>
      </c>
      <c r="S167" s="73">
        <v>58</v>
      </c>
      <c r="T167" s="73" t="s">
        <v>105</v>
      </c>
      <c r="U167" s="73" t="s">
        <v>105</v>
      </c>
      <c r="V167" s="69" t="s">
        <v>105</v>
      </c>
      <c r="W167" s="69" t="s">
        <v>105</v>
      </c>
      <c r="X167" s="69" t="s">
        <v>105</v>
      </c>
      <c r="Y167" s="69" t="s">
        <v>105</v>
      </c>
      <c r="Z167" s="82">
        <v>42650</v>
      </c>
      <c r="AA167" s="72">
        <v>0</v>
      </c>
      <c r="AB167" s="3" t="s">
        <v>498</v>
      </c>
      <c r="AC167" s="3"/>
      <c r="AD167" s="3"/>
    </row>
    <row r="168" spans="1:30" x14ac:dyDescent="0.2">
      <c r="A168">
        <v>166</v>
      </c>
      <c r="B168" s="61" t="s">
        <v>286</v>
      </c>
      <c r="C168" s="69" t="s">
        <v>105</v>
      </c>
      <c r="D168" s="69" t="s">
        <v>105</v>
      </c>
      <c r="E168" s="69" t="s">
        <v>105</v>
      </c>
      <c r="F168" s="69" t="s">
        <v>105</v>
      </c>
      <c r="G168" s="69" t="s">
        <v>105</v>
      </c>
      <c r="H168" s="69" t="s">
        <v>105</v>
      </c>
      <c r="I168" s="69">
        <v>37.6</v>
      </c>
      <c r="J168" s="69">
        <v>0</v>
      </c>
      <c r="K168" s="69">
        <v>-120</v>
      </c>
      <c r="L168" s="69">
        <v>36.51</v>
      </c>
      <c r="M168" s="69">
        <v>21</v>
      </c>
      <c r="N168" s="69">
        <v>0</v>
      </c>
      <c r="O168" s="69" t="s">
        <v>105</v>
      </c>
      <c r="P168" s="69" t="s">
        <v>105</v>
      </c>
      <c r="Q168" s="69" t="s">
        <v>105</v>
      </c>
      <c r="R168" s="69">
        <v>64</v>
      </c>
      <c r="S168" s="69">
        <v>58</v>
      </c>
      <c r="T168" s="69" t="s">
        <v>105</v>
      </c>
      <c r="U168" s="69" t="s">
        <v>105</v>
      </c>
      <c r="V168" s="70" t="s">
        <v>105</v>
      </c>
      <c r="W168" s="69" t="s">
        <v>105</v>
      </c>
      <c r="X168" s="72" t="s">
        <v>105</v>
      </c>
      <c r="Y168" s="72" t="s">
        <v>105</v>
      </c>
      <c r="Z168" s="82">
        <v>42649</v>
      </c>
      <c r="AA168" s="72">
        <v>0</v>
      </c>
      <c r="AB168" s="3" t="s">
        <v>498</v>
      </c>
      <c r="AC168" s="3"/>
      <c r="AD168" s="3"/>
    </row>
    <row r="169" spans="1:30" x14ac:dyDescent="0.2">
      <c r="A169">
        <v>167</v>
      </c>
      <c r="B169" s="61" t="s">
        <v>287</v>
      </c>
      <c r="C169" s="69" t="s">
        <v>105</v>
      </c>
      <c r="D169" s="69" t="s">
        <v>105</v>
      </c>
      <c r="E169" s="69" t="s">
        <v>105</v>
      </c>
      <c r="F169" s="69" t="s">
        <v>105</v>
      </c>
      <c r="G169" s="69" t="s">
        <v>105</v>
      </c>
      <c r="H169" s="69" t="s">
        <v>105</v>
      </c>
      <c r="I169" s="69">
        <v>37.6</v>
      </c>
      <c r="J169" s="69">
        <v>0</v>
      </c>
      <c r="K169" s="69">
        <v>-120</v>
      </c>
      <c r="L169" s="69">
        <v>34.924999999999997</v>
      </c>
      <c r="M169" s="69">
        <v>21</v>
      </c>
      <c r="N169" s="69">
        <v>0</v>
      </c>
      <c r="O169" s="69" t="s">
        <v>105</v>
      </c>
      <c r="P169" s="69" t="s">
        <v>105</v>
      </c>
      <c r="Q169" s="69" t="s">
        <v>105</v>
      </c>
      <c r="R169" s="69">
        <v>64</v>
      </c>
      <c r="S169" s="69">
        <v>58</v>
      </c>
      <c r="T169" s="69" t="s">
        <v>105</v>
      </c>
      <c r="U169" s="69" t="s">
        <v>105</v>
      </c>
      <c r="V169" s="70" t="s">
        <v>105</v>
      </c>
      <c r="W169" s="69" t="s">
        <v>105</v>
      </c>
      <c r="X169" s="72" t="s">
        <v>105</v>
      </c>
      <c r="Y169" s="72" t="s">
        <v>105</v>
      </c>
      <c r="Z169" s="82">
        <v>42649</v>
      </c>
      <c r="AA169" s="72">
        <v>0</v>
      </c>
      <c r="AB169" s="3" t="s">
        <v>498</v>
      </c>
      <c r="AC169" s="3"/>
      <c r="AD169" s="3"/>
    </row>
    <row r="170" spans="1:30" x14ac:dyDescent="0.2">
      <c r="A170">
        <v>168</v>
      </c>
      <c r="B170" s="61" t="s">
        <v>295</v>
      </c>
      <c r="C170" s="69" t="s">
        <v>296</v>
      </c>
      <c r="D170" s="69">
        <v>0</v>
      </c>
      <c r="E170" s="69">
        <v>-120</v>
      </c>
      <c r="F170" s="69">
        <v>52</v>
      </c>
      <c r="G170" s="69">
        <v>0</v>
      </c>
      <c r="H170" s="69">
        <v>-13</v>
      </c>
      <c r="I170" s="69" t="s">
        <v>297</v>
      </c>
      <c r="J170" s="69">
        <v>0</v>
      </c>
      <c r="K170" s="69">
        <v>-120</v>
      </c>
      <c r="L170" s="86" t="s">
        <v>298</v>
      </c>
      <c r="M170" s="69">
        <v>21</v>
      </c>
      <c r="N170" s="69">
        <v>5</v>
      </c>
      <c r="O170" s="69" t="s">
        <v>85</v>
      </c>
      <c r="P170" s="69">
        <v>28</v>
      </c>
      <c r="Q170" s="69">
        <v>13</v>
      </c>
      <c r="R170" s="69">
        <v>64</v>
      </c>
      <c r="S170" s="69">
        <v>58</v>
      </c>
      <c r="T170" s="69">
        <v>64</v>
      </c>
      <c r="U170" s="69">
        <v>58</v>
      </c>
      <c r="V170" s="69" t="s">
        <v>289</v>
      </c>
      <c r="W170" s="69" t="s">
        <v>145</v>
      </c>
      <c r="X170" s="72" t="s">
        <v>208</v>
      </c>
      <c r="Y170" s="72" t="s">
        <v>214</v>
      </c>
      <c r="Z170" s="82">
        <v>42503</v>
      </c>
      <c r="AA170" s="72">
        <v>0</v>
      </c>
      <c r="AB170" s="3" t="s">
        <v>498</v>
      </c>
      <c r="AC170" s="3"/>
      <c r="AD170" s="3"/>
    </row>
    <row r="171" spans="1:30" x14ac:dyDescent="0.2">
      <c r="A171">
        <v>169</v>
      </c>
      <c r="B171" s="61" t="s">
        <v>299</v>
      </c>
      <c r="C171" s="69" t="s">
        <v>300</v>
      </c>
      <c r="D171" s="69">
        <v>0</v>
      </c>
      <c r="E171" s="69">
        <v>-120</v>
      </c>
      <c r="F171" s="69">
        <v>47</v>
      </c>
      <c r="G171" s="69">
        <v>0</v>
      </c>
      <c r="H171" s="69">
        <v>-11</v>
      </c>
      <c r="I171" s="69">
        <v>31</v>
      </c>
      <c r="J171" s="69">
        <v>0</v>
      </c>
      <c r="K171" s="69">
        <v>-120</v>
      </c>
      <c r="L171" s="69" t="s">
        <v>301</v>
      </c>
      <c r="M171" s="69">
        <v>21</v>
      </c>
      <c r="N171" s="69">
        <v>5</v>
      </c>
      <c r="O171" s="69" t="s">
        <v>85</v>
      </c>
      <c r="P171" s="69">
        <v>28</v>
      </c>
      <c r="Q171" s="69">
        <v>13</v>
      </c>
      <c r="R171" s="69">
        <v>64</v>
      </c>
      <c r="S171" s="69">
        <v>58</v>
      </c>
      <c r="T171" s="69">
        <v>64</v>
      </c>
      <c r="U171" s="69">
        <v>58</v>
      </c>
      <c r="V171" s="69" t="s">
        <v>289</v>
      </c>
      <c r="W171" s="69" t="s">
        <v>145</v>
      </c>
      <c r="X171" s="72" t="s">
        <v>208</v>
      </c>
      <c r="Y171" s="72" t="s">
        <v>214</v>
      </c>
      <c r="Z171" s="82">
        <v>42503</v>
      </c>
      <c r="AA171" s="72">
        <v>0</v>
      </c>
      <c r="AB171" s="3" t="s">
        <v>498</v>
      </c>
      <c r="AC171" s="3"/>
      <c r="AD171" s="3"/>
    </row>
    <row r="172" spans="1:30" x14ac:dyDescent="0.2">
      <c r="A172">
        <v>170</v>
      </c>
      <c r="B172" s="61" t="s">
        <v>302</v>
      </c>
      <c r="C172" s="69" t="s">
        <v>296</v>
      </c>
      <c r="D172" s="69">
        <v>0</v>
      </c>
      <c r="E172" s="69">
        <v>-120</v>
      </c>
      <c r="F172" s="69">
        <v>52</v>
      </c>
      <c r="G172" s="69">
        <v>0</v>
      </c>
      <c r="H172" s="69">
        <v>-13</v>
      </c>
      <c r="I172" s="69" t="s">
        <v>297</v>
      </c>
      <c r="J172" s="69">
        <v>0</v>
      </c>
      <c r="K172" s="69">
        <v>-120</v>
      </c>
      <c r="L172" s="88">
        <v>22.225000000000001</v>
      </c>
      <c r="M172" s="69">
        <v>21</v>
      </c>
      <c r="N172" s="69">
        <v>5</v>
      </c>
      <c r="O172" s="69" t="s">
        <v>85</v>
      </c>
      <c r="P172" s="69">
        <v>28</v>
      </c>
      <c r="Q172" s="69">
        <v>13</v>
      </c>
      <c r="R172" s="69">
        <v>64</v>
      </c>
      <c r="S172" s="69">
        <v>58</v>
      </c>
      <c r="T172" s="69">
        <v>64</v>
      </c>
      <c r="U172" s="69">
        <v>58</v>
      </c>
      <c r="V172" s="69" t="s">
        <v>289</v>
      </c>
      <c r="W172" s="69" t="s">
        <v>145</v>
      </c>
      <c r="X172" s="72" t="s">
        <v>208</v>
      </c>
      <c r="Y172" s="72" t="s">
        <v>214</v>
      </c>
      <c r="Z172" s="82">
        <v>42503</v>
      </c>
      <c r="AA172" s="72">
        <v>0</v>
      </c>
      <c r="AB172" s="3" t="s">
        <v>498</v>
      </c>
      <c r="AC172" s="3"/>
      <c r="AD172" s="3"/>
    </row>
    <row r="173" spans="1:30" x14ac:dyDescent="0.2">
      <c r="A173">
        <v>171</v>
      </c>
      <c r="B173" s="61" t="s">
        <v>303</v>
      </c>
      <c r="C173" s="69" t="s">
        <v>296</v>
      </c>
      <c r="D173" s="69">
        <v>0</v>
      </c>
      <c r="E173" s="69">
        <v>-120</v>
      </c>
      <c r="F173" s="69">
        <v>52</v>
      </c>
      <c r="G173" s="69">
        <v>0</v>
      </c>
      <c r="H173" s="69">
        <v>-13</v>
      </c>
      <c r="I173" s="69" t="s">
        <v>297</v>
      </c>
      <c r="J173" s="69">
        <v>0</v>
      </c>
      <c r="K173" s="69">
        <v>-120</v>
      </c>
      <c r="L173" s="88">
        <v>23.8125</v>
      </c>
      <c r="M173" s="69">
        <v>21</v>
      </c>
      <c r="N173" s="69">
        <v>5</v>
      </c>
      <c r="O173" s="69" t="s">
        <v>85</v>
      </c>
      <c r="P173" s="69">
        <v>28</v>
      </c>
      <c r="Q173" s="69">
        <v>13</v>
      </c>
      <c r="R173" s="69">
        <v>64</v>
      </c>
      <c r="S173" s="69">
        <v>58</v>
      </c>
      <c r="T173" s="69">
        <v>64</v>
      </c>
      <c r="U173" s="69">
        <v>58</v>
      </c>
      <c r="V173" s="69" t="s">
        <v>289</v>
      </c>
      <c r="W173" s="69" t="s">
        <v>145</v>
      </c>
      <c r="X173" s="72" t="s">
        <v>208</v>
      </c>
      <c r="Y173" s="72" t="s">
        <v>214</v>
      </c>
      <c r="Z173" s="82">
        <v>42503</v>
      </c>
      <c r="AA173" s="72">
        <v>0</v>
      </c>
      <c r="AB173" s="3" t="s">
        <v>498</v>
      </c>
      <c r="AC173" s="3"/>
      <c r="AD173" s="3"/>
    </row>
    <row r="174" spans="1:30" x14ac:dyDescent="0.2">
      <c r="A174">
        <v>172</v>
      </c>
      <c r="B174" s="61" t="s">
        <v>304</v>
      </c>
      <c r="C174" s="69" t="s">
        <v>305</v>
      </c>
      <c r="D174" s="69">
        <v>0</v>
      </c>
      <c r="E174" s="69">
        <v>-120</v>
      </c>
      <c r="F174" s="69">
        <v>62</v>
      </c>
      <c r="G174" s="69">
        <v>0</v>
      </c>
      <c r="H174" s="69">
        <v>-13</v>
      </c>
      <c r="I174" s="69" t="s">
        <v>306</v>
      </c>
      <c r="J174" s="69">
        <v>0</v>
      </c>
      <c r="K174" s="69">
        <v>-120</v>
      </c>
      <c r="L174" s="89">
        <v>28.574999999999999</v>
      </c>
      <c r="M174" s="69">
        <v>21</v>
      </c>
      <c r="N174" s="69">
        <v>5</v>
      </c>
      <c r="O174" s="69" t="s">
        <v>85</v>
      </c>
      <c r="P174" s="69">
        <v>28</v>
      </c>
      <c r="Q174" s="69">
        <v>13</v>
      </c>
      <c r="R174" s="69">
        <v>64</v>
      </c>
      <c r="S174" s="69">
        <v>58</v>
      </c>
      <c r="T174" s="69">
        <v>64</v>
      </c>
      <c r="U174" s="69">
        <v>58</v>
      </c>
      <c r="V174" s="69" t="s">
        <v>289</v>
      </c>
      <c r="W174" s="69" t="s">
        <v>145</v>
      </c>
      <c r="X174" s="72" t="s">
        <v>208</v>
      </c>
      <c r="Y174" s="72" t="s">
        <v>214</v>
      </c>
      <c r="Z174" s="82">
        <v>42503</v>
      </c>
      <c r="AA174" s="72">
        <v>0</v>
      </c>
      <c r="AB174" s="3" t="s">
        <v>498</v>
      </c>
      <c r="AC174" s="3"/>
      <c r="AD174" s="3"/>
    </row>
    <row r="175" spans="1:30" x14ac:dyDescent="0.2">
      <c r="A175">
        <v>173</v>
      </c>
      <c r="B175" s="61" t="s">
        <v>307</v>
      </c>
      <c r="C175" s="69" t="s">
        <v>305</v>
      </c>
      <c r="D175" s="69">
        <v>0</v>
      </c>
      <c r="E175" s="69">
        <v>-120</v>
      </c>
      <c r="F175" s="69">
        <v>62</v>
      </c>
      <c r="G175" s="69">
        <v>0</v>
      </c>
      <c r="H175" s="69">
        <v>-13</v>
      </c>
      <c r="I175" s="69" t="s">
        <v>306</v>
      </c>
      <c r="J175" s="69">
        <v>0</v>
      </c>
      <c r="K175" s="69">
        <v>-120</v>
      </c>
      <c r="L175" s="87">
        <v>30.162500000000001</v>
      </c>
      <c r="M175" s="69">
        <v>21</v>
      </c>
      <c r="N175" s="69">
        <v>5</v>
      </c>
      <c r="O175" s="69" t="s">
        <v>85</v>
      </c>
      <c r="P175" s="69">
        <v>28</v>
      </c>
      <c r="Q175" s="69">
        <v>13</v>
      </c>
      <c r="R175" s="69">
        <v>64</v>
      </c>
      <c r="S175" s="69">
        <v>58</v>
      </c>
      <c r="T175" s="69">
        <v>64</v>
      </c>
      <c r="U175" s="69">
        <v>58</v>
      </c>
      <c r="V175" s="69" t="s">
        <v>289</v>
      </c>
      <c r="W175" s="69" t="s">
        <v>145</v>
      </c>
      <c r="X175" s="72" t="s">
        <v>208</v>
      </c>
      <c r="Y175" s="72" t="s">
        <v>214</v>
      </c>
      <c r="Z175" s="82">
        <v>42503</v>
      </c>
      <c r="AA175" s="72">
        <v>0</v>
      </c>
      <c r="AB175" s="3" t="s">
        <v>498</v>
      </c>
      <c r="AC175" s="3"/>
      <c r="AD175" s="3"/>
    </row>
    <row r="176" spans="1:30" x14ac:dyDescent="0.2">
      <c r="A176">
        <v>174</v>
      </c>
      <c r="B176" s="61" t="s">
        <v>321</v>
      </c>
      <c r="C176" s="69" t="s">
        <v>308</v>
      </c>
      <c r="D176" s="69">
        <v>0</v>
      </c>
      <c r="E176" s="69">
        <v>-120</v>
      </c>
      <c r="F176" s="69">
        <v>72</v>
      </c>
      <c r="G176" s="69">
        <v>0</v>
      </c>
      <c r="H176" s="69">
        <v>-13</v>
      </c>
      <c r="I176" s="69" t="s">
        <v>309</v>
      </c>
      <c r="J176" s="69">
        <v>0</v>
      </c>
      <c r="K176" s="69">
        <v>-120</v>
      </c>
      <c r="L176" s="69">
        <v>36.512500000000003</v>
      </c>
      <c r="M176" s="69">
        <v>21</v>
      </c>
      <c r="N176" s="69">
        <v>5</v>
      </c>
      <c r="O176" s="69" t="s">
        <v>85</v>
      </c>
      <c r="P176" s="69">
        <v>33</v>
      </c>
      <c r="Q176" s="69">
        <v>15</v>
      </c>
      <c r="R176" s="69">
        <v>64</v>
      </c>
      <c r="S176" s="69">
        <v>58</v>
      </c>
      <c r="T176" s="69">
        <v>64</v>
      </c>
      <c r="U176" s="69">
        <v>58</v>
      </c>
      <c r="V176" s="69" t="s">
        <v>289</v>
      </c>
      <c r="W176" s="69" t="s">
        <v>145</v>
      </c>
      <c r="X176" s="72" t="s">
        <v>208</v>
      </c>
      <c r="Y176" s="72" t="s">
        <v>214</v>
      </c>
      <c r="Z176" s="82">
        <v>42503</v>
      </c>
      <c r="AA176" s="72">
        <v>0</v>
      </c>
      <c r="AB176" s="3" t="s">
        <v>498</v>
      </c>
      <c r="AC176" s="3"/>
      <c r="AD176" s="3"/>
    </row>
    <row r="177" spans="1:30" x14ac:dyDescent="0.2">
      <c r="A177">
        <v>175</v>
      </c>
      <c r="B177" s="61" t="s">
        <v>311</v>
      </c>
      <c r="C177" s="69" t="s">
        <v>306</v>
      </c>
      <c r="D177" s="69">
        <v>0</v>
      </c>
      <c r="E177" s="69">
        <v>-120</v>
      </c>
      <c r="F177" s="69">
        <v>130</v>
      </c>
      <c r="G177" s="69">
        <v>0</v>
      </c>
      <c r="H177" s="69">
        <v>-15</v>
      </c>
      <c r="I177" s="69" t="s">
        <v>312</v>
      </c>
      <c r="J177" s="69">
        <v>0</v>
      </c>
      <c r="K177" s="69">
        <v>-120</v>
      </c>
      <c r="L177" s="69">
        <v>74.61</v>
      </c>
      <c r="M177" s="69">
        <v>24</v>
      </c>
      <c r="N177" s="69">
        <v>0</v>
      </c>
      <c r="O177" s="69" t="s">
        <v>85</v>
      </c>
      <c r="P177" s="69">
        <v>51</v>
      </c>
      <c r="Q177" s="69">
        <v>25</v>
      </c>
      <c r="R177" s="69">
        <v>64</v>
      </c>
      <c r="S177" s="69">
        <v>58</v>
      </c>
      <c r="T177" s="69">
        <v>64</v>
      </c>
      <c r="U177" s="69">
        <v>58</v>
      </c>
      <c r="V177" s="69" t="s">
        <v>313</v>
      </c>
      <c r="W177" s="69" t="s">
        <v>145</v>
      </c>
      <c r="X177" s="72" t="s">
        <v>314</v>
      </c>
      <c r="Y177" s="72" t="s">
        <v>315</v>
      </c>
      <c r="Z177" s="82">
        <v>42473</v>
      </c>
      <c r="AA177" s="72" t="s">
        <v>57</v>
      </c>
      <c r="AB177" s="3" t="s">
        <v>498</v>
      </c>
      <c r="AC177" s="3"/>
      <c r="AD177" s="3"/>
    </row>
    <row r="178" spans="1:30" x14ac:dyDescent="0.2">
      <c r="A178">
        <v>176</v>
      </c>
      <c r="B178" s="61" t="s">
        <v>316</v>
      </c>
      <c r="C178" s="69" t="s">
        <v>105</v>
      </c>
      <c r="D178" s="69" t="s">
        <v>105</v>
      </c>
      <c r="E178" s="69" t="s">
        <v>105</v>
      </c>
      <c r="F178" s="69" t="s">
        <v>105</v>
      </c>
      <c r="G178" s="69" t="s">
        <v>105</v>
      </c>
      <c r="H178" s="69" t="s">
        <v>105</v>
      </c>
      <c r="I178" s="69" t="s">
        <v>317</v>
      </c>
      <c r="J178" s="69">
        <v>0</v>
      </c>
      <c r="K178" s="69">
        <v>-120</v>
      </c>
      <c r="L178" s="69">
        <v>40</v>
      </c>
      <c r="M178" s="69">
        <v>21</v>
      </c>
      <c r="N178" s="69">
        <v>0</v>
      </c>
      <c r="O178" s="69" t="s">
        <v>105</v>
      </c>
      <c r="P178" s="69" t="s">
        <v>105</v>
      </c>
      <c r="Q178" s="69" t="s">
        <v>105</v>
      </c>
      <c r="R178" s="69">
        <v>64</v>
      </c>
      <c r="S178" s="69">
        <v>58</v>
      </c>
      <c r="T178" s="69" t="s">
        <v>105</v>
      </c>
      <c r="U178" s="69" t="s">
        <v>105</v>
      </c>
      <c r="V178" s="69" t="s">
        <v>105</v>
      </c>
      <c r="W178" s="69" t="s">
        <v>105</v>
      </c>
      <c r="X178" s="69" t="s">
        <v>105</v>
      </c>
      <c r="Y178" s="69" t="s">
        <v>105</v>
      </c>
      <c r="Z178" s="82">
        <v>42649</v>
      </c>
      <c r="AA178" s="72">
        <v>0</v>
      </c>
      <c r="AB178" s="3" t="s">
        <v>498</v>
      </c>
      <c r="AC178" s="3"/>
      <c r="AD178" s="3"/>
    </row>
    <row r="179" spans="1:30" x14ac:dyDescent="0.2">
      <c r="A179">
        <v>177</v>
      </c>
      <c r="B179" s="61" t="s">
        <v>319</v>
      </c>
      <c r="C179" s="69">
        <v>22</v>
      </c>
      <c r="D179" s="69">
        <v>0</v>
      </c>
      <c r="E179" s="69">
        <v>-120</v>
      </c>
      <c r="F179" s="69">
        <v>85</v>
      </c>
      <c r="G179" s="69">
        <v>0</v>
      </c>
      <c r="H179" s="69">
        <v>-15</v>
      </c>
      <c r="I179" s="69">
        <v>49.2</v>
      </c>
      <c r="J179" s="69">
        <v>0</v>
      </c>
      <c r="K179" s="69">
        <v>-50</v>
      </c>
      <c r="L179" s="69">
        <v>45</v>
      </c>
      <c r="M179" s="69">
        <v>25</v>
      </c>
      <c r="N179" s="69">
        <v>0</v>
      </c>
      <c r="O179" s="69" t="s">
        <v>90</v>
      </c>
      <c r="P179" s="69">
        <v>23</v>
      </c>
      <c r="Q179" s="69">
        <v>6</v>
      </c>
      <c r="R179" s="69">
        <v>64</v>
      </c>
      <c r="S179" s="69">
        <v>58</v>
      </c>
      <c r="T179" s="69">
        <v>64</v>
      </c>
      <c r="U179" s="69">
        <v>58</v>
      </c>
      <c r="V179" s="77" t="s">
        <v>289</v>
      </c>
      <c r="W179" s="69" t="s">
        <v>145</v>
      </c>
      <c r="X179" s="72" t="s">
        <v>320</v>
      </c>
      <c r="Y179" s="72" t="s">
        <v>320</v>
      </c>
      <c r="Z179" s="82">
        <v>43460</v>
      </c>
      <c r="AA179" s="72">
        <v>0</v>
      </c>
      <c r="AB179" s="3" t="s">
        <v>498</v>
      </c>
      <c r="AC179" s="3"/>
      <c r="AD179" s="3"/>
    </row>
    <row r="180" spans="1:30" x14ac:dyDescent="0.2">
      <c r="A180">
        <v>178</v>
      </c>
      <c r="B180" s="61" t="s">
        <v>319</v>
      </c>
      <c r="C180" s="69">
        <v>22</v>
      </c>
      <c r="D180" s="69">
        <v>0</v>
      </c>
      <c r="E180" s="69">
        <v>-120</v>
      </c>
      <c r="F180" s="69">
        <v>85</v>
      </c>
      <c r="G180" s="69">
        <v>0</v>
      </c>
      <c r="H180" s="69">
        <v>-15</v>
      </c>
      <c r="I180" s="69">
        <v>49.2</v>
      </c>
      <c r="J180" s="69">
        <v>0</v>
      </c>
      <c r="K180" s="69">
        <v>-50</v>
      </c>
      <c r="L180" s="69">
        <v>45</v>
      </c>
      <c r="M180" s="69">
        <v>25</v>
      </c>
      <c r="N180" s="69">
        <v>0</v>
      </c>
      <c r="O180" s="69" t="s">
        <v>90</v>
      </c>
      <c r="P180" s="69">
        <v>23</v>
      </c>
      <c r="Q180" s="69">
        <v>6</v>
      </c>
      <c r="R180" s="69">
        <v>64</v>
      </c>
      <c r="S180" s="69">
        <v>58</v>
      </c>
      <c r="T180" s="69">
        <v>64</v>
      </c>
      <c r="U180" s="69">
        <v>58</v>
      </c>
      <c r="V180" s="77" t="s">
        <v>289</v>
      </c>
      <c r="W180" s="69" t="s">
        <v>145</v>
      </c>
      <c r="X180" s="72" t="s">
        <v>320</v>
      </c>
      <c r="Y180" s="72" t="s">
        <v>320</v>
      </c>
      <c r="Z180" s="82">
        <v>43460</v>
      </c>
      <c r="AA180" s="72">
        <v>0</v>
      </c>
      <c r="AB180" s="3" t="s">
        <v>498</v>
      </c>
      <c r="AC180" s="3"/>
      <c r="AD180" s="3"/>
    </row>
    <row r="181" spans="1:30" x14ac:dyDescent="0.2">
      <c r="A181">
        <v>179</v>
      </c>
      <c r="B181" s="61" t="s">
        <v>328</v>
      </c>
      <c r="C181" s="69">
        <v>22</v>
      </c>
      <c r="D181" s="69">
        <v>0</v>
      </c>
      <c r="E181" s="69">
        <v>-120</v>
      </c>
      <c r="F181" s="69">
        <v>85</v>
      </c>
      <c r="G181" s="69">
        <v>0</v>
      </c>
      <c r="H181" s="69">
        <v>-15</v>
      </c>
      <c r="I181" s="69">
        <v>42.8</v>
      </c>
      <c r="J181" s="69">
        <v>0</v>
      </c>
      <c r="K181" s="69">
        <v>-120</v>
      </c>
      <c r="L181" s="69">
        <v>44.45</v>
      </c>
      <c r="M181" s="69">
        <v>21</v>
      </c>
      <c r="N181" s="69">
        <v>0</v>
      </c>
      <c r="O181" s="69" t="s">
        <v>90</v>
      </c>
      <c r="P181" s="69">
        <v>6</v>
      </c>
      <c r="Q181" s="69">
        <v>23</v>
      </c>
      <c r="R181" s="69">
        <v>64</v>
      </c>
      <c r="S181" s="69">
        <v>58</v>
      </c>
      <c r="T181" s="69">
        <v>64</v>
      </c>
      <c r="U181" s="69">
        <v>58</v>
      </c>
      <c r="V181" s="69" t="s">
        <v>329</v>
      </c>
      <c r="W181" s="69" t="s">
        <v>145</v>
      </c>
      <c r="X181" s="72" t="s">
        <v>331</v>
      </c>
      <c r="Y181" s="72" t="s">
        <v>330</v>
      </c>
      <c r="Z181" s="82">
        <v>42996</v>
      </c>
      <c r="AA181" s="72" t="s">
        <v>264</v>
      </c>
      <c r="AB181" s="3" t="s">
        <v>498</v>
      </c>
      <c r="AC181" s="3"/>
      <c r="AD181" s="3"/>
    </row>
    <row r="182" spans="1:30" x14ac:dyDescent="0.2">
      <c r="A182">
        <v>180</v>
      </c>
      <c r="B182" s="61" t="s">
        <v>338</v>
      </c>
      <c r="C182" s="69">
        <v>22</v>
      </c>
      <c r="D182" s="69">
        <v>0</v>
      </c>
      <c r="E182" s="69">
        <v>-120</v>
      </c>
      <c r="F182" s="69">
        <v>80</v>
      </c>
      <c r="G182" s="69">
        <v>0</v>
      </c>
      <c r="H182" s="69">
        <v>-13</v>
      </c>
      <c r="I182" s="69">
        <v>30.18</v>
      </c>
      <c r="J182" s="69">
        <v>0</v>
      </c>
      <c r="K182" s="69">
        <v>-120</v>
      </c>
      <c r="L182" s="69">
        <v>38.1</v>
      </c>
      <c r="M182" s="69">
        <v>21</v>
      </c>
      <c r="N182" s="69">
        <v>0</v>
      </c>
      <c r="O182" s="69" t="s">
        <v>90</v>
      </c>
      <c r="P182" s="69">
        <v>6</v>
      </c>
      <c r="Q182" s="69">
        <v>20</v>
      </c>
      <c r="R182" s="69">
        <v>64</v>
      </c>
      <c r="S182" s="69">
        <v>58</v>
      </c>
      <c r="T182" s="69">
        <v>64</v>
      </c>
      <c r="U182" s="69">
        <v>58</v>
      </c>
      <c r="V182" s="69" t="s">
        <v>339</v>
      </c>
      <c r="W182" s="69" t="s">
        <v>145</v>
      </c>
      <c r="X182" s="69">
        <v>0.17599999999999999</v>
      </c>
      <c r="Y182" s="69">
        <v>0.127</v>
      </c>
      <c r="Z182" s="82">
        <v>42993</v>
      </c>
      <c r="AA182" s="72" t="s">
        <v>264</v>
      </c>
      <c r="AB182" s="3" t="s">
        <v>498</v>
      </c>
      <c r="AC182" s="3"/>
      <c r="AD182" s="3"/>
    </row>
    <row r="183" spans="1:30" x14ac:dyDescent="0.2">
      <c r="A183">
        <v>181</v>
      </c>
      <c r="B183" s="61" t="s">
        <v>340</v>
      </c>
      <c r="C183" s="69">
        <v>27</v>
      </c>
      <c r="D183" s="69">
        <v>0</v>
      </c>
      <c r="E183" s="69">
        <v>-120</v>
      </c>
      <c r="F183" s="69">
        <v>120</v>
      </c>
      <c r="G183" s="69">
        <v>0</v>
      </c>
      <c r="H183" s="69">
        <v>-18</v>
      </c>
      <c r="I183" s="69">
        <v>65.099999999999994</v>
      </c>
      <c r="J183" s="69">
        <v>0</v>
      </c>
      <c r="K183" s="69">
        <v>-150</v>
      </c>
      <c r="L183" s="69">
        <v>65</v>
      </c>
      <c r="M183" s="69">
        <v>24</v>
      </c>
      <c r="N183" s="69">
        <v>0</v>
      </c>
      <c r="O183" s="72" t="s">
        <v>90</v>
      </c>
      <c r="P183" s="69">
        <v>8</v>
      </c>
      <c r="Q183" s="69">
        <v>28</v>
      </c>
      <c r="R183" s="69">
        <v>64</v>
      </c>
      <c r="S183" s="69">
        <v>58</v>
      </c>
      <c r="T183" s="69">
        <v>64</v>
      </c>
      <c r="U183" s="69">
        <v>58</v>
      </c>
      <c r="V183" s="72" t="s">
        <v>289</v>
      </c>
      <c r="W183" s="72" t="s">
        <v>145</v>
      </c>
      <c r="X183" s="69">
        <v>1.39</v>
      </c>
      <c r="Y183" s="69">
        <v>0.93</v>
      </c>
      <c r="Z183" s="82" t="s">
        <v>341</v>
      </c>
      <c r="AA183" s="72">
        <v>0</v>
      </c>
      <c r="AB183" s="3" t="s">
        <v>498</v>
      </c>
      <c r="AC183" s="3"/>
      <c r="AD183" s="3"/>
    </row>
    <row r="184" spans="1:30" x14ac:dyDescent="0.2">
      <c r="A184">
        <v>182</v>
      </c>
      <c r="B184" s="91" t="s">
        <v>395</v>
      </c>
      <c r="C184" s="69">
        <v>15</v>
      </c>
      <c r="D184" s="69">
        <v>0</v>
      </c>
      <c r="E184" s="69">
        <v>-120</v>
      </c>
      <c r="F184" s="69">
        <v>47</v>
      </c>
      <c r="G184" s="69">
        <v>0</v>
      </c>
      <c r="H184" s="69">
        <v>-11</v>
      </c>
      <c r="I184" s="69">
        <v>31</v>
      </c>
      <c r="J184" s="69">
        <v>0</v>
      </c>
      <c r="K184" s="69">
        <v>-120</v>
      </c>
      <c r="L184" s="69">
        <v>19.05</v>
      </c>
      <c r="M184" s="69">
        <v>20</v>
      </c>
      <c r="N184" s="69">
        <v>0</v>
      </c>
      <c r="O184" s="72" t="s">
        <v>90</v>
      </c>
      <c r="P184" s="69">
        <v>5</v>
      </c>
      <c r="Q184" s="69">
        <v>20</v>
      </c>
      <c r="R184" s="69">
        <v>64</v>
      </c>
      <c r="S184" s="69">
        <v>58</v>
      </c>
      <c r="T184" s="69">
        <v>64</v>
      </c>
      <c r="U184" s="69">
        <v>58</v>
      </c>
      <c r="V184" s="72" t="s">
        <v>289</v>
      </c>
      <c r="W184" s="72" t="s">
        <v>145</v>
      </c>
      <c r="X184" s="72" t="s">
        <v>396</v>
      </c>
      <c r="Y184" s="72" t="s">
        <v>397</v>
      </c>
      <c r="Z184" s="82">
        <v>43395</v>
      </c>
      <c r="AA184" s="72">
        <v>0</v>
      </c>
      <c r="AB184" s="3" t="s">
        <v>498</v>
      </c>
      <c r="AC184" s="3"/>
      <c r="AD184" s="3"/>
    </row>
    <row r="185" spans="1:30" x14ac:dyDescent="0.2">
      <c r="A185">
        <v>183</v>
      </c>
      <c r="B185" s="91" t="s">
        <v>398</v>
      </c>
      <c r="C185" s="69">
        <v>18</v>
      </c>
      <c r="D185" s="69">
        <v>0</v>
      </c>
      <c r="E185" s="69">
        <v>-120</v>
      </c>
      <c r="F185" s="69">
        <v>62</v>
      </c>
      <c r="G185" s="69">
        <v>0</v>
      </c>
      <c r="H185" s="69">
        <v>-13</v>
      </c>
      <c r="I185" s="69">
        <v>23.82</v>
      </c>
      <c r="J185" s="69">
        <v>0</v>
      </c>
      <c r="K185" s="69">
        <v>-120</v>
      </c>
      <c r="L185" s="69">
        <v>30</v>
      </c>
      <c r="M185" s="69">
        <v>18</v>
      </c>
      <c r="N185" s="69">
        <v>0</v>
      </c>
      <c r="O185" s="72" t="s">
        <v>90</v>
      </c>
      <c r="P185" s="69">
        <v>6</v>
      </c>
      <c r="Q185" s="69">
        <v>20</v>
      </c>
      <c r="R185" s="69">
        <v>64</v>
      </c>
      <c r="S185" s="69">
        <v>58</v>
      </c>
      <c r="T185" s="69">
        <v>64</v>
      </c>
      <c r="U185" s="69">
        <v>58</v>
      </c>
      <c r="V185" s="72" t="s">
        <v>332</v>
      </c>
      <c r="W185" s="72" t="s">
        <v>145</v>
      </c>
      <c r="X185" s="72" t="s">
        <v>385</v>
      </c>
      <c r="Y185" s="72" t="s">
        <v>386</v>
      </c>
      <c r="Z185" s="82">
        <v>44165</v>
      </c>
      <c r="AA185" s="72" t="s">
        <v>56</v>
      </c>
      <c r="AB185" s="3" t="s">
        <v>498</v>
      </c>
      <c r="AC185" s="3"/>
      <c r="AD185" s="3"/>
    </row>
    <row r="186" spans="1:30" x14ac:dyDescent="0.2">
      <c r="A186">
        <v>184</v>
      </c>
      <c r="B186" s="61" t="s">
        <v>399</v>
      </c>
      <c r="C186" s="69">
        <v>22</v>
      </c>
      <c r="D186" s="69">
        <v>0</v>
      </c>
      <c r="E186" s="69">
        <v>-120</v>
      </c>
      <c r="F186" s="69">
        <v>80</v>
      </c>
      <c r="G186" s="69">
        <v>0</v>
      </c>
      <c r="H186" s="69">
        <v>-13</v>
      </c>
      <c r="I186" s="69">
        <v>49.2</v>
      </c>
      <c r="J186" s="69">
        <v>0</v>
      </c>
      <c r="K186" s="69">
        <v>-120</v>
      </c>
      <c r="L186" s="69">
        <v>38.1</v>
      </c>
      <c r="M186" s="69">
        <v>21</v>
      </c>
      <c r="N186" s="69">
        <v>0</v>
      </c>
      <c r="O186" s="69" t="s">
        <v>85</v>
      </c>
      <c r="P186" s="69">
        <v>33</v>
      </c>
      <c r="Q186" s="69">
        <v>15</v>
      </c>
      <c r="R186" s="69">
        <v>64</v>
      </c>
      <c r="S186" s="69">
        <v>58</v>
      </c>
      <c r="T186" s="69">
        <v>64</v>
      </c>
      <c r="U186" s="69">
        <v>58</v>
      </c>
      <c r="V186" s="69" t="s">
        <v>400</v>
      </c>
      <c r="W186" s="72" t="s">
        <v>145</v>
      </c>
      <c r="X186" s="69" t="s">
        <v>346</v>
      </c>
      <c r="Y186" s="69" t="s">
        <v>347</v>
      </c>
      <c r="Z186" s="82">
        <v>43385</v>
      </c>
      <c r="AA186" s="72">
        <v>0</v>
      </c>
      <c r="AB186" s="3" t="s">
        <v>498</v>
      </c>
      <c r="AC186" s="3"/>
      <c r="AD186" s="3"/>
    </row>
    <row r="187" spans="1:30" x14ac:dyDescent="0.2">
      <c r="A187">
        <v>185</v>
      </c>
      <c r="B187" s="61" t="s">
        <v>405</v>
      </c>
      <c r="C187" s="69">
        <v>25</v>
      </c>
      <c r="D187" s="69">
        <v>0</v>
      </c>
      <c r="E187" s="69">
        <v>-120</v>
      </c>
      <c r="F187" s="69">
        <v>100</v>
      </c>
      <c r="G187" s="69">
        <v>0</v>
      </c>
      <c r="H187" s="69">
        <v>-15</v>
      </c>
      <c r="I187" s="69">
        <v>55.5</v>
      </c>
      <c r="J187" s="69">
        <v>0</v>
      </c>
      <c r="K187" s="69">
        <v>-150</v>
      </c>
      <c r="L187" s="69">
        <v>55.56</v>
      </c>
      <c r="M187" s="69">
        <v>24</v>
      </c>
      <c r="N187" s="69">
        <v>0</v>
      </c>
      <c r="O187" s="72" t="s">
        <v>90</v>
      </c>
      <c r="P187" s="69">
        <v>28</v>
      </c>
      <c r="Q187" s="69">
        <v>8</v>
      </c>
      <c r="R187" s="69">
        <v>64</v>
      </c>
      <c r="S187" s="69">
        <v>58</v>
      </c>
      <c r="T187" s="69">
        <v>64</v>
      </c>
      <c r="U187" s="69">
        <v>58</v>
      </c>
      <c r="V187" s="69" t="s">
        <v>525</v>
      </c>
      <c r="W187" s="72" t="s">
        <v>145</v>
      </c>
      <c r="X187" s="72" t="s">
        <v>403</v>
      </c>
      <c r="Y187" s="72" t="s">
        <v>404</v>
      </c>
      <c r="Z187" s="82">
        <v>44224</v>
      </c>
      <c r="AA187" s="72" t="s">
        <v>526</v>
      </c>
      <c r="AB187" s="3" t="s">
        <v>498</v>
      </c>
      <c r="AC187" s="3"/>
      <c r="AD187" s="3"/>
    </row>
    <row r="188" spans="1:30" x14ac:dyDescent="0.2">
      <c r="A188">
        <v>186</v>
      </c>
      <c r="B188" s="91" t="s">
        <v>406</v>
      </c>
      <c r="C188" s="69">
        <v>19</v>
      </c>
      <c r="D188" s="69">
        <v>0</v>
      </c>
      <c r="E188" s="69">
        <v>-120</v>
      </c>
      <c r="F188" s="69">
        <v>72</v>
      </c>
      <c r="G188" s="69">
        <v>0</v>
      </c>
      <c r="H188" s="69">
        <v>-15</v>
      </c>
      <c r="I188" s="69">
        <v>25.4</v>
      </c>
      <c r="J188" s="69">
        <v>0</v>
      </c>
      <c r="K188" s="69">
        <v>-120</v>
      </c>
      <c r="L188" s="69">
        <v>31.75</v>
      </c>
      <c r="M188" s="69">
        <v>18</v>
      </c>
      <c r="N188" s="69">
        <v>0</v>
      </c>
      <c r="O188" s="72" t="s">
        <v>90</v>
      </c>
      <c r="P188" s="69">
        <v>20</v>
      </c>
      <c r="Q188" s="69">
        <v>6</v>
      </c>
      <c r="R188" s="69">
        <v>64</v>
      </c>
      <c r="S188" s="69">
        <v>58</v>
      </c>
      <c r="T188" s="69">
        <v>64</v>
      </c>
      <c r="U188" s="69">
        <v>58</v>
      </c>
      <c r="V188" s="72" t="s">
        <v>407</v>
      </c>
      <c r="W188" s="72" t="s">
        <v>145</v>
      </c>
      <c r="X188" s="72" t="s">
        <v>385</v>
      </c>
      <c r="Y188" s="72" t="s">
        <v>386</v>
      </c>
      <c r="Z188" s="82">
        <v>43475</v>
      </c>
      <c r="AA188" s="72" t="s">
        <v>264</v>
      </c>
      <c r="AB188" s="3" t="s">
        <v>498</v>
      </c>
      <c r="AC188" s="3"/>
      <c r="AD188" s="3"/>
    </row>
    <row r="189" spans="1:30" x14ac:dyDescent="0.2">
      <c r="A189">
        <v>187</v>
      </c>
      <c r="B189" s="61" t="s">
        <v>410</v>
      </c>
      <c r="C189" s="69" t="s">
        <v>646</v>
      </c>
      <c r="D189" s="69">
        <v>0</v>
      </c>
      <c r="E189" s="69">
        <v>-120</v>
      </c>
      <c r="F189" s="69">
        <v>110</v>
      </c>
      <c r="G189" s="69">
        <v>0</v>
      </c>
      <c r="H189" s="69">
        <v>-15</v>
      </c>
      <c r="I189" s="69">
        <v>61.8</v>
      </c>
      <c r="J189" s="69">
        <v>0</v>
      </c>
      <c r="K189" s="69">
        <v>-120</v>
      </c>
      <c r="L189" s="69">
        <v>61.91</v>
      </c>
      <c r="M189" s="69">
        <v>24</v>
      </c>
      <c r="N189" s="69">
        <v>0</v>
      </c>
      <c r="O189" s="69" t="s">
        <v>90</v>
      </c>
      <c r="P189" s="69">
        <v>8</v>
      </c>
      <c r="Q189" s="69">
        <v>28</v>
      </c>
      <c r="R189" s="69">
        <v>64</v>
      </c>
      <c r="S189" s="69">
        <v>58</v>
      </c>
      <c r="T189" s="69">
        <v>64</v>
      </c>
      <c r="U189" s="69">
        <v>58</v>
      </c>
      <c r="V189" s="72" t="s">
        <v>289</v>
      </c>
      <c r="W189" s="72" t="s">
        <v>145</v>
      </c>
      <c r="X189" s="81" t="s">
        <v>409</v>
      </c>
      <c r="Y189" s="69" t="s">
        <v>408</v>
      </c>
      <c r="Z189" s="82">
        <v>43419</v>
      </c>
      <c r="AA189" s="72" t="s">
        <v>56</v>
      </c>
      <c r="AB189" s="3" t="s">
        <v>498</v>
      </c>
      <c r="AC189" s="3"/>
      <c r="AD189" s="3"/>
    </row>
    <row r="190" spans="1:30" x14ac:dyDescent="0.2">
      <c r="A190">
        <v>188</v>
      </c>
      <c r="B190" s="61" t="s">
        <v>411</v>
      </c>
      <c r="C190" s="69">
        <v>30</v>
      </c>
      <c r="D190" s="69">
        <v>0</v>
      </c>
      <c r="E190" s="69">
        <v>-120</v>
      </c>
      <c r="F190" s="69">
        <v>130</v>
      </c>
      <c r="G190" s="69">
        <v>0</v>
      </c>
      <c r="H190" s="69">
        <v>-18</v>
      </c>
      <c r="I190" s="69">
        <v>77.8</v>
      </c>
      <c r="J190" s="69">
        <v>0</v>
      </c>
      <c r="K190" s="69">
        <v>-150</v>
      </c>
      <c r="L190" s="69">
        <v>75</v>
      </c>
      <c r="M190" s="69">
        <v>24</v>
      </c>
      <c r="N190" s="69">
        <v>0</v>
      </c>
      <c r="O190" s="69" t="s">
        <v>90</v>
      </c>
      <c r="P190" s="69">
        <v>10</v>
      </c>
      <c r="Q190" s="69">
        <v>30</v>
      </c>
      <c r="R190" s="69">
        <v>64</v>
      </c>
      <c r="S190" s="69">
        <v>58</v>
      </c>
      <c r="T190" s="69">
        <v>64</v>
      </c>
      <c r="U190" s="69">
        <v>58</v>
      </c>
      <c r="V190" s="72" t="s">
        <v>289</v>
      </c>
      <c r="W190" s="72" t="s">
        <v>145</v>
      </c>
      <c r="X190" s="72" t="s">
        <v>320</v>
      </c>
      <c r="Y190" s="72" t="s">
        <v>320</v>
      </c>
      <c r="Z190" s="82">
        <v>43402</v>
      </c>
      <c r="AA190" s="72" t="s">
        <v>264</v>
      </c>
      <c r="AB190" s="3" t="s">
        <v>498</v>
      </c>
      <c r="AC190" s="3"/>
      <c r="AD190" s="3"/>
    </row>
    <row r="191" spans="1:30" x14ac:dyDescent="0.2">
      <c r="A191">
        <v>189</v>
      </c>
      <c r="B191" s="61" t="s">
        <v>667</v>
      </c>
      <c r="C191" s="69">
        <v>19</v>
      </c>
      <c r="D191" s="69">
        <v>0</v>
      </c>
      <c r="E191" s="69">
        <v>-120</v>
      </c>
      <c r="F191" s="69">
        <v>72</v>
      </c>
      <c r="G191" s="69">
        <v>0</v>
      </c>
      <c r="H191" s="69">
        <v>-15</v>
      </c>
      <c r="I191" s="69">
        <v>32</v>
      </c>
      <c r="J191" s="69">
        <v>0</v>
      </c>
      <c r="K191" s="69">
        <v>-120</v>
      </c>
      <c r="L191" s="69">
        <v>35</v>
      </c>
      <c r="M191" s="69">
        <v>21</v>
      </c>
      <c r="N191" s="69">
        <v>0</v>
      </c>
      <c r="O191" s="69" t="s">
        <v>90</v>
      </c>
      <c r="P191" s="69">
        <v>6</v>
      </c>
      <c r="Q191" s="69">
        <v>20</v>
      </c>
      <c r="R191" s="69">
        <v>64</v>
      </c>
      <c r="S191" s="69">
        <v>58</v>
      </c>
      <c r="T191" s="69">
        <v>64</v>
      </c>
      <c r="U191" s="69">
        <v>58</v>
      </c>
      <c r="V191" s="72" t="s">
        <v>288</v>
      </c>
      <c r="W191" s="69" t="s">
        <v>145</v>
      </c>
      <c r="X191" s="72">
        <v>9.0999999999999998E-2</v>
      </c>
      <c r="Y191" s="72">
        <v>5.6000000000000001E-2</v>
      </c>
      <c r="Z191" s="82">
        <v>45355</v>
      </c>
      <c r="AA191" s="72" t="s">
        <v>57</v>
      </c>
      <c r="AB191" s="3" t="s">
        <v>634</v>
      </c>
      <c r="AC191" s="3"/>
      <c r="AD191" s="3"/>
    </row>
    <row r="192" spans="1:30" ht="13.5" thickBot="1" x14ac:dyDescent="0.25">
      <c r="A192">
        <v>190</v>
      </c>
      <c r="B192" s="92" t="s">
        <v>412</v>
      </c>
      <c r="C192" s="69">
        <v>18</v>
      </c>
      <c r="D192" s="69">
        <v>0</v>
      </c>
      <c r="E192" s="69">
        <v>-120</v>
      </c>
      <c r="F192" s="69">
        <v>62</v>
      </c>
      <c r="G192" s="69">
        <v>0</v>
      </c>
      <c r="H192" s="69">
        <v>-13</v>
      </c>
      <c r="I192" s="69">
        <v>23.82</v>
      </c>
      <c r="J192" s="69">
        <v>0</v>
      </c>
      <c r="K192" s="69">
        <v>-120</v>
      </c>
      <c r="L192" s="69">
        <v>31.75</v>
      </c>
      <c r="M192" s="69">
        <v>18</v>
      </c>
      <c r="N192" s="69">
        <v>0</v>
      </c>
      <c r="O192" s="72" t="s">
        <v>413</v>
      </c>
      <c r="P192" s="69">
        <v>5</v>
      </c>
      <c r="Q192" s="69">
        <v>20</v>
      </c>
      <c r="R192" s="69">
        <v>64</v>
      </c>
      <c r="S192" s="69">
        <v>58</v>
      </c>
      <c r="T192" s="69">
        <v>64</v>
      </c>
      <c r="U192" s="69">
        <v>58</v>
      </c>
      <c r="V192" s="72" t="s">
        <v>563</v>
      </c>
      <c r="W192" s="69" t="s">
        <v>145</v>
      </c>
      <c r="X192" s="72">
        <v>9.1800000000000007E-2</v>
      </c>
      <c r="Y192" s="72">
        <v>5.6000000000000001E-2</v>
      </c>
      <c r="Z192" s="82">
        <v>44224</v>
      </c>
      <c r="AA192" s="72" t="s">
        <v>57</v>
      </c>
      <c r="AB192" s="3" t="s">
        <v>498</v>
      </c>
      <c r="AC192" s="3"/>
      <c r="AD192" s="3"/>
    </row>
    <row r="193" spans="1:30" ht="13.5" thickBot="1" x14ac:dyDescent="0.25">
      <c r="A193">
        <v>191</v>
      </c>
      <c r="B193" s="93" t="s">
        <v>414</v>
      </c>
      <c r="C193" s="69">
        <v>22</v>
      </c>
      <c r="D193" s="69">
        <v>0</v>
      </c>
      <c r="E193" s="69">
        <v>-120</v>
      </c>
      <c r="F193" s="69">
        <v>80</v>
      </c>
      <c r="G193" s="69">
        <v>0</v>
      </c>
      <c r="H193" s="69">
        <v>-13</v>
      </c>
      <c r="I193" s="69">
        <v>30.18</v>
      </c>
      <c r="J193" s="69">
        <v>0</v>
      </c>
      <c r="K193" s="69">
        <v>-120</v>
      </c>
      <c r="L193" s="69">
        <v>40</v>
      </c>
      <c r="M193" s="69">
        <v>21</v>
      </c>
      <c r="N193" s="69">
        <v>0</v>
      </c>
      <c r="O193" s="72" t="s">
        <v>413</v>
      </c>
      <c r="P193" s="69">
        <v>6</v>
      </c>
      <c r="Q193" s="69">
        <v>20</v>
      </c>
      <c r="R193" s="69">
        <v>64</v>
      </c>
      <c r="S193" s="69">
        <v>58</v>
      </c>
      <c r="T193" s="69">
        <v>64</v>
      </c>
      <c r="U193" s="69">
        <v>58</v>
      </c>
      <c r="V193" s="72" t="s">
        <v>415</v>
      </c>
      <c r="W193" s="69" t="s">
        <v>145</v>
      </c>
      <c r="X193" s="69">
        <v>0.17649999999999999</v>
      </c>
      <c r="Y193" s="69">
        <v>0.12709999999999999</v>
      </c>
      <c r="Z193" s="82">
        <v>43403</v>
      </c>
      <c r="AA193" s="72">
        <v>0</v>
      </c>
      <c r="AB193" s="3" t="s">
        <v>498</v>
      </c>
      <c r="AC193" s="3"/>
      <c r="AD193" s="3"/>
    </row>
    <row r="194" spans="1:30" x14ac:dyDescent="0.2">
      <c r="A194">
        <v>192</v>
      </c>
      <c r="B194" s="61" t="s">
        <v>420</v>
      </c>
      <c r="C194" s="69">
        <v>19</v>
      </c>
      <c r="D194" s="69">
        <v>0</v>
      </c>
      <c r="E194" s="69">
        <v>-120</v>
      </c>
      <c r="F194" s="69">
        <v>72</v>
      </c>
      <c r="G194" s="69">
        <v>0</v>
      </c>
      <c r="H194" s="69">
        <v>-13</v>
      </c>
      <c r="I194" s="69">
        <v>25.4</v>
      </c>
      <c r="J194" s="69">
        <v>0</v>
      </c>
      <c r="K194" s="69">
        <v>-120</v>
      </c>
      <c r="L194" s="69">
        <v>35</v>
      </c>
      <c r="M194" s="69">
        <v>21</v>
      </c>
      <c r="N194" s="69">
        <v>0</v>
      </c>
      <c r="O194" s="69" t="s">
        <v>90</v>
      </c>
      <c r="P194" s="69">
        <v>6</v>
      </c>
      <c r="Q194" s="69">
        <v>20</v>
      </c>
      <c r="R194" s="69">
        <v>64</v>
      </c>
      <c r="S194" s="69">
        <v>58</v>
      </c>
      <c r="T194" s="69">
        <v>64</v>
      </c>
      <c r="U194" s="69">
        <v>58</v>
      </c>
      <c r="V194" s="69" t="s">
        <v>289</v>
      </c>
      <c r="W194" s="69" t="s">
        <v>145</v>
      </c>
      <c r="X194" s="72" t="s">
        <v>320</v>
      </c>
      <c r="Y194" s="72" t="s">
        <v>320</v>
      </c>
      <c r="Z194" s="82">
        <v>43648</v>
      </c>
      <c r="AA194" s="72" t="s">
        <v>264</v>
      </c>
      <c r="AB194" s="3" t="s">
        <v>498</v>
      </c>
      <c r="AC194" s="3"/>
      <c r="AD194" s="3"/>
    </row>
    <row r="195" spans="1:30" x14ac:dyDescent="0.2">
      <c r="A195">
        <v>193</v>
      </c>
      <c r="B195" s="61" t="s">
        <v>421</v>
      </c>
      <c r="C195" s="69">
        <v>38.1</v>
      </c>
      <c r="D195" s="69">
        <v>0</v>
      </c>
      <c r="E195" s="69">
        <v>-120</v>
      </c>
      <c r="F195" s="69">
        <v>130</v>
      </c>
      <c r="G195" s="69">
        <v>0</v>
      </c>
      <c r="H195" s="69">
        <v>-15</v>
      </c>
      <c r="I195" s="69">
        <v>77.8</v>
      </c>
      <c r="J195" s="69">
        <v>0</v>
      </c>
      <c r="K195" s="69">
        <v>-120</v>
      </c>
      <c r="L195" s="69">
        <v>74.61</v>
      </c>
      <c r="M195" s="69">
        <v>24</v>
      </c>
      <c r="N195" s="69">
        <v>0</v>
      </c>
      <c r="O195" s="69" t="s">
        <v>85</v>
      </c>
      <c r="P195" s="69">
        <v>25</v>
      </c>
      <c r="Q195" s="69">
        <v>51</v>
      </c>
      <c r="R195" s="69">
        <v>64</v>
      </c>
      <c r="S195" s="69">
        <v>58</v>
      </c>
      <c r="T195" s="69">
        <v>64</v>
      </c>
      <c r="U195" s="69">
        <v>58</v>
      </c>
      <c r="V195" s="69" t="s">
        <v>422</v>
      </c>
      <c r="W195" s="69" t="s">
        <v>145</v>
      </c>
      <c r="X195" s="69" t="s">
        <v>423</v>
      </c>
      <c r="Y195" s="69" t="s">
        <v>424</v>
      </c>
      <c r="Z195" s="82">
        <v>42473</v>
      </c>
      <c r="AA195" s="72" t="s">
        <v>57</v>
      </c>
      <c r="AB195" s="3" t="s">
        <v>498</v>
      </c>
      <c r="AC195" s="3"/>
      <c r="AD195" s="3"/>
    </row>
    <row r="196" spans="1:30" x14ac:dyDescent="0.2">
      <c r="A196">
        <v>194</v>
      </c>
      <c r="B196" s="61" t="s">
        <v>425</v>
      </c>
      <c r="C196" s="69">
        <v>19</v>
      </c>
      <c r="D196" s="69">
        <v>0</v>
      </c>
      <c r="E196" s="69">
        <v>-120</v>
      </c>
      <c r="F196" s="69">
        <v>72</v>
      </c>
      <c r="G196" s="69">
        <v>0</v>
      </c>
      <c r="H196" s="69">
        <v>-15</v>
      </c>
      <c r="I196" s="69">
        <v>25.4</v>
      </c>
      <c r="J196" s="69">
        <v>0</v>
      </c>
      <c r="K196" s="69">
        <v>-120</v>
      </c>
      <c r="L196" s="69">
        <v>35</v>
      </c>
      <c r="M196" s="69">
        <v>20</v>
      </c>
      <c r="N196" s="69">
        <v>0</v>
      </c>
      <c r="O196" s="69" t="s">
        <v>90</v>
      </c>
      <c r="P196" s="69">
        <v>6</v>
      </c>
      <c r="Q196" s="69">
        <v>20</v>
      </c>
      <c r="R196" s="69">
        <v>64</v>
      </c>
      <c r="S196" s="69">
        <v>58</v>
      </c>
      <c r="T196" s="69">
        <v>64</v>
      </c>
      <c r="U196" s="69">
        <v>58</v>
      </c>
      <c r="V196" s="69" t="s">
        <v>426</v>
      </c>
      <c r="W196" s="69" t="s">
        <v>145</v>
      </c>
      <c r="X196" s="69" t="s">
        <v>385</v>
      </c>
      <c r="Y196" s="69" t="s">
        <v>386</v>
      </c>
      <c r="Z196" s="82">
        <v>43403</v>
      </c>
      <c r="AA196" s="72">
        <v>0</v>
      </c>
      <c r="AB196" s="3" t="s">
        <v>498</v>
      </c>
      <c r="AC196" s="3"/>
      <c r="AD196" s="3"/>
    </row>
    <row r="197" spans="1:30" x14ac:dyDescent="0.2">
      <c r="A197">
        <v>195</v>
      </c>
      <c r="B197" s="61" t="s">
        <v>427</v>
      </c>
      <c r="C197" s="69">
        <v>15</v>
      </c>
      <c r="D197" s="69">
        <v>0</v>
      </c>
      <c r="E197" s="69">
        <v>-120</v>
      </c>
      <c r="F197" s="69">
        <v>52</v>
      </c>
      <c r="G197" s="69">
        <v>0</v>
      </c>
      <c r="H197" s="69">
        <v>-13</v>
      </c>
      <c r="I197" s="69">
        <v>27</v>
      </c>
      <c r="J197" s="69">
        <v>0</v>
      </c>
      <c r="K197" s="69">
        <v>-120</v>
      </c>
      <c r="L197" s="69">
        <v>25.4</v>
      </c>
      <c r="M197" s="69">
        <v>18</v>
      </c>
      <c r="N197" s="69">
        <v>0</v>
      </c>
      <c r="O197" s="69" t="s">
        <v>90</v>
      </c>
      <c r="P197" s="69">
        <v>5</v>
      </c>
      <c r="Q197" s="69">
        <v>20</v>
      </c>
      <c r="R197" s="69">
        <v>64</v>
      </c>
      <c r="S197" s="69">
        <v>58</v>
      </c>
      <c r="T197" s="69">
        <v>64</v>
      </c>
      <c r="U197" s="69">
        <v>58</v>
      </c>
      <c r="V197" s="69" t="s">
        <v>428</v>
      </c>
      <c r="W197" s="69" t="s">
        <v>145</v>
      </c>
      <c r="X197" s="69" t="s">
        <v>385</v>
      </c>
      <c r="Y197" s="69" t="s">
        <v>386</v>
      </c>
      <c r="Z197" s="82">
        <v>43396</v>
      </c>
      <c r="AA197" s="72">
        <v>0</v>
      </c>
      <c r="AB197" s="3" t="s">
        <v>498</v>
      </c>
      <c r="AC197" s="3"/>
      <c r="AD197" s="3"/>
    </row>
    <row r="198" spans="1:30" x14ac:dyDescent="0.2">
      <c r="A198">
        <v>196</v>
      </c>
      <c r="B198" s="61" t="s">
        <v>429</v>
      </c>
      <c r="C198" s="69">
        <v>15</v>
      </c>
      <c r="D198" s="69">
        <v>0</v>
      </c>
      <c r="E198" s="69">
        <v>-120</v>
      </c>
      <c r="F198" s="69">
        <v>52</v>
      </c>
      <c r="G198" s="69">
        <v>0</v>
      </c>
      <c r="H198" s="69">
        <v>-13</v>
      </c>
      <c r="I198" s="69">
        <v>27</v>
      </c>
      <c r="J198" s="69">
        <v>0</v>
      </c>
      <c r="K198" s="69">
        <v>-120</v>
      </c>
      <c r="L198" s="69">
        <v>25.4</v>
      </c>
      <c r="M198" s="69">
        <v>18</v>
      </c>
      <c r="N198" s="69">
        <v>0</v>
      </c>
      <c r="O198" s="69" t="s">
        <v>90</v>
      </c>
      <c r="P198" s="69">
        <v>5</v>
      </c>
      <c r="Q198" s="69">
        <v>20</v>
      </c>
      <c r="R198" s="69">
        <v>64</v>
      </c>
      <c r="S198" s="69">
        <v>58</v>
      </c>
      <c r="T198" s="69">
        <v>64</v>
      </c>
      <c r="U198" s="69">
        <v>58</v>
      </c>
      <c r="V198" s="69" t="s">
        <v>428</v>
      </c>
      <c r="W198" s="69" t="s">
        <v>145</v>
      </c>
      <c r="X198" s="69" t="s">
        <v>385</v>
      </c>
      <c r="Y198" s="69" t="s">
        <v>386</v>
      </c>
      <c r="Z198" s="82">
        <v>43397</v>
      </c>
      <c r="AA198" s="72" t="s">
        <v>264</v>
      </c>
      <c r="AB198" s="3" t="s">
        <v>498</v>
      </c>
      <c r="AC198" s="3"/>
      <c r="AD198" s="3"/>
    </row>
    <row r="199" spans="1:30" x14ac:dyDescent="0.2">
      <c r="A199">
        <v>197</v>
      </c>
      <c r="B199" s="61" t="s">
        <v>430</v>
      </c>
      <c r="C199" s="69">
        <v>19</v>
      </c>
      <c r="D199" s="69">
        <v>0</v>
      </c>
      <c r="E199" s="69">
        <v>-120</v>
      </c>
      <c r="F199" s="69">
        <v>72</v>
      </c>
      <c r="G199" s="69">
        <v>0</v>
      </c>
      <c r="H199" s="69">
        <v>-13</v>
      </c>
      <c r="I199" s="69">
        <v>37.6</v>
      </c>
      <c r="J199" s="69">
        <v>0</v>
      </c>
      <c r="K199" s="69">
        <v>-120</v>
      </c>
      <c r="L199" s="69">
        <v>35</v>
      </c>
      <c r="M199" s="69">
        <v>21</v>
      </c>
      <c r="N199" s="69">
        <v>0</v>
      </c>
      <c r="O199" s="69" t="s">
        <v>90</v>
      </c>
      <c r="P199" s="69">
        <v>6</v>
      </c>
      <c r="Q199" s="69">
        <v>20</v>
      </c>
      <c r="R199" s="69">
        <v>64</v>
      </c>
      <c r="S199" s="69">
        <v>58</v>
      </c>
      <c r="T199" s="69">
        <v>64</v>
      </c>
      <c r="U199" s="69">
        <v>58</v>
      </c>
      <c r="V199" s="70" t="s">
        <v>333</v>
      </c>
      <c r="W199" s="69" t="s">
        <v>145</v>
      </c>
      <c r="X199" s="72">
        <v>0.44800000000000001</v>
      </c>
      <c r="Y199" s="72">
        <v>0.3</v>
      </c>
      <c r="Z199" s="82">
        <v>42996</v>
      </c>
      <c r="AA199" s="72" t="s">
        <v>264</v>
      </c>
      <c r="AB199" s="3" t="s">
        <v>498</v>
      </c>
      <c r="AC199" s="3"/>
      <c r="AD199" s="3"/>
    </row>
    <row r="200" spans="1:30" x14ac:dyDescent="0.2">
      <c r="A200">
        <v>198</v>
      </c>
      <c r="B200" s="61" t="s">
        <v>431</v>
      </c>
      <c r="C200" s="69">
        <v>25</v>
      </c>
      <c r="D200" s="69">
        <v>0</v>
      </c>
      <c r="E200" s="69">
        <v>-150</v>
      </c>
      <c r="F200" s="69">
        <v>100</v>
      </c>
      <c r="G200" s="69">
        <v>0</v>
      </c>
      <c r="H200" s="69">
        <v>-15</v>
      </c>
      <c r="I200" s="69">
        <v>55.4</v>
      </c>
      <c r="J200" s="69">
        <v>0</v>
      </c>
      <c r="K200" s="69">
        <v>-150</v>
      </c>
      <c r="L200" s="69">
        <v>55</v>
      </c>
      <c r="M200" s="69">
        <v>24</v>
      </c>
      <c r="N200" s="69">
        <v>0</v>
      </c>
      <c r="O200" s="69" t="s">
        <v>90</v>
      </c>
      <c r="P200" s="69">
        <v>8</v>
      </c>
      <c r="Q200" s="69">
        <v>28</v>
      </c>
      <c r="R200" s="69">
        <v>64</v>
      </c>
      <c r="S200" s="69">
        <v>58</v>
      </c>
      <c r="T200" s="69">
        <v>64</v>
      </c>
      <c r="U200" s="69">
        <v>58</v>
      </c>
      <c r="V200" s="69" t="s">
        <v>432</v>
      </c>
      <c r="W200" s="69" t="s">
        <v>145</v>
      </c>
      <c r="X200" s="69" t="s">
        <v>403</v>
      </c>
      <c r="Y200" s="69" t="s">
        <v>404</v>
      </c>
      <c r="Z200" s="82" t="s">
        <v>341</v>
      </c>
      <c r="AA200" s="72"/>
      <c r="AB200" s="3" t="s">
        <v>498</v>
      </c>
      <c r="AC200" s="3"/>
      <c r="AD200" s="3"/>
    </row>
    <row r="201" spans="1:30" x14ac:dyDescent="0.2">
      <c r="A201">
        <v>199</v>
      </c>
      <c r="B201" s="61" t="s">
        <v>434</v>
      </c>
      <c r="C201" s="69">
        <v>17</v>
      </c>
      <c r="D201" s="69">
        <v>0</v>
      </c>
      <c r="E201" s="69">
        <v>-120</v>
      </c>
      <c r="F201" s="69">
        <v>72</v>
      </c>
      <c r="G201" s="69">
        <v>0</v>
      </c>
      <c r="H201" s="69">
        <v>-15</v>
      </c>
      <c r="I201" s="69">
        <v>25.4</v>
      </c>
      <c r="J201" s="69">
        <v>0</v>
      </c>
      <c r="K201" s="69">
        <v>-120</v>
      </c>
      <c r="L201" s="69">
        <v>35</v>
      </c>
      <c r="M201" s="69">
        <v>20</v>
      </c>
      <c r="N201" s="69">
        <v>0</v>
      </c>
      <c r="O201" s="69" t="s">
        <v>90</v>
      </c>
      <c r="P201" s="69">
        <v>6</v>
      </c>
      <c r="Q201" s="69">
        <v>20</v>
      </c>
      <c r="R201" s="69">
        <v>64</v>
      </c>
      <c r="S201" s="69">
        <v>58</v>
      </c>
      <c r="T201" s="69">
        <v>64</v>
      </c>
      <c r="U201" s="69">
        <v>58</v>
      </c>
      <c r="V201" s="69" t="s">
        <v>289</v>
      </c>
      <c r="W201" s="69" t="s">
        <v>145</v>
      </c>
      <c r="X201" s="69" t="s">
        <v>385</v>
      </c>
      <c r="Y201" s="69" t="s">
        <v>386</v>
      </c>
      <c r="Z201" s="82">
        <v>43398</v>
      </c>
      <c r="AA201" s="72">
        <v>0</v>
      </c>
      <c r="AB201" s="3" t="s">
        <v>498</v>
      </c>
      <c r="AC201" s="3"/>
      <c r="AD201" s="3"/>
    </row>
    <row r="202" spans="1:30" x14ac:dyDescent="0.2">
      <c r="A202">
        <v>200</v>
      </c>
      <c r="B202" s="61" t="s">
        <v>435</v>
      </c>
      <c r="C202" s="69">
        <v>18</v>
      </c>
      <c r="D202" s="69">
        <v>0</v>
      </c>
      <c r="E202" s="69">
        <v>-120</v>
      </c>
      <c r="F202" s="69">
        <v>62</v>
      </c>
      <c r="G202" s="69">
        <v>0</v>
      </c>
      <c r="H202" s="69">
        <v>-15</v>
      </c>
      <c r="I202" s="69">
        <v>23.82</v>
      </c>
      <c r="J202" s="69">
        <v>0</v>
      </c>
      <c r="K202" s="69">
        <v>-120</v>
      </c>
      <c r="L202" s="69">
        <v>30.16</v>
      </c>
      <c r="M202" s="69">
        <v>20</v>
      </c>
      <c r="N202" s="69">
        <v>0</v>
      </c>
      <c r="O202" s="69" t="s">
        <v>90</v>
      </c>
      <c r="P202" s="69">
        <v>5</v>
      </c>
      <c r="Q202" s="69">
        <v>20</v>
      </c>
      <c r="R202" s="69">
        <v>64</v>
      </c>
      <c r="S202" s="69">
        <v>58</v>
      </c>
      <c r="T202" s="69">
        <v>64</v>
      </c>
      <c r="U202" s="69">
        <v>58</v>
      </c>
      <c r="V202" s="69" t="s">
        <v>563</v>
      </c>
      <c r="W202" s="69" t="s">
        <v>145</v>
      </c>
      <c r="X202" s="69" t="s">
        <v>541</v>
      </c>
      <c r="Y202" s="69" t="s">
        <v>386</v>
      </c>
      <c r="Z202" s="82">
        <v>44224</v>
      </c>
      <c r="AA202" s="72" t="s">
        <v>564</v>
      </c>
      <c r="AB202" s="3" t="s">
        <v>498</v>
      </c>
      <c r="AC202" s="3"/>
      <c r="AD202" s="3"/>
    </row>
    <row r="203" spans="1:30" x14ac:dyDescent="0.2">
      <c r="A203">
        <v>201</v>
      </c>
      <c r="B203" s="61" t="s">
        <v>437</v>
      </c>
      <c r="C203" s="69">
        <v>15</v>
      </c>
      <c r="D203" s="69">
        <v>0</v>
      </c>
      <c r="E203" s="69">
        <v>-120</v>
      </c>
      <c r="F203" s="69">
        <v>47</v>
      </c>
      <c r="G203" s="69">
        <v>0</v>
      </c>
      <c r="H203" s="69">
        <v>-11</v>
      </c>
      <c r="I203" s="69">
        <v>21.41</v>
      </c>
      <c r="J203" s="69">
        <v>0</v>
      </c>
      <c r="K203" s="69">
        <v>-120</v>
      </c>
      <c r="L203" s="69">
        <v>20</v>
      </c>
      <c r="M203" s="69">
        <v>18</v>
      </c>
      <c r="N203" s="69">
        <v>0</v>
      </c>
      <c r="O203" s="69" t="s">
        <v>90</v>
      </c>
      <c r="P203" s="69">
        <v>5</v>
      </c>
      <c r="Q203" s="69">
        <v>20</v>
      </c>
      <c r="R203" s="69">
        <v>64</v>
      </c>
      <c r="S203" s="69">
        <v>58</v>
      </c>
      <c r="T203" s="69">
        <v>64</v>
      </c>
      <c r="U203" s="69">
        <v>58</v>
      </c>
      <c r="V203" s="69" t="s">
        <v>289</v>
      </c>
      <c r="W203" s="69" t="s">
        <v>145</v>
      </c>
      <c r="X203" s="69" t="s">
        <v>438</v>
      </c>
      <c r="Y203" s="69" t="s">
        <v>439</v>
      </c>
      <c r="Z203" s="82">
        <v>43379</v>
      </c>
      <c r="AA203" s="72" t="s">
        <v>264</v>
      </c>
      <c r="AB203" s="3" t="s">
        <v>498</v>
      </c>
      <c r="AC203" s="3"/>
      <c r="AD203" s="3"/>
    </row>
    <row r="204" spans="1:30" x14ac:dyDescent="0.2">
      <c r="A204">
        <v>202</v>
      </c>
      <c r="B204" s="61" t="s">
        <v>440</v>
      </c>
      <c r="C204" s="69">
        <v>15</v>
      </c>
      <c r="D204" s="69">
        <v>0</v>
      </c>
      <c r="E204" s="69">
        <v>-120</v>
      </c>
      <c r="F204" s="69">
        <v>47</v>
      </c>
      <c r="G204" s="69">
        <v>0</v>
      </c>
      <c r="H204" s="69">
        <v>-11</v>
      </c>
      <c r="I204" s="69">
        <v>31</v>
      </c>
      <c r="J204" s="69">
        <v>0</v>
      </c>
      <c r="K204" s="69">
        <v>-120</v>
      </c>
      <c r="L204" s="69">
        <v>20</v>
      </c>
      <c r="M204" s="69">
        <v>18</v>
      </c>
      <c r="N204" s="69">
        <v>0</v>
      </c>
      <c r="O204" s="69" t="s">
        <v>90</v>
      </c>
      <c r="P204" s="69">
        <v>5</v>
      </c>
      <c r="Q204" s="69">
        <v>20</v>
      </c>
      <c r="R204" s="69">
        <v>64</v>
      </c>
      <c r="S204" s="69">
        <v>58</v>
      </c>
      <c r="T204" s="69">
        <v>64</v>
      </c>
      <c r="U204" s="69">
        <v>58</v>
      </c>
      <c r="V204" s="69" t="s">
        <v>289</v>
      </c>
      <c r="W204" s="69" t="s">
        <v>145</v>
      </c>
      <c r="X204" s="69" t="s">
        <v>441</v>
      </c>
      <c r="Y204" s="69" t="s">
        <v>442</v>
      </c>
      <c r="Z204" s="82">
        <v>44165</v>
      </c>
      <c r="AA204" s="72" t="s">
        <v>56</v>
      </c>
      <c r="AB204" s="3" t="s">
        <v>498</v>
      </c>
      <c r="AC204" s="3"/>
      <c r="AD204" s="3"/>
    </row>
    <row r="205" spans="1:30" x14ac:dyDescent="0.2">
      <c r="A205">
        <v>203</v>
      </c>
      <c r="B205" s="61" t="s">
        <v>443</v>
      </c>
      <c r="C205" s="69">
        <v>15</v>
      </c>
      <c r="D205" s="69">
        <v>0</v>
      </c>
      <c r="E205" s="69">
        <v>-120</v>
      </c>
      <c r="F205" s="69">
        <v>47</v>
      </c>
      <c r="G205" s="69">
        <v>0</v>
      </c>
      <c r="H205" s="69">
        <v>-11</v>
      </c>
      <c r="I205" s="69">
        <v>34</v>
      </c>
      <c r="J205" s="69">
        <v>0</v>
      </c>
      <c r="K205" s="69">
        <v>-120</v>
      </c>
      <c r="L205" s="69">
        <v>20</v>
      </c>
      <c r="M205" s="69">
        <v>18</v>
      </c>
      <c r="N205" s="69">
        <v>0</v>
      </c>
      <c r="O205" s="69" t="s">
        <v>90</v>
      </c>
      <c r="P205" s="69">
        <v>5</v>
      </c>
      <c r="Q205" s="69">
        <v>20</v>
      </c>
      <c r="R205" s="69">
        <v>64</v>
      </c>
      <c r="S205" s="69">
        <v>58</v>
      </c>
      <c r="T205" s="69">
        <v>64</v>
      </c>
      <c r="U205" s="69">
        <v>58</v>
      </c>
      <c r="V205" s="69" t="s">
        <v>289</v>
      </c>
      <c r="W205" s="69" t="s">
        <v>145</v>
      </c>
      <c r="X205" s="69" t="s">
        <v>444</v>
      </c>
      <c r="Y205" s="69" t="s">
        <v>445</v>
      </c>
      <c r="Z205" s="82">
        <v>43379</v>
      </c>
      <c r="AA205" s="72" t="s">
        <v>264</v>
      </c>
      <c r="AB205" s="3" t="s">
        <v>498</v>
      </c>
      <c r="AC205" s="3"/>
      <c r="AD205" s="3"/>
    </row>
    <row r="206" spans="1:30" x14ac:dyDescent="0.2">
      <c r="A206">
        <v>204</v>
      </c>
      <c r="B206" s="61" t="s">
        <v>367</v>
      </c>
      <c r="C206" s="69">
        <v>18</v>
      </c>
      <c r="D206" s="69">
        <v>0</v>
      </c>
      <c r="E206" s="69">
        <v>-120</v>
      </c>
      <c r="F206" s="69">
        <v>62</v>
      </c>
      <c r="G206" s="69">
        <v>0</v>
      </c>
      <c r="H206" s="69">
        <v>-15</v>
      </c>
      <c r="I206" s="69">
        <v>30</v>
      </c>
      <c r="J206" s="69">
        <v>0</v>
      </c>
      <c r="K206" s="69">
        <v>-120</v>
      </c>
      <c r="L206" s="69">
        <v>30</v>
      </c>
      <c r="M206" s="69">
        <v>18</v>
      </c>
      <c r="N206" s="69">
        <v>0</v>
      </c>
      <c r="O206" s="69" t="s">
        <v>90</v>
      </c>
      <c r="P206" s="69">
        <v>6</v>
      </c>
      <c r="Q206" s="69">
        <v>20</v>
      </c>
      <c r="R206" s="69">
        <v>64</v>
      </c>
      <c r="S206" s="69">
        <v>58</v>
      </c>
      <c r="T206" s="69">
        <v>64</v>
      </c>
      <c r="U206" s="69">
        <v>58</v>
      </c>
      <c r="V206" s="69" t="s">
        <v>289</v>
      </c>
      <c r="W206" s="69" t="s">
        <v>145</v>
      </c>
      <c r="X206" s="69" t="s">
        <v>438</v>
      </c>
      <c r="Y206" s="69" t="s">
        <v>439</v>
      </c>
      <c r="Z206" s="82">
        <v>43395</v>
      </c>
      <c r="AA206" s="72">
        <v>0</v>
      </c>
      <c r="AB206" s="3" t="s">
        <v>498</v>
      </c>
      <c r="AC206" s="3"/>
      <c r="AD206" s="3"/>
    </row>
    <row r="207" spans="1:30" x14ac:dyDescent="0.2">
      <c r="A207">
        <v>205</v>
      </c>
      <c r="B207" s="61" t="s">
        <v>446</v>
      </c>
      <c r="C207" s="69">
        <v>25</v>
      </c>
      <c r="D207" s="69">
        <v>0</v>
      </c>
      <c r="E207" s="69">
        <v>-120</v>
      </c>
      <c r="F207" s="69">
        <v>100</v>
      </c>
      <c r="G207" s="69">
        <v>0</v>
      </c>
      <c r="H207" s="69">
        <v>-15</v>
      </c>
      <c r="I207" s="69">
        <v>55.5</v>
      </c>
      <c r="J207" s="69">
        <v>0</v>
      </c>
      <c r="K207" s="69">
        <v>-150</v>
      </c>
      <c r="L207" s="69">
        <v>55</v>
      </c>
      <c r="M207" s="69">
        <v>24</v>
      </c>
      <c r="N207" s="69">
        <v>0</v>
      </c>
      <c r="O207" s="69" t="s">
        <v>90</v>
      </c>
      <c r="P207" s="69">
        <v>8</v>
      </c>
      <c r="Q207" s="69">
        <v>28</v>
      </c>
      <c r="R207" s="69">
        <v>64</v>
      </c>
      <c r="S207" s="69">
        <v>58</v>
      </c>
      <c r="T207" s="69">
        <v>64</v>
      </c>
      <c r="U207" s="69">
        <v>58</v>
      </c>
      <c r="V207" s="69" t="s">
        <v>447</v>
      </c>
      <c r="W207" s="69" t="s">
        <v>145</v>
      </c>
      <c r="X207" s="69" t="s">
        <v>273</v>
      </c>
      <c r="Y207" s="69" t="s">
        <v>448</v>
      </c>
      <c r="Z207" s="82">
        <v>44165</v>
      </c>
      <c r="AA207" s="72" t="s">
        <v>57</v>
      </c>
      <c r="AB207" s="3" t="s">
        <v>498</v>
      </c>
      <c r="AC207" s="3"/>
      <c r="AD207" s="3"/>
    </row>
    <row r="208" spans="1:30" x14ac:dyDescent="0.2">
      <c r="A208">
        <v>206</v>
      </c>
      <c r="B208" s="61" t="s">
        <v>449</v>
      </c>
      <c r="C208" s="69">
        <v>22</v>
      </c>
      <c r="D208" s="69">
        <v>0</v>
      </c>
      <c r="E208" s="69">
        <v>-120</v>
      </c>
      <c r="F208" s="69">
        <v>80</v>
      </c>
      <c r="G208" s="69">
        <v>0</v>
      </c>
      <c r="H208" s="69">
        <v>-13</v>
      </c>
      <c r="I208" s="69">
        <v>30.18</v>
      </c>
      <c r="J208" s="69">
        <v>0</v>
      </c>
      <c r="K208" s="69">
        <v>-120</v>
      </c>
      <c r="L208" s="69">
        <v>40</v>
      </c>
      <c r="M208" s="69">
        <v>21</v>
      </c>
      <c r="N208" s="69">
        <v>0</v>
      </c>
      <c r="O208" s="69" t="s">
        <v>90</v>
      </c>
      <c r="P208" s="69">
        <v>6</v>
      </c>
      <c r="Q208" s="69">
        <v>20</v>
      </c>
      <c r="R208" s="69">
        <v>64</v>
      </c>
      <c r="S208" s="69">
        <v>58</v>
      </c>
      <c r="T208" s="69">
        <v>64</v>
      </c>
      <c r="U208" s="69">
        <v>58</v>
      </c>
      <c r="V208" s="69" t="s">
        <v>450</v>
      </c>
      <c r="W208" s="69" t="s">
        <v>145</v>
      </c>
      <c r="X208" s="69" t="s">
        <v>451</v>
      </c>
      <c r="Y208" s="69" t="s">
        <v>452</v>
      </c>
      <c r="Z208" s="82">
        <v>43379</v>
      </c>
      <c r="AA208" s="72" t="s">
        <v>264</v>
      </c>
      <c r="AB208" s="3" t="s">
        <v>498</v>
      </c>
      <c r="AC208" s="3"/>
      <c r="AD208" s="3"/>
    </row>
    <row r="209" spans="1:30" x14ac:dyDescent="0.2">
      <c r="A209">
        <v>207</v>
      </c>
      <c r="B209" s="61" t="s">
        <v>453</v>
      </c>
      <c r="C209" s="69">
        <v>15</v>
      </c>
      <c r="D209" s="69">
        <v>0</v>
      </c>
      <c r="E209" s="69">
        <v>-120</v>
      </c>
      <c r="F209" s="69">
        <v>52</v>
      </c>
      <c r="G209" s="69">
        <v>0</v>
      </c>
      <c r="H209" s="69">
        <v>-13</v>
      </c>
      <c r="I209" s="69">
        <v>21.5</v>
      </c>
      <c r="J209" s="69">
        <v>0</v>
      </c>
      <c r="K209" s="69">
        <v>-120</v>
      </c>
      <c r="L209" s="69">
        <v>25</v>
      </c>
      <c r="M209" s="69">
        <v>18</v>
      </c>
      <c r="N209" s="69">
        <v>0</v>
      </c>
      <c r="O209" s="69" t="s">
        <v>90</v>
      </c>
      <c r="P209" s="69">
        <v>5</v>
      </c>
      <c r="Q209" s="69">
        <v>20</v>
      </c>
      <c r="R209" s="69">
        <v>64</v>
      </c>
      <c r="S209" s="69">
        <v>58</v>
      </c>
      <c r="T209" s="69">
        <v>64</v>
      </c>
      <c r="U209" s="69">
        <v>58</v>
      </c>
      <c r="V209" s="69" t="s">
        <v>454</v>
      </c>
      <c r="W209" s="69" t="s">
        <v>145</v>
      </c>
      <c r="X209" s="69" t="s">
        <v>438</v>
      </c>
      <c r="Y209" s="69" t="s">
        <v>439</v>
      </c>
      <c r="Z209" s="82">
        <v>43396</v>
      </c>
      <c r="AA209" s="72">
        <v>0</v>
      </c>
      <c r="AB209" s="3" t="s">
        <v>498</v>
      </c>
      <c r="AC209" s="3"/>
      <c r="AD209" s="3"/>
    </row>
    <row r="210" spans="1:30" x14ac:dyDescent="0.2">
      <c r="A210">
        <v>208</v>
      </c>
      <c r="B210" s="61" t="s">
        <v>455</v>
      </c>
      <c r="C210" s="69">
        <v>15</v>
      </c>
      <c r="D210" s="69">
        <v>0</v>
      </c>
      <c r="E210" s="69">
        <v>-120</v>
      </c>
      <c r="F210" s="69">
        <v>52</v>
      </c>
      <c r="G210" s="69">
        <v>0</v>
      </c>
      <c r="H210" s="69">
        <v>-13</v>
      </c>
      <c r="I210" s="69">
        <v>34</v>
      </c>
      <c r="J210" s="69">
        <v>0</v>
      </c>
      <c r="K210" s="69">
        <v>-120</v>
      </c>
      <c r="L210" s="69">
        <v>25.4</v>
      </c>
      <c r="M210" s="69">
        <v>18</v>
      </c>
      <c r="N210" s="69">
        <v>0</v>
      </c>
      <c r="O210" s="69" t="s">
        <v>90</v>
      </c>
      <c r="P210" s="69">
        <v>5</v>
      </c>
      <c r="Q210" s="69">
        <v>20</v>
      </c>
      <c r="R210" s="69">
        <v>64</v>
      </c>
      <c r="S210" s="69">
        <v>58</v>
      </c>
      <c r="T210" s="69">
        <v>64</v>
      </c>
      <c r="U210" s="69">
        <v>58</v>
      </c>
      <c r="V210" s="69" t="s">
        <v>454</v>
      </c>
      <c r="W210" s="69" t="s">
        <v>145</v>
      </c>
      <c r="X210" s="69" t="s">
        <v>456</v>
      </c>
      <c r="Y210" s="69" t="s">
        <v>457</v>
      </c>
      <c r="Z210" s="82">
        <v>43397</v>
      </c>
      <c r="AA210" s="72" t="s">
        <v>57</v>
      </c>
      <c r="AB210" s="3" t="s">
        <v>498</v>
      </c>
      <c r="AC210" s="3"/>
      <c r="AD210" s="3"/>
    </row>
    <row r="211" spans="1:30" x14ac:dyDescent="0.2">
      <c r="A211">
        <v>209</v>
      </c>
      <c r="B211" s="61" t="s">
        <v>458</v>
      </c>
      <c r="C211" s="69">
        <v>22</v>
      </c>
      <c r="D211" s="69">
        <v>0</v>
      </c>
      <c r="E211" s="69">
        <v>-120</v>
      </c>
      <c r="F211" s="69">
        <v>85</v>
      </c>
      <c r="G211" s="69">
        <v>0</v>
      </c>
      <c r="H211" s="69">
        <v>-15</v>
      </c>
      <c r="I211" s="69">
        <v>49.2</v>
      </c>
      <c r="J211" s="69">
        <v>0</v>
      </c>
      <c r="K211" s="69">
        <v>-120</v>
      </c>
      <c r="L211" s="69">
        <v>45</v>
      </c>
      <c r="M211" s="69">
        <v>21</v>
      </c>
      <c r="N211" s="69">
        <v>0</v>
      </c>
      <c r="O211" s="69" t="s">
        <v>90</v>
      </c>
      <c r="P211" s="69">
        <v>6</v>
      </c>
      <c r="Q211" s="69">
        <v>23</v>
      </c>
      <c r="R211" s="69">
        <v>64</v>
      </c>
      <c r="S211" s="69">
        <v>58</v>
      </c>
      <c r="T211" s="69">
        <v>64</v>
      </c>
      <c r="U211" s="69">
        <v>58</v>
      </c>
      <c r="V211" s="69" t="s">
        <v>459</v>
      </c>
      <c r="W211" s="69" t="s">
        <v>145</v>
      </c>
      <c r="X211" s="69" t="s">
        <v>460</v>
      </c>
      <c r="Y211" s="69" t="s">
        <v>336</v>
      </c>
      <c r="Z211" s="82">
        <v>42993</v>
      </c>
      <c r="AA211" s="72" t="s">
        <v>264</v>
      </c>
      <c r="AB211" s="3" t="s">
        <v>498</v>
      </c>
      <c r="AC211" s="3"/>
      <c r="AD211" s="3"/>
    </row>
    <row r="212" spans="1:30" x14ac:dyDescent="0.2">
      <c r="A212">
        <v>210</v>
      </c>
      <c r="B212" s="61" t="s">
        <v>461</v>
      </c>
      <c r="C212" s="69">
        <v>21</v>
      </c>
      <c r="D212" s="69" t="s">
        <v>105</v>
      </c>
      <c r="E212" s="69" t="s">
        <v>105</v>
      </c>
      <c r="F212" s="69">
        <v>80</v>
      </c>
      <c r="G212" s="69">
        <v>0</v>
      </c>
      <c r="H212" s="69">
        <v>-13</v>
      </c>
      <c r="I212" s="69">
        <v>31</v>
      </c>
      <c r="J212" s="69">
        <v>0</v>
      </c>
      <c r="K212" s="69">
        <v>-120</v>
      </c>
      <c r="L212" s="69">
        <v>40</v>
      </c>
      <c r="M212" s="69">
        <v>25</v>
      </c>
      <c r="N212" s="69">
        <v>0</v>
      </c>
      <c r="O212" s="69" t="s">
        <v>85</v>
      </c>
      <c r="P212" s="69">
        <v>15</v>
      </c>
      <c r="Q212" s="69">
        <v>33</v>
      </c>
      <c r="R212" s="69">
        <v>64</v>
      </c>
      <c r="S212" s="69">
        <v>58</v>
      </c>
      <c r="T212" s="69">
        <v>64</v>
      </c>
      <c r="U212" s="69">
        <v>58</v>
      </c>
      <c r="V212" s="69" t="s">
        <v>462</v>
      </c>
      <c r="W212" s="69" t="s">
        <v>145</v>
      </c>
      <c r="X212" s="69" t="s">
        <v>463</v>
      </c>
      <c r="Y212" s="69" t="s">
        <v>464</v>
      </c>
      <c r="Z212" s="82">
        <v>41823</v>
      </c>
      <c r="AA212" s="72">
        <v>0</v>
      </c>
      <c r="AB212" s="3" t="s">
        <v>498</v>
      </c>
      <c r="AC212" s="3"/>
      <c r="AD212" s="3"/>
    </row>
    <row r="213" spans="1:30" x14ac:dyDescent="0.2">
      <c r="A213">
        <v>211</v>
      </c>
      <c r="B213" s="61" t="s">
        <v>465</v>
      </c>
      <c r="C213" s="69">
        <v>49.2</v>
      </c>
      <c r="D213" s="69">
        <v>0</v>
      </c>
      <c r="E213" s="69">
        <v>-120</v>
      </c>
      <c r="F213" s="69">
        <v>150</v>
      </c>
      <c r="G213" s="69">
        <v>0</v>
      </c>
      <c r="H213" s="69">
        <v>-18</v>
      </c>
      <c r="I213" s="69">
        <v>85.7</v>
      </c>
      <c r="J213" s="69">
        <v>0</v>
      </c>
      <c r="K213" s="69">
        <v>-200</v>
      </c>
      <c r="L213" s="69">
        <v>87.3125</v>
      </c>
      <c r="M213" s="69">
        <v>28</v>
      </c>
      <c r="N213" s="69">
        <v>0</v>
      </c>
      <c r="O213" s="69" t="s">
        <v>85</v>
      </c>
      <c r="P213" s="69">
        <v>30</v>
      </c>
      <c r="Q213" s="69">
        <v>58</v>
      </c>
      <c r="R213" s="69">
        <v>62</v>
      </c>
      <c r="S213" s="69">
        <v>58</v>
      </c>
      <c r="T213" s="69">
        <v>62</v>
      </c>
      <c r="U213" s="69">
        <v>58</v>
      </c>
      <c r="V213" s="69" t="s">
        <v>161</v>
      </c>
      <c r="W213" s="69" t="s">
        <v>145</v>
      </c>
      <c r="X213" s="69" t="s">
        <v>105</v>
      </c>
      <c r="Y213" s="69" t="s">
        <v>105</v>
      </c>
      <c r="Z213" s="82">
        <v>43948</v>
      </c>
      <c r="AA213" s="72">
        <v>0</v>
      </c>
      <c r="AB213" s="3" t="s">
        <v>498</v>
      </c>
      <c r="AC213" s="3"/>
      <c r="AD213" s="3"/>
    </row>
    <row r="214" spans="1:30" x14ac:dyDescent="0.2">
      <c r="A214">
        <v>212</v>
      </c>
      <c r="B214" s="61" t="s">
        <v>466</v>
      </c>
      <c r="C214" s="69">
        <v>25</v>
      </c>
      <c r="D214" s="69">
        <v>0</v>
      </c>
      <c r="E214" s="69">
        <v>-150</v>
      </c>
      <c r="F214" s="69">
        <v>100</v>
      </c>
      <c r="G214" s="69">
        <v>0</v>
      </c>
      <c r="H214" s="69">
        <v>-15</v>
      </c>
      <c r="I214" s="69">
        <v>55.4</v>
      </c>
      <c r="J214" s="69">
        <v>0</v>
      </c>
      <c r="K214" s="69">
        <v>-150</v>
      </c>
      <c r="L214" s="69">
        <v>55</v>
      </c>
      <c r="M214" s="69">
        <v>24</v>
      </c>
      <c r="N214" s="69">
        <v>0</v>
      </c>
      <c r="O214" s="69" t="s">
        <v>90</v>
      </c>
      <c r="P214" s="69">
        <v>28</v>
      </c>
      <c r="Q214" s="69">
        <v>8</v>
      </c>
      <c r="R214" s="69">
        <v>64</v>
      </c>
      <c r="S214" s="69">
        <v>58</v>
      </c>
      <c r="T214" s="69">
        <v>64</v>
      </c>
      <c r="U214" s="69">
        <v>58</v>
      </c>
      <c r="V214" s="69" t="s">
        <v>467</v>
      </c>
      <c r="W214" s="69" t="s">
        <v>145</v>
      </c>
      <c r="X214" s="69" t="s">
        <v>403</v>
      </c>
      <c r="Y214" s="69" t="s">
        <v>404</v>
      </c>
      <c r="Z214" s="82">
        <v>44165</v>
      </c>
      <c r="AA214" s="72" t="s">
        <v>57</v>
      </c>
      <c r="AB214" s="3" t="s">
        <v>498</v>
      </c>
      <c r="AC214" s="3"/>
      <c r="AD214" s="3"/>
    </row>
    <row r="215" spans="1:30" x14ac:dyDescent="0.2">
      <c r="A215">
        <v>213</v>
      </c>
      <c r="B215" s="61" t="s">
        <v>468</v>
      </c>
      <c r="C215" s="69">
        <v>15.9</v>
      </c>
      <c r="D215" s="69">
        <v>0</v>
      </c>
      <c r="E215" s="69">
        <v>-120</v>
      </c>
      <c r="F215" s="69">
        <v>38</v>
      </c>
      <c r="G215" s="69">
        <v>130</v>
      </c>
      <c r="H215" s="69">
        <v>-130</v>
      </c>
      <c r="I215" s="69">
        <v>18.100000000000001</v>
      </c>
      <c r="J215" s="69">
        <v>0</v>
      </c>
      <c r="K215" s="69">
        <v>-120</v>
      </c>
      <c r="L215" s="69">
        <v>16</v>
      </c>
      <c r="M215" s="69">
        <v>130</v>
      </c>
      <c r="N215" s="69">
        <v>0</v>
      </c>
      <c r="O215" s="69" t="s">
        <v>469</v>
      </c>
      <c r="P215" s="69">
        <v>8</v>
      </c>
      <c r="Q215" s="69">
        <v>20</v>
      </c>
      <c r="R215" s="69">
        <v>62</v>
      </c>
      <c r="S215" s="69">
        <v>58</v>
      </c>
      <c r="T215" s="69">
        <v>62</v>
      </c>
      <c r="U215" s="69">
        <v>58</v>
      </c>
      <c r="V215" s="69" t="s">
        <v>470</v>
      </c>
      <c r="W215" s="69" t="s">
        <v>145</v>
      </c>
      <c r="X215" s="69" t="s">
        <v>471</v>
      </c>
      <c r="Y215" s="69" t="s">
        <v>472</v>
      </c>
      <c r="Z215" s="82">
        <v>43472</v>
      </c>
      <c r="AA215" s="72" t="s">
        <v>55</v>
      </c>
      <c r="AB215" s="3" t="s">
        <v>498</v>
      </c>
      <c r="AC215" s="3"/>
      <c r="AD215" s="3"/>
    </row>
    <row r="216" spans="1:30" x14ac:dyDescent="0.2">
      <c r="A216">
        <v>214</v>
      </c>
      <c r="B216" s="61" t="s">
        <v>473</v>
      </c>
      <c r="C216" s="69" t="s">
        <v>105</v>
      </c>
      <c r="D216" s="69" t="s">
        <v>105</v>
      </c>
      <c r="E216" s="69" t="s">
        <v>105</v>
      </c>
      <c r="F216" s="69" t="s">
        <v>105</v>
      </c>
      <c r="G216" s="69" t="s">
        <v>105</v>
      </c>
      <c r="H216" s="69" t="s">
        <v>105</v>
      </c>
      <c r="I216" s="69">
        <v>42.9</v>
      </c>
      <c r="J216" s="69">
        <v>0</v>
      </c>
      <c r="K216" s="69">
        <v>-120</v>
      </c>
      <c r="L216" s="69">
        <v>34.75</v>
      </c>
      <c r="M216" s="69">
        <v>0</v>
      </c>
      <c r="N216" s="69">
        <v>-160</v>
      </c>
      <c r="O216" s="69" t="s">
        <v>105</v>
      </c>
      <c r="P216" s="69" t="s">
        <v>105</v>
      </c>
      <c r="Q216" s="69" t="s">
        <v>105</v>
      </c>
      <c r="R216" s="69">
        <v>64</v>
      </c>
      <c r="S216" s="69">
        <v>58</v>
      </c>
      <c r="T216" s="69" t="s">
        <v>105</v>
      </c>
      <c r="U216" s="69" t="s">
        <v>105</v>
      </c>
      <c r="V216" s="69" t="s">
        <v>105</v>
      </c>
      <c r="W216" s="69" t="s">
        <v>105</v>
      </c>
      <c r="X216" s="69" t="s">
        <v>105</v>
      </c>
      <c r="Y216" s="69" t="s">
        <v>105</v>
      </c>
      <c r="Z216" s="82">
        <v>44034</v>
      </c>
      <c r="AA216" s="72">
        <v>0</v>
      </c>
      <c r="AB216" s="3" t="s">
        <v>498</v>
      </c>
      <c r="AC216" s="3"/>
      <c r="AD216" s="3"/>
    </row>
    <row r="217" spans="1:30" x14ac:dyDescent="0.2">
      <c r="A217">
        <v>215</v>
      </c>
      <c r="B217" s="61" t="s">
        <v>474</v>
      </c>
      <c r="C217" s="69" t="s">
        <v>105</v>
      </c>
      <c r="D217" s="69" t="s">
        <v>105</v>
      </c>
      <c r="E217" s="69" t="s">
        <v>105</v>
      </c>
      <c r="F217" s="69" t="s">
        <v>105</v>
      </c>
      <c r="G217" s="69" t="s">
        <v>105</v>
      </c>
      <c r="H217" s="69" t="s">
        <v>105</v>
      </c>
      <c r="I217" s="69">
        <v>37.6</v>
      </c>
      <c r="J217" s="69">
        <v>0</v>
      </c>
      <c r="K217" s="69">
        <v>-120</v>
      </c>
      <c r="L217" s="69">
        <v>34.75</v>
      </c>
      <c r="M217" s="69">
        <v>0</v>
      </c>
      <c r="N217" s="69">
        <v>-160</v>
      </c>
      <c r="O217" s="69" t="s">
        <v>105</v>
      </c>
      <c r="P217" s="69" t="s">
        <v>105</v>
      </c>
      <c r="Q217" s="69" t="s">
        <v>105</v>
      </c>
      <c r="R217" s="69">
        <v>64</v>
      </c>
      <c r="S217" s="69">
        <v>58</v>
      </c>
      <c r="T217" s="69" t="s">
        <v>105</v>
      </c>
      <c r="U217" s="69" t="s">
        <v>105</v>
      </c>
      <c r="V217" s="69" t="s">
        <v>105</v>
      </c>
      <c r="W217" s="69" t="s">
        <v>105</v>
      </c>
      <c r="X217" s="69" t="s">
        <v>105</v>
      </c>
      <c r="Y217" s="69" t="s">
        <v>105</v>
      </c>
      <c r="Z217" s="82">
        <v>44034</v>
      </c>
      <c r="AA217" s="72">
        <v>0</v>
      </c>
      <c r="AB217" s="3" t="s">
        <v>498</v>
      </c>
      <c r="AC217" s="3"/>
      <c r="AD217" s="3"/>
    </row>
    <row r="218" spans="1:30" x14ac:dyDescent="0.2">
      <c r="A218">
        <v>216</v>
      </c>
      <c r="B218" s="61" t="s">
        <v>475</v>
      </c>
      <c r="C218" s="69">
        <v>19</v>
      </c>
      <c r="D218" s="69">
        <v>0</v>
      </c>
      <c r="E218" s="69">
        <v>-120</v>
      </c>
      <c r="F218" s="69">
        <v>72.150000000000006</v>
      </c>
      <c r="G218" s="69">
        <v>150</v>
      </c>
      <c r="H218" s="69">
        <v>0</v>
      </c>
      <c r="I218" s="69" t="s">
        <v>105</v>
      </c>
      <c r="J218" s="69" t="s">
        <v>105</v>
      </c>
      <c r="K218" s="69" t="s">
        <v>105</v>
      </c>
      <c r="L218" s="69" t="s">
        <v>105</v>
      </c>
      <c r="M218" s="69" t="s">
        <v>105</v>
      </c>
      <c r="N218" s="69" t="s">
        <v>105</v>
      </c>
      <c r="O218" s="69" t="s">
        <v>105</v>
      </c>
      <c r="P218" s="69" t="s">
        <v>105</v>
      </c>
      <c r="Q218" s="69" t="s">
        <v>105</v>
      </c>
      <c r="R218" s="69" t="s">
        <v>105</v>
      </c>
      <c r="S218" s="69" t="s">
        <v>105</v>
      </c>
      <c r="T218" s="69">
        <v>64</v>
      </c>
      <c r="U218" s="69">
        <v>58</v>
      </c>
      <c r="V218" s="69" t="s">
        <v>105</v>
      </c>
      <c r="W218" s="69" t="s">
        <v>105</v>
      </c>
      <c r="X218" s="69" t="s">
        <v>105</v>
      </c>
      <c r="Y218" s="69" t="s">
        <v>105</v>
      </c>
      <c r="Z218" s="82">
        <v>44034</v>
      </c>
      <c r="AA218" s="72">
        <v>0</v>
      </c>
      <c r="AB218" s="3" t="s">
        <v>498</v>
      </c>
      <c r="AC218" s="3"/>
      <c r="AD218" s="3"/>
    </row>
    <row r="219" spans="1:30" x14ac:dyDescent="0.2">
      <c r="A219">
        <v>217</v>
      </c>
      <c r="B219" s="61" t="s">
        <v>476</v>
      </c>
      <c r="C219" s="69">
        <v>19</v>
      </c>
      <c r="D219" s="69">
        <v>0</v>
      </c>
      <c r="E219" s="69">
        <v>-120</v>
      </c>
      <c r="F219" s="69">
        <v>72</v>
      </c>
      <c r="G219" s="69">
        <v>0</v>
      </c>
      <c r="H219" s="69">
        <v>-15</v>
      </c>
      <c r="I219" s="69">
        <v>25.4</v>
      </c>
      <c r="J219" s="69">
        <v>0</v>
      </c>
      <c r="K219" s="69">
        <v>-120</v>
      </c>
      <c r="L219" s="69">
        <v>36.512</v>
      </c>
      <c r="M219" s="69">
        <v>21</v>
      </c>
      <c r="N219" s="69">
        <v>0</v>
      </c>
      <c r="O219" s="69" t="s">
        <v>90</v>
      </c>
      <c r="P219" s="69">
        <v>6</v>
      </c>
      <c r="Q219" s="69">
        <v>20</v>
      </c>
      <c r="R219" s="69">
        <v>64</v>
      </c>
      <c r="S219" s="69">
        <v>58</v>
      </c>
      <c r="T219" s="69">
        <v>64</v>
      </c>
      <c r="U219" s="69">
        <v>58</v>
      </c>
      <c r="V219" s="69" t="s">
        <v>477</v>
      </c>
      <c r="W219" s="69" t="s">
        <v>145</v>
      </c>
      <c r="X219" s="69" t="s">
        <v>471</v>
      </c>
      <c r="Y219" s="69" t="s">
        <v>472</v>
      </c>
      <c r="Z219" s="82">
        <v>44224</v>
      </c>
      <c r="AA219" s="72" t="s">
        <v>55</v>
      </c>
      <c r="AB219" s="3" t="s">
        <v>498</v>
      </c>
      <c r="AC219" s="3"/>
      <c r="AD219" s="3"/>
    </row>
    <row r="220" spans="1:30" x14ac:dyDescent="0.2">
      <c r="A220">
        <v>218</v>
      </c>
      <c r="B220" s="61" t="s">
        <v>478</v>
      </c>
      <c r="C220" s="69">
        <v>22</v>
      </c>
      <c r="D220" s="69">
        <v>0</v>
      </c>
      <c r="E220" s="69">
        <v>-120</v>
      </c>
      <c r="F220" s="69">
        <v>85</v>
      </c>
      <c r="G220" s="69">
        <v>0</v>
      </c>
      <c r="H220" s="69">
        <v>-15</v>
      </c>
      <c r="I220" s="69">
        <v>30.18</v>
      </c>
      <c r="J220" s="69">
        <v>0</v>
      </c>
      <c r="K220" s="69">
        <v>-120</v>
      </c>
      <c r="L220" s="69">
        <v>45</v>
      </c>
      <c r="M220" s="69">
        <v>21</v>
      </c>
      <c r="N220" s="69">
        <v>0</v>
      </c>
      <c r="O220" s="69" t="s">
        <v>90</v>
      </c>
      <c r="P220" s="69">
        <v>6</v>
      </c>
      <c r="Q220" s="69">
        <v>23</v>
      </c>
      <c r="R220" s="69">
        <v>64</v>
      </c>
      <c r="S220" s="69">
        <v>58</v>
      </c>
      <c r="T220" s="69">
        <v>64</v>
      </c>
      <c r="U220" s="69">
        <v>58</v>
      </c>
      <c r="V220" s="69" t="s">
        <v>479</v>
      </c>
      <c r="W220" s="69" t="s">
        <v>145</v>
      </c>
      <c r="X220" s="69" t="s">
        <v>480</v>
      </c>
      <c r="Y220" s="69" t="s">
        <v>481</v>
      </c>
      <c r="Z220" s="82">
        <v>42304</v>
      </c>
      <c r="AA220" s="72">
        <v>0</v>
      </c>
      <c r="AB220" s="3" t="s">
        <v>498</v>
      </c>
      <c r="AC220" s="3"/>
      <c r="AD220" s="3"/>
    </row>
    <row r="221" spans="1:30" x14ac:dyDescent="0.2">
      <c r="A221">
        <v>219</v>
      </c>
      <c r="B221" s="61" t="s">
        <v>482</v>
      </c>
      <c r="C221" s="69">
        <v>19</v>
      </c>
      <c r="D221" s="69">
        <v>0</v>
      </c>
      <c r="E221" s="69">
        <v>-120</v>
      </c>
      <c r="F221" s="69">
        <v>72</v>
      </c>
      <c r="G221" s="69">
        <v>0</v>
      </c>
      <c r="H221" s="69">
        <v>-13</v>
      </c>
      <c r="I221" s="69">
        <v>37.6</v>
      </c>
      <c r="J221" s="69">
        <v>0</v>
      </c>
      <c r="K221" s="69">
        <v>-120</v>
      </c>
      <c r="L221" s="69">
        <v>35</v>
      </c>
      <c r="M221" s="69">
        <v>21</v>
      </c>
      <c r="N221" s="69">
        <v>0</v>
      </c>
      <c r="O221" s="69" t="s">
        <v>90</v>
      </c>
      <c r="P221" s="69">
        <v>6</v>
      </c>
      <c r="Q221" s="69">
        <v>20</v>
      </c>
      <c r="R221" s="69">
        <v>64</v>
      </c>
      <c r="S221" s="69">
        <v>58</v>
      </c>
      <c r="T221" s="69">
        <v>64</v>
      </c>
      <c r="U221" s="69">
        <v>58</v>
      </c>
      <c r="V221" s="69" t="s">
        <v>483</v>
      </c>
      <c r="W221" s="69" t="s">
        <v>145</v>
      </c>
      <c r="X221" s="69" t="s">
        <v>484</v>
      </c>
      <c r="Y221" s="69" t="s">
        <v>485</v>
      </c>
      <c r="Z221" s="82">
        <v>44048</v>
      </c>
      <c r="AA221" s="72">
        <v>0</v>
      </c>
      <c r="AB221" s="3" t="s">
        <v>498</v>
      </c>
      <c r="AC221" s="3"/>
      <c r="AD221" s="3"/>
    </row>
    <row r="222" spans="1:30" x14ac:dyDescent="0.2">
      <c r="A222">
        <v>220</v>
      </c>
      <c r="B222" s="61" t="s">
        <v>486</v>
      </c>
      <c r="C222" s="69">
        <v>22</v>
      </c>
      <c r="D222" s="69">
        <v>0</v>
      </c>
      <c r="E222" s="69">
        <v>-120</v>
      </c>
      <c r="F222" s="69">
        <v>90</v>
      </c>
      <c r="G222" s="69">
        <v>0</v>
      </c>
      <c r="H222" s="69">
        <v>-15</v>
      </c>
      <c r="I222" s="69">
        <v>51.6</v>
      </c>
      <c r="J222" s="69">
        <v>0</v>
      </c>
      <c r="K222" s="69">
        <v>-120</v>
      </c>
      <c r="L222" s="69">
        <v>50</v>
      </c>
      <c r="M222" s="69">
        <v>21</v>
      </c>
      <c r="N222" s="69">
        <v>0</v>
      </c>
      <c r="O222" s="69" t="s">
        <v>469</v>
      </c>
      <c r="P222" s="69">
        <v>6</v>
      </c>
      <c r="Q222" s="69">
        <v>23</v>
      </c>
      <c r="R222" s="69">
        <v>64</v>
      </c>
      <c r="S222" s="69">
        <v>58</v>
      </c>
      <c r="T222" s="69">
        <v>64</v>
      </c>
      <c r="U222" s="69">
        <v>58</v>
      </c>
      <c r="V222" s="69" t="s">
        <v>487</v>
      </c>
      <c r="W222" s="69" t="s">
        <v>145</v>
      </c>
      <c r="X222" s="69" t="s">
        <v>488</v>
      </c>
      <c r="Y222" s="69" t="s">
        <v>489</v>
      </c>
      <c r="Z222" s="82">
        <v>44257</v>
      </c>
      <c r="AA222" s="72" t="s">
        <v>264</v>
      </c>
      <c r="AB222" s="3" t="s">
        <v>498</v>
      </c>
      <c r="AC222" s="3"/>
      <c r="AD222" s="3"/>
    </row>
    <row r="223" spans="1:30" x14ac:dyDescent="0.2">
      <c r="A223">
        <v>221</v>
      </c>
      <c r="B223" s="61" t="s">
        <v>496</v>
      </c>
      <c r="C223" s="69">
        <v>27</v>
      </c>
      <c r="D223" s="69">
        <v>0</v>
      </c>
      <c r="E223" s="69">
        <v>-150</v>
      </c>
      <c r="F223" s="69">
        <v>110</v>
      </c>
      <c r="G223" s="69">
        <v>0</v>
      </c>
      <c r="H223" s="69">
        <v>-15</v>
      </c>
      <c r="I223" s="69">
        <v>65.099999999999994</v>
      </c>
      <c r="J223" s="69">
        <v>0</v>
      </c>
      <c r="K223" s="69">
        <v>-150</v>
      </c>
      <c r="L223" s="69">
        <v>60</v>
      </c>
      <c r="M223" s="69">
        <v>24</v>
      </c>
      <c r="N223" s="69">
        <v>0</v>
      </c>
      <c r="O223" s="69" t="s">
        <v>90</v>
      </c>
      <c r="P223" s="69">
        <v>8</v>
      </c>
      <c r="Q223" s="69">
        <v>28</v>
      </c>
      <c r="R223" s="69">
        <v>64</v>
      </c>
      <c r="S223" s="69">
        <v>58</v>
      </c>
      <c r="T223" s="69">
        <v>64</v>
      </c>
      <c r="U223" s="69">
        <v>58</v>
      </c>
      <c r="V223" s="70" t="s">
        <v>289</v>
      </c>
      <c r="W223" s="69" t="s">
        <v>145</v>
      </c>
      <c r="X223" s="72" t="s">
        <v>499</v>
      </c>
      <c r="Y223" s="72" t="s">
        <v>500</v>
      </c>
      <c r="Z223" s="82" t="s">
        <v>497</v>
      </c>
      <c r="AA223" s="72" t="s">
        <v>498</v>
      </c>
      <c r="AB223" s="3" t="s">
        <v>498</v>
      </c>
      <c r="AC223" s="3"/>
      <c r="AD223" s="3"/>
    </row>
    <row r="224" spans="1:30" x14ac:dyDescent="0.2">
      <c r="A224">
        <v>222</v>
      </c>
      <c r="B224" s="61" t="s">
        <v>501</v>
      </c>
      <c r="C224" s="69">
        <v>19</v>
      </c>
      <c r="D224" s="69">
        <v>0</v>
      </c>
      <c r="E224" s="69">
        <v>-120</v>
      </c>
      <c r="F224" s="69">
        <v>72</v>
      </c>
      <c r="G224" s="69">
        <v>0</v>
      </c>
      <c r="H224" s="69">
        <v>-13</v>
      </c>
      <c r="I224" s="69">
        <v>42.9</v>
      </c>
      <c r="J224" s="69">
        <v>0</v>
      </c>
      <c r="K224" s="69">
        <v>-120</v>
      </c>
      <c r="L224" s="69">
        <v>31.75</v>
      </c>
      <c r="M224" s="69">
        <v>18</v>
      </c>
      <c r="N224" s="69">
        <v>0</v>
      </c>
      <c r="O224" s="72" t="s">
        <v>90</v>
      </c>
      <c r="P224" s="69">
        <v>6</v>
      </c>
      <c r="Q224" s="69">
        <v>20</v>
      </c>
      <c r="R224" s="69">
        <v>64</v>
      </c>
      <c r="S224" s="69">
        <v>58</v>
      </c>
      <c r="T224" s="69">
        <v>64</v>
      </c>
      <c r="U224" s="69">
        <v>58</v>
      </c>
      <c r="V224" s="77" t="s">
        <v>333</v>
      </c>
      <c r="W224" s="72" t="s">
        <v>145</v>
      </c>
      <c r="X224" s="72" t="s">
        <v>342</v>
      </c>
      <c r="Y224" s="72" t="s">
        <v>343</v>
      </c>
      <c r="Z224" s="82" t="s">
        <v>497</v>
      </c>
      <c r="AA224" s="72" t="s">
        <v>498</v>
      </c>
      <c r="AB224" s="3" t="s">
        <v>498</v>
      </c>
      <c r="AC224" s="3"/>
      <c r="AD224" s="3"/>
    </row>
    <row r="225" spans="1:30" x14ac:dyDescent="0.2">
      <c r="A225">
        <v>223</v>
      </c>
      <c r="B225" s="61" t="s">
        <v>502</v>
      </c>
      <c r="C225" s="69">
        <v>19</v>
      </c>
      <c r="D225" s="69">
        <v>0</v>
      </c>
      <c r="E225" s="69">
        <v>-120</v>
      </c>
      <c r="F225" s="69">
        <v>72</v>
      </c>
      <c r="G225" s="69">
        <v>0</v>
      </c>
      <c r="H225" s="69">
        <v>-13</v>
      </c>
      <c r="I225" s="69">
        <v>42.9</v>
      </c>
      <c r="J225" s="69">
        <v>0</v>
      </c>
      <c r="K225" s="69">
        <v>-120</v>
      </c>
      <c r="L225" s="69">
        <v>35</v>
      </c>
      <c r="M225" s="69">
        <v>21</v>
      </c>
      <c r="N225" s="69">
        <v>0</v>
      </c>
      <c r="O225" s="69" t="s">
        <v>90</v>
      </c>
      <c r="P225" s="69">
        <v>6</v>
      </c>
      <c r="Q225" s="69">
        <v>20</v>
      </c>
      <c r="R225" s="69">
        <v>64</v>
      </c>
      <c r="S225" s="69">
        <v>58</v>
      </c>
      <c r="T225" s="69">
        <v>64</v>
      </c>
      <c r="U225" s="69">
        <v>58</v>
      </c>
      <c r="V225" s="77" t="s">
        <v>333</v>
      </c>
      <c r="W225" s="72" t="s">
        <v>145</v>
      </c>
      <c r="X225" s="72" t="s">
        <v>342</v>
      </c>
      <c r="Y225" s="72" t="s">
        <v>343</v>
      </c>
      <c r="Z225" s="82">
        <v>44118</v>
      </c>
      <c r="AA225" s="72" t="s">
        <v>264</v>
      </c>
      <c r="AB225" s="3" t="s">
        <v>498</v>
      </c>
      <c r="AC225" s="3"/>
      <c r="AD225" s="3"/>
    </row>
    <row r="226" spans="1:30" x14ac:dyDescent="0.2">
      <c r="A226">
        <v>224</v>
      </c>
      <c r="B226" s="61" t="s">
        <v>503</v>
      </c>
      <c r="C226" s="69">
        <v>22</v>
      </c>
      <c r="D226" s="69">
        <v>0</v>
      </c>
      <c r="E226" s="69">
        <v>-120</v>
      </c>
      <c r="F226" s="69">
        <v>80</v>
      </c>
      <c r="G226" s="69">
        <v>0</v>
      </c>
      <c r="H226" s="69">
        <v>-13</v>
      </c>
      <c r="I226" s="69">
        <v>49.2</v>
      </c>
      <c r="J226" s="69">
        <v>0</v>
      </c>
      <c r="K226" s="69">
        <v>-120</v>
      </c>
      <c r="L226" s="69">
        <v>40</v>
      </c>
      <c r="M226" s="69">
        <v>21</v>
      </c>
      <c r="N226" s="69">
        <v>0</v>
      </c>
      <c r="O226" s="69" t="s">
        <v>90</v>
      </c>
      <c r="P226" s="69">
        <v>6</v>
      </c>
      <c r="Q226" s="69">
        <v>20</v>
      </c>
      <c r="R226" s="69">
        <v>64</v>
      </c>
      <c r="S226" s="69">
        <v>58</v>
      </c>
      <c r="T226" s="69">
        <v>64</v>
      </c>
      <c r="U226" s="69">
        <v>58</v>
      </c>
      <c r="V226" s="69" t="s">
        <v>370</v>
      </c>
      <c r="W226" s="69" t="s">
        <v>145</v>
      </c>
      <c r="X226" s="69" t="s">
        <v>346</v>
      </c>
      <c r="Y226" s="69" t="s">
        <v>347</v>
      </c>
      <c r="Z226" s="82">
        <v>44118</v>
      </c>
      <c r="AA226" s="72">
        <v>0</v>
      </c>
      <c r="AB226" s="3" t="s">
        <v>498</v>
      </c>
      <c r="AC226" s="3"/>
      <c r="AD226" s="3"/>
    </row>
    <row r="227" spans="1:30" x14ac:dyDescent="0.2">
      <c r="A227">
        <v>225</v>
      </c>
      <c r="B227" s="61" t="s">
        <v>504</v>
      </c>
      <c r="C227" s="69">
        <v>21</v>
      </c>
      <c r="D227" s="69">
        <v>0</v>
      </c>
      <c r="E227" s="69">
        <v>-120</v>
      </c>
      <c r="F227" s="69">
        <v>80</v>
      </c>
      <c r="G227" s="69">
        <v>0</v>
      </c>
      <c r="H227" s="69">
        <v>-13</v>
      </c>
      <c r="I227" s="69" t="s">
        <v>105</v>
      </c>
      <c r="J227" s="69" t="s">
        <v>105</v>
      </c>
      <c r="K227" s="69" t="s">
        <v>105</v>
      </c>
      <c r="L227" s="69" t="s">
        <v>105</v>
      </c>
      <c r="M227" s="69" t="s">
        <v>105</v>
      </c>
      <c r="N227" s="69" t="s">
        <v>105</v>
      </c>
      <c r="O227" s="69" t="s">
        <v>105</v>
      </c>
      <c r="P227" s="69" t="s">
        <v>105</v>
      </c>
      <c r="Q227" s="69" t="s">
        <v>105</v>
      </c>
      <c r="R227" s="69" t="s">
        <v>105</v>
      </c>
      <c r="S227" s="69" t="s">
        <v>105</v>
      </c>
      <c r="T227" s="69">
        <v>64</v>
      </c>
      <c r="U227" s="69">
        <v>58</v>
      </c>
      <c r="V227" s="69" t="s">
        <v>105</v>
      </c>
      <c r="W227" s="69" t="s">
        <v>105</v>
      </c>
      <c r="X227" s="69" t="s">
        <v>105</v>
      </c>
      <c r="Y227" s="69" t="s">
        <v>105</v>
      </c>
      <c r="Z227" s="82">
        <v>44186</v>
      </c>
      <c r="AA227" s="72">
        <v>0</v>
      </c>
      <c r="AB227" s="3" t="s">
        <v>498</v>
      </c>
      <c r="AC227" s="3"/>
      <c r="AD227" s="3"/>
    </row>
    <row r="228" spans="1:30" x14ac:dyDescent="0.2">
      <c r="A228">
        <v>226</v>
      </c>
      <c r="B228" s="60" t="s">
        <v>505</v>
      </c>
      <c r="C228" s="69">
        <v>19</v>
      </c>
      <c r="D228" s="69">
        <v>0</v>
      </c>
      <c r="E228" s="69">
        <v>-120</v>
      </c>
      <c r="F228" s="69">
        <v>72</v>
      </c>
      <c r="G228" s="69">
        <v>0</v>
      </c>
      <c r="H228" s="69">
        <v>-13</v>
      </c>
      <c r="I228" s="69" t="s">
        <v>105</v>
      </c>
      <c r="J228" s="69" t="s">
        <v>105</v>
      </c>
      <c r="K228" s="69" t="s">
        <v>105</v>
      </c>
      <c r="L228" s="69" t="s">
        <v>105</v>
      </c>
      <c r="M228" s="69" t="s">
        <v>105</v>
      </c>
      <c r="N228" s="69" t="s">
        <v>105</v>
      </c>
      <c r="O228" s="69" t="s">
        <v>105</v>
      </c>
      <c r="P228" s="69" t="s">
        <v>105</v>
      </c>
      <c r="Q228" s="69" t="s">
        <v>105</v>
      </c>
      <c r="R228" s="69" t="s">
        <v>105</v>
      </c>
      <c r="S228" s="69" t="s">
        <v>105</v>
      </c>
      <c r="T228" s="69">
        <v>64</v>
      </c>
      <c r="U228" s="69">
        <v>58</v>
      </c>
      <c r="V228" s="70" t="s">
        <v>105</v>
      </c>
      <c r="W228" s="69" t="s">
        <v>105</v>
      </c>
      <c r="X228" s="72" t="s">
        <v>105</v>
      </c>
      <c r="Y228" s="72" t="s">
        <v>105</v>
      </c>
      <c r="Z228" s="82">
        <v>42647</v>
      </c>
      <c r="AA228" s="72" t="s">
        <v>264</v>
      </c>
      <c r="AB228" s="3" t="s">
        <v>498</v>
      </c>
      <c r="AC228" s="3"/>
      <c r="AD228" s="3"/>
    </row>
    <row r="229" spans="1:30" x14ac:dyDescent="0.2">
      <c r="A229">
        <v>227</v>
      </c>
      <c r="B229" s="60" t="s">
        <v>507</v>
      </c>
      <c r="C229" s="69">
        <v>25</v>
      </c>
      <c r="D229" s="69">
        <v>0</v>
      </c>
      <c r="E229" s="69">
        <v>-120</v>
      </c>
      <c r="F229" s="69">
        <v>100</v>
      </c>
      <c r="G229" s="69">
        <v>0</v>
      </c>
      <c r="H229" s="69">
        <v>-15</v>
      </c>
      <c r="I229" s="69">
        <v>55.6</v>
      </c>
      <c r="J229" s="69">
        <v>0</v>
      </c>
      <c r="K229" s="69">
        <v>-120</v>
      </c>
      <c r="L229" s="69">
        <v>50.8</v>
      </c>
      <c r="M229" s="69">
        <v>21</v>
      </c>
      <c r="N229" s="69">
        <v>0</v>
      </c>
      <c r="O229" s="72" t="s">
        <v>85</v>
      </c>
      <c r="P229" s="69">
        <v>23</v>
      </c>
      <c r="Q229" s="69">
        <v>43</v>
      </c>
      <c r="R229" s="69">
        <v>64</v>
      </c>
      <c r="S229" s="69">
        <v>58</v>
      </c>
      <c r="T229" s="69">
        <v>64</v>
      </c>
      <c r="U229" s="69">
        <v>58</v>
      </c>
      <c r="V229" s="72" t="s">
        <v>508</v>
      </c>
      <c r="W229" s="72" t="s">
        <v>145</v>
      </c>
      <c r="X229" s="72" t="s">
        <v>509</v>
      </c>
      <c r="Y229" s="72" t="s">
        <v>510</v>
      </c>
      <c r="Z229" s="82">
        <v>44224</v>
      </c>
      <c r="AA229" s="72" t="s">
        <v>57</v>
      </c>
      <c r="AB229" s="3" t="s">
        <v>498</v>
      </c>
      <c r="AC229" s="3"/>
      <c r="AD229" s="3"/>
    </row>
    <row r="230" spans="1:30" x14ac:dyDescent="0.2">
      <c r="A230">
        <v>228</v>
      </c>
      <c r="B230" s="61" t="s">
        <v>512</v>
      </c>
      <c r="C230" s="69">
        <v>15</v>
      </c>
      <c r="D230" s="69">
        <v>0</v>
      </c>
      <c r="E230" s="69">
        <v>-120</v>
      </c>
      <c r="F230" s="69">
        <v>52</v>
      </c>
      <c r="G230" s="69">
        <v>0</v>
      </c>
      <c r="H230" s="69">
        <v>-13</v>
      </c>
      <c r="I230" s="69">
        <v>21.5</v>
      </c>
      <c r="J230" s="69">
        <v>0</v>
      </c>
      <c r="K230" s="69">
        <v>-120</v>
      </c>
      <c r="L230" s="72">
        <v>25.4</v>
      </c>
      <c r="M230" s="69">
        <v>18</v>
      </c>
      <c r="N230" s="69">
        <v>0</v>
      </c>
      <c r="O230" s="69" t="s">
        <v>85</v>
      </c>
      <c r="P230" s="69">
        <v>13</v>
      </c>
      <c r="Q230" s="69">
        <v>28</v>
      </c>
      <c r="R230" s="69">
        <v>64</v>
      </c>
      <c r="S230" s="69">
        <v>58</v>
      </c>
      <c r="T230" s="69">
        <v>64</v>
      </c>
      <c r="U230" s="69">
        <v>58</v>
      </c>
      <c r="V230" s="70" t="s">
        <v>513</v>
      </c>
      <c r="W230" s="69" t="s">
        <v>145</v>
      </c>
      <c r="X230" s="72">
        <v>9.0999999999999998E-2</v>
      </c>
      <c r="Y230" s="72">
        <v>5.6000000000000001E-2</v>
      </c>
      <c r="Z230" s="82">
        <v>44385</v>
      </c>
      <c r="AA230" s="72" t="s">
        <v>55</v>
      </c>
      <c r="AB230" s="3" t="s">
        <v>498</v>
      </c>
      <c r="AC230" s="3"/>
      <c r="AD230" s="3"/>
    </row>
    <row r="231" spans="1:30" x14ac:dyDescent="0.2">
      <c r="A231">
        <v>229</v>
      </c>
      <c r="B231" s="61" t="s">
        <v>514</v>
      </c>
      <c r="C231" s="69">
        <v>15</v>
      </c>
      <c r="D231" s="69">
        <v>0</v>
      </c>
      <c r="E231" s="69">
        <v>-120</v>
      </c>
      <c r="F231" s="69">
        <v>52</v>
      </c>
      <c r="G231" s="69">
        <v>0</v>
      </c>
      <c r="H231" s="69">
        <v>-13</v>
      </c>
      <c r="I231" s="69">
        <v>21.5</v>
      </c>
      <c r="J231" s="69">
        <v>0</v>
      </c>
      <c r="K231" s="69">
        <v>-120</v>
      </c>
      <c r="L231" s="72">
        <v>25.4</v>
      </c>
      <c r="M231" s="69">
        <v>18</v>
      </c>
      <c r="N231" s="69">
        <v>0</v>
      </c>
      <c r="O231" s="69" t="s">
        <v>90</v>
      </c>
      <c r="P231" s="69">
        <v>5</v>
      </c>
      <c r="Q231" s="69">
        <v>20</v>
      </c>
      <c r="R231" s="69">
        <v>64</v>
      </c>
      <c r="S231" s="69">
        <v>58</v>
      </c>
      <c r="T231" s="69">
        <v>64</v>
      </c>
      <c r="U231" s="69">
        <v>58</v>
      </c>
      <c r="V231" s="70" t="s">
        <v>354</v>
      </c>
      <c r="W231" s="69" t="s">
        <v>145</v>
      </c>
      <c r="X231" s="72">
        <v>9.0999999999999998E-2</v>
      </c>
      <c r="Y231" s="72">
        <v>5.6000000000000001E-2</v>
      </c>
      <c r="Z231" s="82">
        <v>44224</v>
      </c>
      <c r="AA231" s="72" t="s">
        <v>55</v>
      </c>
      <c r="AB231" s="3" t="s">
        <v>498</v>
      </c>
      <c r="AC231" s="3"/>
      <c r="AD231" s="3"/>
    </row>
    <row r="232" spans="1:30" x14ac:dyDescent="0.2">
      <c r="A232">
        <v>230</v>
      </c>
      <c r="B232" s="61" t="s">
        <v>515</v>
      </c>
      <c r="C232" s="69">
        <v>15</v>
      </c>
      <c r="D232" s="69">
        <v>0</v>
      </c>
      <c r="E232" s="69">
        <v>-120</v>
      </c>
      <c r="F232" s="69">
        <v>52</v>
      </c>
      <c r="G232" s="69">
        <v>0</v>
      </c>
      <c r="H232" s="69">
        <v>-13</v>
      </c>
      <c r="I232" s="69">
        <v>21.5</v>
      </c>
      <c r="J232" s="69">
        <v>0</v>
      </c>
      <c r="K232" s="69">
        <v>-120</v>
      </c>
      <c r="L232" s="72">
        <v>25.4</v>
      </c>
      <c r="M232" s="69">
        <v>18</v>
      </c>
      <c r="N232" s="69">
        <v>0</v>
      </c>
      <c r="O232" s="69" t="s">
        <v>85</v>
      </c>
      <c r="P232" s="69">
        <v>13</v>
      </c>
      <c r="Q232" s="69">
        <v>28</v>
      </c>
      <c r="R232" s="69">
        <v>64</v>
      </c>
      <c r="S232" s="69">
        <v>58</v>
      </c>
      <c r="T232" s="69">
        <v>64</v>
      </c>
      <c r="U232" s="69">
        <v>58</v>
      </c>
      <c r="V232" s="70" t="s">
        <v>513</v>
      </c>
      <c r="W232" s="69" t="s">
        <v>145</v>
      </c>
      <c r="X232" s="72">
        <v>9.0999999999999998E-2</v>
      </c>
      <c r="Y232" s="72">
        <v>5.6000000000000001E-2</v>
      </c>
      <c r="Z232" s="82">
        <v>44532</v>
      </c>
      <c r="AA232" s="72" t="s">
        <v>55</v>
      </c>
      <c r="AB232" s="3"/>
      <c r="AC232" s="3"/>
      <c r="AD232" s="3"/>
    </row>
    <row r="233" spans="1:30" x14ac:dyDescent="0.2">
      <c r="A233">
        <v>231</v>
      </c>
      <c r="B233" s="61" t="s">
        <v>516</v>
      </c>
      <c r="C233" s="69">
        <v>18</v>
      </c>
      <c r="D233" s="69">
        <v>0</v>
      </c>
      <c r="E233" s="69">
        <v>-120</v>
      </c>
      <c r="F233" s="69">
        <v>62</v>
      </c>
      <c r="G233" s="69">
        <v>0</v>
      </c>
      <c r="H233" s="69">
        <v>-13</v>
      </c>
      <c r="I233" s="69">
        <v>36.4</v>
      </c>
      <c r="J233" s="69">
        <v>0</v>
      </c>
      <c r="K233" s="69">
        <v>-120</v>
      </c>
      <c r="L233" s="69">
        <v>31.75</v>
      </c>
      <c r="M233" s="69">
        <v>18</v>
      </c>
      <c r="N233" s="69">
        <v>0</v>
      </c>
      <c r="O233" s="69" t="s">
        <v>90</v>
      </c>
      <c r="P233" s="69">
        <v>5</v>
      </c>
      <c r="Q233" s="69">
        <v>20</v>
      </c>
      <c r="R233" s="69">
        <v>64</v>
      </c>
      <c r="S233" s="69">
        <v>58</v>
      </c>
      <c r="T233" s="69">
        <v>64</v>
      </c>
      <c r="U233" s="69">
        <v>58</v>
      </c>
      <c r="V233" s="70" t="s">
        <v>517</v>
      </c>
      <c r="W233" s="69" t="s">
        <v>145</v>
      </c>
      <c r="X233" s="69">
        <v>0.55920000000000003</v>
      </c>
      <c r="Y233" s="69">
        <v>0.37280000000000002</v>
      </c>
      <c r="Z233" s="82">
        <v>44336</v>
      </c>
      <c r="AA233" s="72">
        <v>0</v>
      </c>
      <c r="AB233" s="3" t="s">
        <v>605</v>
      </c>
      <c r="AC233" s="3"/>
      <c r="AD233" s="3"/>
    </row>
    <row r="234" spans="1:30" x14ac:dyDescent="0.2">
      <c r="A234">
        <v>232</v>
      </c>
      <c r="B234" s="61" t="s">
        <v>518</v>
      </c>
      <c r="C234" s="69">
        <v>18</v>
      </c>
      <c r="D234" s="69">
        <v>0</v>
      </c>
      <c r="E234" s="69">
        <v>-120</v>
      </c>
      <c r="F234" s="69">
        <v>62</v>
      </c>
      <c r="G234" s="69">
        <v>0</v>
      </c>
      <c r="H234" s="69">
        <v>-13</v>
      </c>
      <c r="I234" s="69">
        <v>38.1</v>
      </c>
      <c r="J234" s="69">
        <v>0</v>
      </c>
      <c r="K234" s="69">
        <v>-120</v>
      </c>
      <c r="L234" s="69">
        <v>30</v>
      </c>
      <c r="M234" s="69">
        <v>18</v>
      </c>
      <c r="N234" s="69">
        <v>0</v>
      </c>
      <c r="O234" s="69" t="s">
        <v>90</v>
      </c>
      <c r="P234" s="69">
        <v>5</v>
      </c>
      <c r="Q234" s="69">
        <v>20</v>
      </c>
      <c r="R234" s="69">
        <v>64</v>
      </c>
      <c r="S234" s="69">
        <v>58</v>
      </c>
      <c r="T234" s="69">
        <v>64</v>
      </c>
      <c r="U234" s="69">
        <v>58</v>
      </c>
      <c r="V234" s="70" t="s">
        <v>366</v>
      </c>
      <c r="W234" s="69" t="s">
        <v>145</v>
      </c>
      <c r="X234" s="72">
        <v>0.33</v>
      </c>
      <c r="Y234" s="72">
        <v>0.22</v>
      </c>
      <c r="Z234" s="82">
        <v>44165</v>
      </c>
      <c r="AA234" s="72" t="s">
        <v>57</v>
      </c>
      <c r="AB234" s="3" t="s">
        <v>498</v>
      </c>
      <c r="AC234" s="3"/>
      <c r="AD234" s="3"/>
    </row>
    <row r="235" spans="1:30" x14ac:dyDescent="0.2">
      <c r="A235">
        <v>233</v>
      </c>
      <c r="B235" s="61" t="s">
        <v>519</v>
      </c>
      <c r="C235" s="69">
        <v>22</v>
      </c>
      <c r="D235" s="69">
        <v>0</v>
      </c>
      <c r="E235" s="69">
        <v>-120</v>
      </c>
      <c r="F235" s="69">
        <v>85</v>
      </c>
      <c r="G235" s="69">
        <v>0</v>
      </c>
      <c r="H235" s="69">
        <v>-15</v>
      </c>
      <c r="I235" s="69">
        <v>42.8</v>
      </c>
      <c r="J235" s="69">
        <v>0</v>
      </c>
      <c r="K235" s="69">
        <v>-120</v>
      </c>
      <c r="L235" s="69">
        <v>45</v>
      </c>
      <c r="M235" s="69">
        <v>21</v>
      </c>
      <c r="N235" s="69">
        <v>0</v>
      </c>
      <c r="O235" s="72" t="s">
        <v>90</v>
      </c>
      <c r="P235" s="69">
        <v>6</v>
      </c>
      <c r="Q235" s="69">
        <v>23</v>
      </c>
      <c r="R235" s="69">
        <v>64</v>
      </c>
      <c r="S235" s="69">
        <v>58</v>
      </c>
      <c r="T235" s="69">
        <v>64</v>
      </c>
      <c r="U235" s="69">
        <v>58</v>
      </c>
      <c r="V235" s="77" t="s">
        <v>417</v>
      </c>
      <c r="W235" s="72" t="s">
        <v>145</v>
      </c>
      <c r="X235" s="72" t="s">
        <v>418</v>
      </c>
      <c r="Y235" s="72" t="s">
        <v>419</v>
      </c>
      <c r="Z235" s="82">
        <v>44165</v>
      </c>
      <c r="AA235" s="72" t="s">
        <v>55</v>
      </c>
      <c r="AB235" s="3" t="s">
        <v>498</v>
      </c>
      <c r="AC235" s="3"/>
      <c r="AD235" s="3"/>
    </row>
    <row r="236" spans="1:30" x14ac:dyDescent="0.2">
      <c r="A236">
        <v>234</v>
      </c>
      <c r="B236" s="61" t="s">
        <v>520</v>
      </c>
      <c r="C236" s="69">
        <v>22</v>
      </c>
      <c r="D236" s="69">
        <v>0</v>
      </c>
      <c r="E236" s="69">
        <v>-120</v>
      </c>
      <c r="F236" s="69">
        <v>85</v>
      </c>
      <c r="G236" s="69">
        <v>0</v>
      </c>
      <c r="H236" s="69">
        <v>-15</v>
      </c>
      <c r="I236" s="69">
        <v>49.2</v>
      </c>
      <c r="J236" s="69">
        <v>0</v>
      </c>
      <c r="K236" s="69">
        <v>-120</v>
      </c>
      <c r="L236" s="69">
        <v>45</v>
      </c>
      <c r="M236" s="69">
        <v>21</v>
      </c>
      <c r="N236" s="69">
        <v>0</v>
      </c>
      <c r="O236" s="69" t="s">
        <v>90</v>
      </c>
      <c r="P236" s="69">
        <v>6</v>
      </c>
      <c r="Q236" s="69">
        <v>23</v>
      </c>
      <c r="R236" s="69">
        <v>64</v>
      </c>
      <c r="S236" s="69">
        <v>58</v>
      </c>
      <c r="T236" s="69">
        <v>64</v>
      </c>
      <c r="U236" s="69">
        <v>58</v>
      </c>
      <c r="V236" s="69" t="s">
        <v>459</v>
      </c>
      <c r="W236" s="69" t="s">
        <v>145</v>
      </c>
      <c r="X236" s="69" t="s">
        <v>460</v>
      </c>
      <c r="Y236" s="69" t="s">
        <v>336</v>
      </c>
      <c r="Z236" s="82">
        <v>44165</v>
      </c>
      <c r="AA236" s="72" t="s">
        <v>57</v>
      </c>
      <c r="AB236" s="3" t="s">
        <v>498</v>
      </c>
      <c r="AC236" s="3"/>
      <c r="AD236" s="3"/>
    </row>
    <row r="237" spans="1:30" x14ac:dyDescent="0.2">
      <c r="A237">
        <v>235</v>
      </c>
      <c r="B237" s="60" t="s">
        <v>521</v>
      </c>
      <c r="C237" s="69">
        <v>18</v>
      </c>
      <c r="D237" s="69">
        <v>0</v>
      </c>
      <c r="E237" s="69">
        <v>-120</v>
      </c>
      <c r="F237" s="69">
        <v>62</v>
      </c>
      <c r="G237" s="69">
        <v>0</v>
      </c>
      <c r="H237" s="69">
        <v>-13</v>
      </c>
      <c r="I237" s="69">
        <v>36.4</v>
      </c>
      <c r="J237" s="69">
        <v>0</v>
      </c>
      <c r="K237" s="69">
        <v>-120</v>
      </c>
      <c r="L237" s="69">
        <v>30</v>
      </c>
      <c r="M237" s="69">
        <v>18</v>
      </c>
      <c r="N237" s="69">
        <v>0</v>
      </c>
      <c r="O237" s="69" t="s">
        <v>90</v>
      </c>
      <c r="P237" s="69">
        <v>5</v>
      </c>
      <c r="Q237" s="69">
        <v>20</v>
      </c>
      <c r="R237" s="69">
        <v>64</v>
      </c>
      <c r="S237" s="69">
        <v>58</v>
      </c>
      <c r="T237" s="69">
        <v>64</v>
      </c>
      <c r="U237" s="69">
        <v>58</v>
      </c>
      <c r="V237" s="70" t="s">
        <v>366</v>
      </c>
      <c r="W237" s="69" t="s">
        <v>145</v>
      </c>
      <c r="X237" s="72">
        <v>0.33</v>
      </c>
      <c r="Y237" s="72">
        <v>0.22</v>
      </c>
      <c r="Z237" s="82">
        <v>44165</v>
      </c>
      <c r="AA237" s="72" t="s">
        <v>57</v>
      </c>
      <c r="AB237" s="98" t="s">
        <v>498</v>
      </c>
      <c r="AC237" s="3"/>
      <c r="AD237" s="3"/>
    </row>
    <row r="238" spans="1:30" x14ac:dyDescent="0.2">
      <c r="A238">
        <v>236</v>
      </c>
      <c r="B238" s="60" t="s">
        <v>522</v>
      </c>
      <c r="C238" s="69">
        <v>25</v>
      </c>
      <c r="D238" s="69">
        <v>0</v>
      </c>
      <c r="E238" s="69">
        <v>-120</v>
      </c>
      <c r="F238" s="69">
        <v>100</v>
      </c>
      <c r="G238" s="69">
        <v>0</v>
      </c>
      <c r="H238" s="69">
        <v>-15</v>
      </c>
      <c r="I238" s="69">
        <v>55.6</v>
      </c>
      <c r="J238" s="69">
        <v>0</v>
      </c>
      <c r="K238" s="69">
        <v>-120</v>
      </c>
      <c r="L238" s="69">
        <v>50.8</v>
      </c>
      <c r="M238" s="69">
        <v>21</v>
      </c>
      <c r="N238" s="69">
        <v>0</v>
      </c>
      <c r="O238" s="72" t="s">
        <v>90</v>
      </c>
      <c r="P238" s="69">
        <v>8</v>
      </c>
      <c r="Q238" s="69">
        <v>28</v>
      </c>
      <c r="R238" s="69">
        <v>64</v>
      </c>
      <c r="S238" s="69">
        <v>58</v>
      </c>
      <c r="T238" s="69">
        <v>64</v>
      </c>
      <c r="U238" s="69">
        <v>58</v>
      </c>
      <c r="V238" s="72" t="s">
        <v>508</v>
      </c>
      <c r="W238" s="72" t="s">
        <v>145</v>
      </c>
      <c r="X238" s="72" t="s">
        <v>509</v>
      </c>
      <c r="Y238" s="72" t="s">
        <v>510</v>
      </c>
      <c r="Z238" s="82">
        <v>44089</v>
      </c>
      <c r="AA238" s="72">
        <v>0</v>
      </c>
      <c r="AB238" s="3" t="s">
        <v>498</v>
      </c>
      <c r="AC238" s="3"/>
      <c r="AD238" s="3"/>
    </row>
    <row r="239" spans="1:30" ht="15" x14ac:dyDescent="0.25">
      <c r="A239">
        <v>237</v>
      </c>
      <c r="B239" s="99" t="s">
        <v>523</v>
      </c>
      <c r="C239" s="74">
        <v>19</v>
      </c>
      <c r="D239" s="74">
        <v>0</v>
      </c>
      <c r="E239" s="74">
        <v>-120</v>
      </c>
      <c r="F239" s="74">
        <v>72</v>
      </c>
      <c r="G239" s="74">
        <v>0</v>
      </c>
      <c r="H239" s="74">
        <v>-15</v>
      </c>
      <c r="I239" s="74">
        <v>32</v>
      </c>
      <c r="J239" s="74">
        <v>0</v>
      </c>
      <c r="K239" s="74">
        <v>-120</v>
      </c>
      <c r="L239" s="74">
        <v>35</v>
      </c>
      <c r="M239" s="74">
        <v>20</v>
      </c>
      <c r="N239" s="74">
        <v>0</v>
      </c>
      <c r="O239" s="85" t="s">
        <v>90</v>
      </c>
      <c r="P239" s="74">
        <v>6</v>
      </c>
      <c r="Q239" s="74">
        <v>20</v>
      </c>
      <c r="R239" s="74">
        <v>64</v>
      </c>
      <c r="S239" s="74">
        <v>58</v>
      </c>
      <c r="T239" s="74">
        <v>64</v>
      </c>
      <c r="U239" s="74">
        <v>58</v>
      </c>
      <c r="V239" s="85" t="s">
        <v>333</v>
      </c>
      <c r="W239" s="85" t="s">
        <v>145</v>
      </c>
      <c r="X239" s="85" t="s">
        <v>385</v>
      </c>
      <c r="Y239" s="85" t="s">
        <v>386</v>
      </c>
      <c r="Z239" s="82">
        <v>44165</v>
      </c>
      <c r="AA239" s="72" t="s">
        <v>264</v>
      </c>
      <c r="AB239" s="100" t="s">
        <v>498</v>
      </c>
      <c r="AC239" s="3"/>
      <c r="AD239" s="3"/>
    </row>
    <row r="240" spans="1:30" x14ac:dyDescent="0.2">
      <c r="A240">
        <v>238</v>
      </c>
      <c r="B240" s="61" t="s">
        <v>356</v>
      </c>
      <c r="C240" s="69">
        <v>15</v>
      </c>
      <c r="D240" s="69">
        <v>0</v>
      </c>
      <c r="E240" s="69">
        <v>-120</v>
      </c>
      <c r="F240" s="69">
        <v>52</v>
      </c>
      <c r="G240" s="69">
        <v>0</v>
      </c>
      <c r="H240" s="69">
        <v>-13</v>
      </c>
      <c r="I240" s="69">
        <v>34.799999999999997</v>
      </c>
      <c r="J240" s="69">
        <v>0</v>
      </c>
      <c r="K240" s="69">
        <v>-120</v>
      </c>
      <c r="L240" s="69">
        <v>25</v>
      </c>
      <c r="M240" s="69">
        <v>18</v>
      </c>
      <c r="N240" s="69">
        <v>0</v>
      </c>
      <c r="O240" s="69" t="s">
        <v>90</v>
      </c>
      <c r="P240" s="69">
        <v>5</v>
      </c>
      <c r="Q240" s="69">
        <v>20</v>
      </c>
      <c r="R240" s="69">
        <v>64</v>
      </c>
      <c r="S240" s="69">
        <v>58</v>
      </c>
      <c r="T240" s="69">
        <v>64</v>
      </c>
      <c r="U240" s="69">
        <v>58</v>
      </c>
      <c r="V240" s="70" t="s">
        <v>357</v>
      </c>
      <c r="W240" s="69" t="s">
        <v>145</v>
      </c>
      <c r="X240" s="72">
        <v>0.23</v>
      </c>
      <c r="Y240" s="72">
        <v>0.157</v>
      </c>
      <c r="Z240" s="82">
        <v>44165</v>
      </c>
      <c r="AA240" s="72" t="s">
        <v>57</v>
      </c>
      <c r="AB240" s="96" t="s">
        <v>498</v>
      </c>
      <c r="AC240" s="3"/>
      <c r="AD240" s="3"/>
    </row>
    <row r="241" spans="1:30" x14ac:dyDescent="0.2">
      <c r="A241">
        <v>239</v>
      </c>
      <c r="B241" s="61" t="s">
        <v>524</v>
      </c>
      <c r="C241" s="69">
        <v>15</v>
      </c>
      <c r="D241" s="69">
        <v>0</v>
      </c>
      <c r="E241" s="69">
        <v>-120</v>
      </c>
      <c r="F241" s="69">
        <v>52</v>
      </c>
      <c r="G241" s="69">
        <v>0</v>
      </c>
      <c r="H241" s="69">
        <v>-13</v>
      </c>
      <c r="I241" s="69">
        <v>34.799999999999997</v>
      </c>
      <c r="J241" s="69">
        <v>0</v>
      </c>
      <c r="K241" s="69">
        <v>-120</v>
      </c>
      <c r="L241" s="69">
        <v>25</v>
      </c>
      <c r="M241" s="69">
        <v>18</v>
      </c>
      <c r="N241" s="69">
        <v>0</v>
      </c>
      <c r="O241" s="69" t="s">
        <v>90</v>
      </c>
      <c r="P241" s="69">
        <v>5</v>
      </c>
      <c r="Q241" s="69">
        <v>20</v>
      </c>
      <c r="R241" s="69">
        <v>64</v>
      </c>
      <c r="S241" s="69">
        <v>58</v>
      </c>
      <c r="T241" s="69">
        <v>64</v>
      </c>
      <c r="U241" s="69">
        <v>58</v>
      </c>
      <c r="V241" s="70" t="s">
        <v>357</v>
      </c>
      <c r="W241" s="69" t="s">
        <v>145</v>
      </c>
      <c r="X241" s="72">
        <v>0.23</v>
      </c>
      <c r="Y241" s="72">
        <v>0.157</v>
      </c>
      <c r="Z241" s="82">
        <v>44165</v>
      </c>
      <c r="AA241" s="72" t="s">
        <v>57</v>
      </c>
      <c r="AB241" s="96" t="s">
        <v>498</v>
      </c>
      <c r="AC241" s="3"/>
      <c r="AD241" s="3"/>
    </row>
    <row r="242" spans="1:30" x14ac:dyDescent="0.2">
      <c r="A242">
        <v>240</v>
      </c>
      <c r="B242" s="61" t="s">
        <v>527</v>
      </c>
      <c r="C242" s="69">
        <v>27</v>
      </c>
      <c r="D242" s="69">
        <v>0</v>
      </c>
      <c r="E242" s="69">
        <v>-150</v>
      </c>
      <c r="F242" s="69">
        <v>110</v>
      </c>
      <c r="G242" s="69">
        <v>0</v>
      </c>
      <c r="H242" s="69">
        <v>-15</v>
      </c>
      <c r="I242" s="69">
        <v>65.099999999999994</v>
      </c>
      <c r="J242" s="69">
        <v>0</v>
      </c>
      <c r="K242" s="69">
        <v>-150</v>
      </c>
      <c r="L242" s="69">
        <v>60</v>
      </c>
      <c r="M242" s="69">
        <v>24</v>
      </c>
      <c r="N242" s="69">
        <v>0</v>
      </c>
      <c r="O242" s="69" t="s">
        <v>90</v>
      </c>
      <c r="P242" s="69">
        <v>8</v>
      </c>
      <c r="Q242" s="69">
        <v>28</v>
      </c>
      <c r="R242" s="69">
        <v>64</v>
      </c>
      <c r="S242" s="69">
        <v>58</v>
      </c>
      <c r="T242" s="69">
        <v>64</v>
      </c>
      <c r="U242" s="69">
        <v>58</v>
      </c>
      <c r="V242" s="70" t="s">
        <v>289</v>
      </c>
      <c r="W242" s="69" t="s">
        <v>145</v>
      </c>
      <c r="X242" s="72" t="s">
        <v>290</v>
      </c>
      <c r="Y242" s="72" t="s">
        <v>291</v>
      </c>
      <c r="Z242" s="82">
        <v>44165</v>
      </c>
      <c r="AA242" s="72" t="s">
        <v>57</v>
      </c>
      <c r="AB242" s="96" t="s">
        <v>498</v>
      </c>
      <c r="AC242" s="3"/>
      <c r="AD242" s="3"/>
    </row>
    <row r="243" spans="1:30" x14ac:dyDescent="0.2">
      <c r="A243">
        <v>241</v>
      </c>
      <c r="B243" s="61" t="s">
        <v>528</v>
      </c>
      <c r="C243" s="74">
        <v>22</v>
      </c>
      <c r="D243" s="74">
        <v>0</v>
      </c>
      <c r="E243" s="74">
        <v>-120</v>
      </c>
      <c r="F243" s="74">
        <v>90</v>
      </c>
      <c r="G243" s="74">
        <v>0</v>
      </c>
      <c r="H243" s="74">
        <v>-15</v>
      </c>
      <c r="I243" s="74">
        <v>49.2</v>
      </c>
      <c r="J243" s="74">
        <v>0</v>
      </c>
      <c r="K243" s="74">
        <v>-120</v>
      </c>
      <c r="L243" s="74">
        <v>49.213000000000001</v>
      </c>
      <c r="M243" s="74">
        <v>21</v>
      </c>
      <c r="N243" s="74">
        <v>0</v>
      </c>
      <c r="O243" s="74" t="s">
        <v>90</v>
      </c>
      <c r="P243" s="74">
        <v>6</v>
      </c>
      <c r="Q243" s="74">
        <v>23</v>
      </c>
      <c r="R243" s="74">
        <v>64</v>
      </c>
      <c r="S243" s="74">
        <v>58</v>
      </c>
      <c r="T243" s="74">
        <v>64</v>
      </c>
      <c r="U243" s="74">
        <v>58</v>
      </c>
      <c r="V243" s="74" t="s">
        <v>530</v>
      </c>
      <c r="W243" s="74" t="s">
        <v>145</v>
      </c>
      <c r="X243" s="74" t="s">
        <v>531</v>
      </c>
      <c r="Y243" s="74" t="s">
        <v>532</v>
      </c>
      <c r="Z243" s="82">
        <v>44512</v>
      </c>
      <c r="AA243" s="72" t="s">
        <v>264</v>
      </c>
      <c r="AB243" s="3" t="s">
        <v>498</v>
      </c>
      <c r="AC243" s="3"/>
      <c r="AD243" s="3"/>
    </row>
    <row r="244" spans="1:30" x14ac:dyDescent="0.2">
      <c r="A244">
        <v>242</v>
      </c>
      <c r="B244" s="61" t="s">
        <v>529</v>
      </c>
      <c r="C244" s="74">
        <v>22</v>
      </c>
      <c r="D244" s="74">
        <v>0</v>
      </c>
      <c r="E244" s="74">
        <v>-120</v>
      </c>
      <c r="F244" s="74">
        <v>90</v>
      </c>
      <c r="G244" s="74">
        <v>0</v>
      </c>
      <c r="H244" s="74">
        <v>-15</v>
      </c>
      <c r="I244" s="74">
        <v>49.2</v>
      </c>
      <c r="J244" s="74">
        <v>0</v>
      </c>
      <c r="K244" s="74">
        <v>-120</v>
      </c>
      <c r="L244" s="74">
        <v>49.213000000000001</v>
      </c>
      <c r="M244" s="74">
        <v>21</v>
      </c>
      <c r="N244" s="74">
        <v>0</v>
      </c>
      <c r="O244" s="74" t="s">
        <v>90</v>
      </c>
      <c r="P244" s="74">
        <v>6</v>
      </c>
      <c r="Q244" s="74">
        <v>23</v>
      </c>
      <c r="R244" s="74">
        <v>64</v>
      </c>
      <c r="S244" s="74">
        <v>58</v>
      </c>
      <c r="T244" s="74">
        <v>64</v>
      </c>
      <c r="U244" s="74">
        <v>58</v>
      </c>
      <c r="V244" s="74" t="s">
        <v>530</v>
      </c>
      <c r="W244" s="74" t="s">
        <v>145</v>
      </c>
      <c r="X244" s="74" t="s">
        <v>531</v>
      </c>
      <c r="Y244" s="74" t="s">
        <v>532</v>
      </c>
      <c r="Z244" s="82">
        <v>44512</v>
      </c>
      <c r="AA244" s="72" t="s">
        <v>264</v>
      </c>
      <c r="AB244" s="3" t="s">
        <v>498</v>
      </c>
      <c r="AC244" s="3"/>
      <c r="AD244" s="3"/>
    </row>
    <row r="245" spans="1:30" x14ac:dyDescent="0.2">
      <c r="A245">
        <v>243</v>
      </c>
      <c r="B245" s="61" t="s">
        <v>533</v>
      </c>
      <c r="C245" s="74">
        <v>19</v>
      </c>
      <c r="D245" s="74">
        <v>0</v>
      </c>
      <c r="E245" s="74">
        <v>-120</v>
      </c>
      <c r="F245" s="74">
        <v>72</v>
      </c>
      <c r="G245" s="74">
        <v>0</v>
      </c>
      <c r="H245" s="74">
        <v>-13</v>
      </c>
      <c r="I245" s="74">
        <v>37.6</v>
      </c>
      <c r="J245" s="74">
        <v>0</v>
      </c>
      <c r="K245" s="74">
        <v>-120</v>
      </c>
      <c r="L245" s="74">
        <v>31.75</v>
      </c>
      <c r="M245" s="74">
        <v>18</v>
      </c>
      <c r="N245" s="74">
        <v>0</v>
      </c>
      <c r="O245" s="74" t="s">
        <v>90</v>
      </c>
      <c r="P245" s="74">
        <v>6</v>
      </c>
      <c r="Q245" s="74">
        <v>20</v>
      </c>
      <c r="R245" s="74">
        <v>64</v>
      </c>
      <c r="S245" s="74">
        <v>58</v>
      </c>
      <c r="T245" s="74">
        <v>64</v>
      </c>
      <c r="U245" s="74">
        <v>58</v>
      </c>
      <c r="V245" s="74" t="s">
        <v>538</v>
      </c>
      <c r="W245" s="74" t="s">
        <v>145</v>
      </c>
      <c r="X245" s="74" t="s">
        <v>539</v>
      </c>
      <c r="Y245" s="74" t="s">
        <v>386</v>
      </c>
      <c r="Z245" s="82">
        <v>44348</v>
      </c>
      <c r="AA245" s="72" t="s">
        <v>264</v>
      </c>
      <c r="AB245" s="3"/>
      <c r="AC245" s="3"/>
      <c r="AD245" s="3"/>
    </row>
    <row r="246" spans="1:30" x14ac:dyDescent="0.2">
      <c r="A246">
        <v>244</v>
      </c>
      <c r="B246" s="61" t="s">
        <v>534</v>
      </c>
      <c r="C246" s="74">
        <v>19</v>
      </c>
      <c r="D246" s="74">
        <v>0</v>
      </c>
      <c r="E246" s="74">
        <v>-120</v>
      </c>
      <c r="F246" s="74">
        <v>72</v>
      </c>
      <c r="G246" s="74">
        <v>0</v>
      </c>
      <c r="H246" s="74">
        <v>-13</v>
      </c>
      <c r="I246" s="74">
        <v>37.6</v>
      </c>
      <c r="J246" s="74">
        <v>0</v>
      </c>
      <c r="K246" s="74">
        <v>-120</v>
      </c>
      <c r="L246" s="74">
        <v>34.93</v>
      </c>
      <c r="M246" s="74">
        <v>21</v>
      </c>
      <c r="N246" s="74">
        <v>0</v>
      </c>
      <c r="O246" s="74" t="s">
        <v>90</v>
      </c>
      <c r="P246" s="74">
        <v>6</v>
      </c>
      <c r="Q246" s="74">
        <v>20</v>
      </c>
      <c r="R246" s="74">
        <v>64</v>
      </c>
      <c r="S246" s="74">
        <v>58</v>
      </c>
      <c r="T246" s="74">
        <v>64</v>
      </c>
      <c r="U246" s="74">
        <v>58</v>
      </c>
      <c r="V246" s="74" t="s">
        <v>538</v>
      </c>
      <c r="W246" s="74" t="s">
        <v>145</v>
      </c>
      <c r="X246" s="74" t="s">
        <v>539</v>
      </c>
      <c r="Y246" s="74" t="s">
        <v>386</v>
      </c>
      <c r="Z246" s="82">
        <v>44713</v>
      </c>
      <c r="AA246" s="72" t="s">
        <v>264</v>
      </c>
      <c r="AB246" s="3"/>
      <c r="AC246" s="3"/>
      <c r="AD246" s="3"/>
    </row>
    <row r="247" spans="1:30" x14ac:dyDescent="0.2">
      <c r="A247">
        <v>245</v>
      </c>
      <c r="B247" s="61" t="s">
        <v>535</v>
      </c>
      <c r="C247" s="74">
        <v>22</v>
      </c>
      <c r="D247" s="74">
        <v>0</v>
      </c>
      <c r="E247" s="74">
        <v>-120</v>
      </c>
      <c r="F247" s="74">
        <v>85</v>
      </c>
      <c r="G247" s="74">
        <v>0</v>
      </c>
      <c r="H247" s="74">
        <v>-15</v>
      </c>
      <c r="I247" s="74">
        <v>42.8</v>
      </c>
      <c r="J247" s="74">
        <v>0</v>
      </c>
      <c r="K247" s="74">
        <v>120</v>
      </c>
      <c r="L247" s="74">
        <v>44.5</v>
      </c>
      <c r="M247" s="74">
        <v>21</v>
      </c>
      <c r="N247" s="81">
        <v>0</v>
      </c>
      <c r="O247" s="81" t="s">
        <v>90</v>
      </c>
      <c r="P247" s="81">
        <v>6</v>
      </c>
      <c r="Q247" s="81">
        <v>23</v>
      </c>
      <c r="R247" s="81">
        <v>64</v>
      </c>
      <c r="S247" s="81">
        <v>58</v>
      </c>
      <c r="T247" s="81">
        <v>64</v>
      </c>
      <c r="U247" s="81">
        <v>58</v>
      </c>
      <c r="V247" s="81" t="s">
        <v>543</v>
      </c>
      <c r="W247" s="74" t="s">
        <v>145</v>
      </c>
      <c r="X247" s="74" t="s">
        <v>544</v>
      </c>
      <c r="Y247" s="74" t="s">
        <v>364</v>
      </c>
      <c r="Z247" s="82">
        <v>44348</v>
      </c>
      <c r="AA247" s="72" t="s">
        <v>264</v>
      </c>
      <c r="AB247" s="3"/>
      <c r="AC247" s="3"/>
      <c r="AD247" s="3"/>
    </row>
    <row r="248" spans="1:30" x14ac:dyDescent="0.2">
      <c r="A248">
        <v>246</v>
      </c>
      <c r="B248" s="61" t="s">
        <v>536</v>
      </c>
      <c r="C248" s="74">
        <v>15</v>
      </c>
      <c r="D248" s="74">
        <v>0</v>
      </c>
      <c r="E248" s="74">
        <v>-120</v>
      </c>
      <c r="F248" s="74">
        <v>52</v>
      </c>
      <c r="G248" s="74">
        <v>0</v>
      </c>
      <c r="H248" s="74">
        <v>-13</v>
      </c>
      <c r="I248" s="74">
        <v>34</v>
      </c>
      <c r="J248" s="74">
        <v>0</v>
      </c>
      <c r="K248" s="74">
        <v>-120</v>
      </c>
      <c r="L248" s="74">
        <v>25.4</v>
      </c>
      <c r="M248" s="74">
        <v>18</v>
      </c>
      <c r="N248" s="74">
        <v>0</v>
      </c>
      <c r="O248" s="81" t="s">
        <v>85</v>
      </c>
      <c r="P248" s="81">
        <v>13</v>
      </c>
      <c r="Q248" s="81">
        <v>28</v>
      </c>
      <c r="R248" s="81">
        <v>64</v>
      </c>
      <c r="S248" s="81">
        <v>58</v>
      </c>
      <c r="T248" s="81">
        <v>64</v>
      </c>
      <c r="U248" s="81">
        <v>58</v>
      </c>
      <c r="V248" s="81" t="s">
        <v>540</v>
      </c>
      <c r="W248" s="81" t="s">
        <v>145</v>
      </c>
      <c r="X248" s="81" t="s">
        <v>541</v>
      </c>
      <c r="Y248" s="81" t="s">
        <v>542</v>
      </c>
      <c r="Z248" s="82">
        <v>44348</v>
      </c>
      <c r="AA248" s="72" t="s">
        <v>264</v>
      </c>
      <c r="AB248" s="3"/>
      <c r="AC248" s="3"/>
      <c r="AD248" s="3"/>
    </row>
    <row r="249" spans="1:30" x14ac:dyDescent="0.2">
      <c r="A249">
        <v>247</v>
      </c>
      <c r="B249" s="61" t="s">
        <v>537</v>
      </c>
      <c r="C249" s="74">
        <v>22</v>
      </c>
      <c r="D249" s="74">
        <v>0</v>
      </c>
      <c r="E249" s="74">
        <v>-120</v>
      </c>
      <c r="F249" s="74">
        <v>80</v>
      </c>
      <c r="G249" s="74">
        <v>0</v>
      </c>
      <c r="H249" s="74">
        <v>-13</v>
      </c>
      <c r="I249" s="74">
        <v>30.18</v>
      </c>
      <c r="J249" s="74">
        <v>0</v>
      </c>
      <c r="K249" s="74">
        <v>-120</v>
      </c>
      <c r="L249" s="74">
        <v>38.1</v>
      </c>
      <c r="M249" s="74">
        <v>21</v>
      </c>
      <c r="N249" s="74">
        <v>0</v>
      </c>
      <c r="O249" s="74" t="s">
        <v>90</v>
      </c>
      <c r="P249" s="74">
        <v>6</v>
      </c>
      <c r="Q249" s="74">
        <v>20</v>
      </c>
      <c r="R249" s="74">
        <v>64</v>
      </c>
      <c r="S249" s="74">
        <v>58</v>
      </c>
      <c r="T249" s="74">
        <v>64</v>
      </c>
      <c r="U249" s="74">
        <v>58</v>
      </c>
      <c r="V249" s="74" t="s">
        <v>545</v>
      </c>
      <c r="W249" s="74" t="s">
        <v>145</v>
      </c>
      <c r="X249" s="74" t="s">
        <v>480</v>
      </c>
      <c r="Y249" s="74" t="s">
        <v>481</v>
      </c>
      <c r="Z249" s="82">
        <v>44165</v>
      </c>
      <c r="AA249" s="72" t="s">
        <v>57</v>
      </c>
      <c r="AB249" s="3"/>
      <c r="AC249" s="3"/>
      <c r="AD249" s="3"/>
    </row>
    <row r="250" spans="1:30" x14ac:dyDescent="0.2">
      <c r="A250">
        <v>248</v>
      </c>
      <c r="B250" s="61" t="s">
        <v>546</v>
      </c>
      <c r="C250" s="74">
        <v>15</v>
      </c>
      <c r="D250" s="74">
        <v>0</v>
      </c>
      <c r="E250" s="74">
        <v>-120</v>
      </c>
      <c r="F250" s="74">
        <v>52</v>
      </c>
      <c r="G250" s="74">
        <v>0</v>
      </c>
      <c r="H250" s="74">
        <v>-13</v>
      </c>
      <c r="I250" s="74">
        <v>34.799999999999997</v>
      </c>
      <c r="J250" s="74">
        <v>0</v>
      </c>
      <c r="K250" s="74">
        <v>-120</v>
      </c>
      <c r="L250" s="74">
        <v>25.4</v>
      </c>
      <c r="M250" s="74">
        <v>18</v>
      </c>
      <c r="N250" s="74">
        <v>0</v>
      </c>
      <c r="O250" s="74" t="s">
        <v>85</v>
      </c>
      <c r="P250" s="74">
        <v>13</v>
      </c>
      <c r="Q250" s="74">
        <v>28</v>
      </c>
      <c r="R250" s="74">
        <v>64</v>
      </c>
      <c r="S250" s="74">
        <v>58</v>
      </c>
      <c r="T250" s="74">
        <v>64</v>
      </c>
      <c r="U250" s="74">
        <v>58</v>
      </c>
      <c r="V250" s="74" t="s">
        <v>547</v>
      </c>
      <c r="W250" s="74" t="s">
        <v>145</v>
      </c>
      <c r="X250" s="74" t="s">
        <v>541</v>
      </c>
      <c r="Y250" s="74" t="s">
        <v>542</v>
      </c>
      <c r="Z250" s="82">
        <v>44385</v>
      </c>
      <c r="AA250" s="72" t="s">
        <v>55</v>
      </c>
      <c r="AB250" s="3" t="s">
        <v>498</v>
      </c>
      <c r="AC250" s="3"/>
      <c r="AD250" s="3"/>
    </row>
    <row r="251" spans="1:30" x14ac:dyDescent="0.2">
      <c r="A251">
        <v>249</v>
      </c>
      <c r="B251" s="61" t="s">
        <v>548</v>
      </c>
      <c r="C251" s="74">
        <v>22</v>
      </c>
      <c r="D251" s="74">
        <v>0</v>
      </c>
      <c r="E251" s="74">
        <v>-120</v>
      </c>
      <c r="F251" s="74">
        <v>80</v>
      </c>
      <c r="G251" s="74">
        <v>0</v>
      </c>
      <c r="H251" s="74">
        <v>-13</v>
      </c>
      <c r="I251" s="74">
        <v>30.18</v>
      </c>
      <c r="J251" s="74">
        <v>0</v>
      </c>
      <c r="K251" s="74">
        <v>-120</v>
      </c>
      <c r="L251" s="74">
        <v>38.1</v>
      </c>
      <c r="M251" s="74">
        <v>21</v>
      </c>
      <c r="N251" s="74">
        <v>0</v>
      </c>
      <c r="O251" s="74" t="s">
        <v>85</v>
      </c>
      <c r="P251" s="74">
        <v>15</v>
      </c>
      <c r="Q251" s="74">
        <v>33</v>
      </c>
      <c r="R251" s="74">
        <v>64</v>
      </c>
      <c r="S251" s="74">
        <v>58</v>
      </c>
      <c r="T251" s="74">
        <v>64</v>
      </c>
      <c r="U251" s="74">
        <v>58</v>
      </c>
      <c r="V251" s="74" t="s">
        <v>545</v>
      </c>
      <c r="W251" s="74" t="s">
        <v>145</v>
      </c>
      <c r="X251" s="74" t="s">
        <v>480</v>
      </c>
      <c r="Y251" s="74" t="s">
        <v>481</v>
      </c>
      <c r="Z251" s="82">
        <v>44214</v>
      </c>
      <c r="AA251" s="72" t="s">
        <v>264</v>
      </c>
      <c r="AB251" s="3"/>
      <c r="AC251" s="3"/>
      <c r="AD251" s="3"/>
    </row>
    <row r="252" spans="1:30" x14ac:dyDescent="0.2">
      <c r="A252">
        <v>250</v>
      </c>
      <c r="B252" s="61" t="s">
        <v>549</v>
      </c>
      <c r="C252" s="74">
        <v>19</v>
      </c>
      <c r="D252" s="74">
        <v>0</v>
      </c>
      <c r="E252" s="74">
        <v>-120</v>
      </c>
      <c r="F252" s="74">
        <v>72</v>
      </c>
      <c r="G252" s="74">
        <v>0</v>
      </c>
      <c r="H252" s="74">
        <v>-13</v>
      </c>
      <c r="I252" s="74">
        <v>37.6</v>
      </c>
      <c r="J252" s="74">
        <v>0</v>
      </c>
      <c r="K252" s="74">
        <v>-120</v>
      </c>
      <c r="L252" s="74">
        <v>31.75</v>
      </c>
      <c r="M252" s="74">
        <v>21</v>
      </c>
      <c r="N252" s="74">
        <v>0</v>
      </c>
      <c r="O252" s="74" t="s">
        <v>85</v>
      </c>
      <c r="P252" s="74">
        <v>15</v>
      </c>
      <c r="Q252" s="74">
        <v>33</v>
      </c>
      <c r="R252" s="74">
        <v>64</v>
      </c>
      <c r="S252" s="74">
        <v>58</v>
      </c>
      <c r="T252" s="74">
        <v>64</v>
      </c>
      <c r="U252" s="74">
        <v>58</v>
      </c>
      <c r="V252" s="74" t="s">
        <v>538</v>
      </c>
      <c r="W252" s="74" t="s">
        <v>145</v>
      </c>
      <c r="X252" s="74" t="s">
        <v>539</v>
      </c>
      <c r="Y252" s="74" t="s">
        <v>386</v>
      </c>
      <c r="Z252" s="82">
        <v>44224</v>
      </c>
      <c r="AA252" s="72" t="s">
        <v>55</v>
      </c>
      <c r="AB252" s="3" t="s">
        <v>498</v>
      </c>
      <c r="AC252" s="3"/>
      <c r="AD252" s="3"/>
    </row>
    <row r="253" spans="1:30" x14ac:dyDescent="0.2">
      <c r="A253">
        <v>251</v>
      </c>
      <c r="B253" s="61" t="s">
        <v>550</v>
      </c>
      <c r="C253" s="74">
        <v>19</v>
      </c>
      <c r="D253" s="74">
        <v>0</v>
      </c>
      <c r="E253" s="74">
        <v>-120</v>
      </c>
      <c r="F253" s="74">
        <v>72</v>
      </c>
      <c r="G253" s="74">
        <v>0</v>
      </c>
      <c r="H253" s="74">
        <v>-13</v>
      </c>
      <c r="I253" s="74">
        <v>37.6</v>
      </c>
      <c r="J253" s="74">
        <v>0</v>
      </c>
      <c r="K253" s="74">
        <v>-120</v>
      </c>
      <c r="L253" s="74">
        <v>34.93</v>
      </c>
      <c r="M253" s="74">
        <v>21</v>
      </c>
      <c r="N253" s="74">
        <v>0</v>
      </c>
      <c r="O253" s="74" t="s">
        <v>85</v>
      </c>
      <c r="P253" s="74">
        <v>15</v>
      </c>
      <c r="Q253" s="74">
        <v>33</v>
      </c>
      <c r="R253" s="74">
        <v>64</v>
      </c>
      <c r="S253" s="74">
        <v>58</v>
      </c>
      <c r="T253" s="74">
        <v>64</v>
      </c>
      <c r="U253" s="74">
        <v>58</v>
      </c>
      <c r="V253" s="74" t="s">
        <v>538</v>
      </c>
      <c r="W253" s="74" t="s">
        <v>145</v>
      </c>
      <c r="X253" s="74" t="s">
        <v>539</v>
      </c>
      <c r="Y253" s="74" t="s">
        <v>386</v>
      </c>
      <c r="Z253" s="82">
        <v>44224</v>
      </c>
      <c r="AA253" s="72" t="s">
        <v>55</v>
      </c>
      <c r="AB253" s="3" t="s">
        <v>498</v>
      </c>
      <c r="AC253" s="3"/>
      <c r="AD253" s="3"/>
    </row>
    <row r="254" spans="1:30" x14ac:dyDescent="0.2">
      <c r="A254">
        <v>252</v>
      </c>
      <c r="B254" s="61" t="s">
        <v>551</v>
      </c>
      <c r="C254" s="74">
        <v>25</v>
      </c>
      <c r="D254" s="74">
        <v>0</v>
      </c>
      <c r="E254" s="74">
        <v>-120</v>
      </c>
      <c r="F254" s="74">
        <v>100</v>
      </c>
      <c r="G254" s="74">
        <v>0</v>
      </c>
      <c r="H254" s="74">
        <v>-15</v>
      </c>
      <c r="I254" s="74">
        <v>55.4</v>
      </c>
      <c r="J254" s="74">
        <v>0</v>
      </c>
      <c r="K254" s="74">
        <v>-120</v>
      </c>
      <c r="L254" s="74">
        <v>50.8</v>
      </c>
      <c r="M254" s="74">
        <v>21</v>
      </c>
      <c r="N254" s="74">
        <v>0</v>
      </c>
      <c r="O254" s="74" t="s">
        <v>90</v>
      </c>
      <c r="P254" s="74">
        <v>8</v>
      </c>
      <c r="Q254" s="74">
        <v>28</v>
      </c>
      <c r="R254" s="74">
        <v>64</v>
      </c>
      <c r="S254" s="74">
        <v>58</v>
      </c>
      <c r="T254" s="74">
        <v>64</v>
      </c>
      <c r="U254" s="74">
        <v>58</v>
      </c>
      <c r="V254" s="74" t="s">
        <v>552</v>
      </c>
      <c r="W254" s="74" t="s">
        <v>145</v>
      </c>
      <c r="X254" s="81" t="s">
        <v>553</v>
      </c>
      <c r="Y254" s="74" t="s">
        <v>554</v>
      </c>
      <c r="Z254" s="82">
        <v>44517</v>
      </c>
      <c r="AA254" s="72" t="s">
        <v>57</v>
      </c>
      <c r="AB254" s="3" t="s">
        <v>498</v>
      </c>
      <c r="AC254" s="3"/>
      <c r="AD254" s="3"/>
    </row>
    <row r="255" spans="1:30" x14ac:dyDescent="0.2">
      <c r="A255">
        <v>253</v>
      </c>
      <c r="B255" s="61" t="s">
        <v>555</v>
      </c>
      <c r="C255" s="74">
        <v>25</v>
      </c>
      <c r="D255" s="74">
        <v>0</v>
      </c>
      <c r="E255" s="74">
        <v>-120</v>
      </c>
      <c r="F255" s="74">
        <v>100</v>
      </c>
      <c r="G255" s="74">
        <v>0</v>
      </c>
      <c r="H255" s="74">
        <v>-15</v>
      </c>
      <c r="I255" s="74">
        <v>55.4</v>
      </c>
      <c r="J255" s="74">
        <v>0</v>
      </c>
      <c r="K255" s="74">
        <v>-120</v>
      </c>
      <c r="L255" s="74">
        <v>50.8</v>
      </c>
      <c r="M255" s="74">
        <v>21</v>
      </c>
      <c r="N255" s="74">
        <v>0</v>
      </c>
      <c r="O255" s="74" t="s">
        <v>85</v>
      </c>
      <c r="P255" s="74">
        <v>23</v>
      </c>
      <c r="Q255" s="74">
        <v>43</v>
      </c>
      <c r="R255" s="74">
        <v>64</v>
      </c>
      <c r="S255" s="74">
        <v>58</v>
      </c>
      <c r="T255" s="74">
        <v>64</v>
      </c>
      <c r="U255" s="74">
        <v>58</v>
      </c>
      <c r="V255" s="74" t="s">
        <v>552</v>
      </c>
      <c r="W255" s="74" t="s">
        <v>145</v>
      </c>
      <c r="X255" s="81" t="s">
        <v>553</v>
      </c>
      <c r="Y255" s="74" t="s">
        <v>554</v>
      </c>
      <c r="Z255" s="82">
        <v>44385</v>
      </c>
      <c r="AA255" s="72" t="s">
        <v>55</v>
      </c>
      <c r="AB255" s="3" t="s">
        <v>498</v>
      </c>
      <c r="AC255" s="3"/>
      <c r="AD255" s="3"/>
    </row>
    <row r="256" spans="1:30" x14ac:dyDescent="0.2">
      <c r="A256">
        <v>254</v>
      </c>
      <c r="B256" s="61" t="s">
        <v>556</v>
      </c>
      <c r="C256" s="74">
        <v>15</v>
      </c>
      <c r="D256" s="74">
        <v>0</v>
      </c>
      <c r="E256" s="74">
        <v>-120</v>
      </c>
      <c r="F256" s="74">
        <v>52</v>
      </c>
      <c r="G256" s="74">
        <v>0</v>
      </c>
      <c r="H256" s="74">
        <v>-13</v>
      </c>
      <c r="I256" s="74">
        <v>34.799999999999997</v>
      </c>
      <c r="J256" s="74">
        <v>0</v>
      </c>
      <c r="K256" s="74">
        <v>-120</v>
      </c>
      <c r="L256" s="74">
        <v>25.4</v>
      </c>
      <c r="M256" s="74">
        <v>18</v>
      </c>
      <c r="N256" s="74">
        <v>0</v>
      </c>
      <c r="O256" s="74" t="s">
        <v>85</v>
      </c>
      <c r="P256" s="74">
        <v>13</v>
      </c>
      <c r="Q256" s="74">
        <v>28</v>
      </c>
      <c r="R256" s="74">
        <v>64</v>
      </c>
      <c r="S256" s="74">
        <v>58</v>
      </c>
      <c r="T256" s="74">
        <v>64</v>
      </c>
      <c r="U256" s="74">
        <v>58</v>
      </c>
      <c r="V256" s="74" t="s">
        <v>547</v>
      </c>
      <c r="W256" s="74" t="s">
        <v>145</v>
      </c>
      <c r="X256" s="74" t="s">
        <v>557</v>
      </c>
      <c r="Y256" s="74" t="s">
        <v>558</v>
      </c>
      <c r="Z256" s="82">
        <v>44348</v>
      </c>
      <c r="AA256" s="72">
        <v>0</v>
      </c>
      <c r="AB256" s="3" t="s">
        <v>498</v>
      </c>
      <c r="AC256" s="3"/>
      <c r="AD256" s="3"/>
    </row>
    <row r="257" spans="1:30" x14ac:dyDescent="0.2">
      <c r="A257">
        <v>255</v>
      </c>
      <c r="B257" s="61" t="s">
        <v>561</v>
      </c>
      <c r="C257" s="69">
        <v>22</v>
      </c>
      <c r="D257" s="69">
        <v>0</v>
      </c>
      <c r="E257" s="69">
        <v>-120</v>
      </c>
      <c r="F257" s="69">
        <v>90</v>
      </c>
      <c r="G257" s="69">
        <v>0</v>
      </c>
      <c r="H257" s="69">
        <v>-15</v>
      </c>
      <c r="I257" s="69">
        <v>51.6</v>
      </c>
      <c r="J257" s="69">
        <v>0</v>
      </c>
      <c r="K257" s="69">
        <v>-120</v>
      </c>
      <c r="L257" s="69">
        <v>50</v>
      </c>
      <c r="M257" s="69">
        <v>21</v>
      </c>
      <c r="N257" s="69">
        <v>0</v>
      </c>
      <c r="O257" s="69" t="s">
        <v>469</v>
      </c>
      <c r="P257" s="69">
        <v>6</v>
      </c>
      <c r="Q257" s="69">
        <v>23</v>
      </c>
      <c r="R257" s="69">
        <v>64</v>
      </c>
      <c r="S257" s="69">
        <v>58</v>
      </c>
      <c r="T257" s="69">
        <v>64</v>
      </c>
      <c r="U257" s="69">
        <v>58</v>
      </c>
      <c r="V257" s="69" t="s">
        <v>487</v>
      </c>
      <c r="W257" s="69" t="s">
        <v>145</v>
      </c>
      <c r="X257" s="69" t="s">
        <v>488</v>
      </c>
      <c r="Y257" s="69" t="s">
        <v>489</v>
      </c>
      <c r="Z257" s="82">
        <v>44257</v>
      </c>
      <c r="AA257" s="72" t="s">
        <v>264</v>
      </c>
      <c r="AB257" s="3" t="s">
        <v>498</v>
      </c>
      <c r="AC257" s="3"/>
      <c r="AD257" s="3"/>
    </row>
    <row r="258" spans="1:30" ht="13.5" thickBot="1" x14ac:dyDescent="0.25">
      <c r="A258">
        <v>256</v>
      </c>
      <c r="B258" s="92" t="s">
        <v>562</v>
      </c>
      <c r="C258" s="69">
        <v>18</v>
      </c>
      <c r="D258" s="69">
        <v>0</v>
      </c>
      <c r="E258" s="69">
        <v>-120</v>
      </c>
      <c r="F258" s="69">
        <v>62</v>
      </c>
      <c r="G258" s="69">
        <v>0</v>
      </c>
      <c r="H258" s="69">
        <v>-13</v>
      </c>
      <c r="I258" s="69">
        <v>23.82</v>
      </c>
      <c r="J258" s="69">
        <v>0</v>
      </c>
      <c r="K258" s="69">
        <v>-120</v>
      </c>
      <c r="L258" s="69">
        <v>31.75</v>
      </c>
      <c r="M258" s="69">
        <v>18</v>
      </c>
      <c r="N258" s="69">
        <v>0</v>
      </c>
      <c r="O258" s="72" t="s">
        <v>413</v>
      </c>
      <c r="P258" s="69">
        <v>5</v>
      </c>
      <c r="Q258" s="69">
        <v>20</v>
      </c>
      <c r="R258" s="69">
        <v>64</v>
      </c>
      <c r="S258" s="69">
        <v>58</v>
      </c>
      <c r="T258" s="69">
        <v>64</v>
      </c>
      <c r="U258" s="69">
        <v>58</v>
      </c>
      <c r="V258" s="72" t="s">
        <v>563</v>
      </c>
      <c r="W258" s="69" t="s">
        <v>145</v>
      </c>
      <c r="X258" s="72">
        <v>9.1800000000000007E-2</v>
      </c>
      <c r="Y258" s="72">
        <v>5.6000000000000001E-2</v>
      </c>
      <c r="Z258" s="82">
        <v>44224</v>
      </c>
      <c r="AA258" s="72" t="s">
        <v>57</v>
      </c>
      <c r="AB258" s="3" t="s">
        <v>498</v>
      </c>
      <c r="AC258" s="3"/>
      <c r="AD258" s="3"/>
    </row>
    <row r="259" spans="1:30" x14ac:dyDescent="0.2">
      <c r="A259">
        <v>257</v>
      </c>
      <c r="B259" s="61" t="s">
        <v>565</v>
      </c>
      <c r="C259" s="74">
        <v>19</v>
      </c>
      <c r="D259" s="74">
        <v>0</v>
      </c>
      <c r="E259" s="74">
        <v>-120</v>
      </c>
      <c r="F259" s="74">
        <v>72</v>
      </c>
      <c r="G259" s="74">
        <v>0</v>
      </c>
      <c r="H259" s="74">
        <v>-13</v>
      </c>
      <c r="I259" s="74">
        <v>37.6</v>
      </c>
      <c r="J259" s="74">
        <v>0</v>
      </c>
      <c r="K259" s="74">
        <v>-120</v>
      </c>
      <c r="L259" s="74">
        <v>34.93</v>
      </c>
      <c r="M259" s="74">
        <v>21</v>
      </c>
      <c r="N259" s="74">
        <v>0</v>
      </c>
      <c r="O259" s="74" t="s">
        <v>413</v>
      </c>
      <c r="P259" s="74">
        <v>6</v>
      </c>
      <c r="Q259" s="74">
        <v>20</v>
      </c>
      <c r="R259" s="74">
        <v>64</v>
      </c>
      <c r="S259" s="74">
        <v>58</v>
      </c>
      <c r="T259" s="74">
        <v>64</v>
      </c>
      <c r="U259" s="74">
        <v>58</v>
      </c>
      <c r="V259" s="74" t="s">
        <v>566</v>
      </c>
      <c r="W259" s="74" t="s">
        <v>145</v>
      </c>
      <c r="X259" s="74" t="s">
        <v>567</v>
      </c>
      <c r="Y259" s="74" t="s">
        <v>439</v>
      </c>
      <c r="Z259" s="82">
        <v>44224</v>
      </c>
      <c r="AA259" s="72" t="s">
        <v>264</v>
      </c>
      <c r="AB259" s="3"/>
      <c r="AC259" s="3"/>
      <c r="AD259" s="3"/>
    </row>
    <row r="260" spans="1:30" x14ac:dyDescent="0.2">
      <c r="A260">
        <v>258</v>
      </c>
      <c r="B260" s="61" t="s">
        <v>568</v>
      </c>
      <c r="C260" s="75">
        <v>22</v>
      </c>
      <c r="D260" s="75">
        <v>0</v>
      </c>
      <c r="E260" s="75">
        <v>-120</v>
      </c>
      <c r="F260" s="75">
        <v>90</v>
      </c>
      <c r="G260" s="75">
        <v>0</v>
      </c>
      <c r="H260" s="75">
        <v>-15</v>
      </c>
      <c r="I260" s="75">
        <v>44.2</v>
      </c>
      <c r="J260" s="75">
        <v>0</v>
      </c>
      <c r="K260" s="75">
        <v>-120</v>
      </c>
      <c r="L260" s="75">
        <v>50</v>
      </c>
      <c r="M260" s="75">
        <v>21</v>
      </c>
      <c r="N260" s="75">
        <v>0</v>
      </c>
      <c r="O260" s="75" t="s">
        <v>90</v>
      </c>
      <c r="P260" s="75">
        <v>6</v>
      </c>
      <c r="Q260" s="75">
        <v>23</v>
      </c>
      <c r="R260" s="75">
        <v>64</v>
      </c>
      <c r="S260" s="75">
        <v>58</v>
      </c>
      <c r="T260" s="75">
        <v>64</v>
      </c>
      <c r="U260" s="75">
        <v>58</v>
      </c>
      <c r="V260" s="70" t="s">
        <v>167</v>
      </c>
      <c r="W260" s="69" t="s">
        <v>145</v>
      </c>
      <c r="X260" s="72" t="s">
        <v>216</v>
      </c>
      <c r="Y260" s="72" t="s">
        <v>217</v>
      </c>
      <c r="Z260" s="82">
        <v>42976</v>
      </c>
      <c r="AA260" s="72">
        <v>0</v>
      </c>
      <c r="AB260" s="96" t="s">
        <v>498</v>
      </c>
      <c r="AC260" s="3"/>
      <c r="AD260" s="3"/>
    </row>
    <row r="261" spans="1:30" x14ac:dyDescent="0.2">
      <c r="A261">
        <v>259</v>
      </c>
      <c r="B261" s="91" t="s">
        <v>569</v>
      </c>
      <c r="C261" s="69">
        <v>18</v>
      </c>
      <c r="D261" s="69">
        <v>0</v>
      </c>
      <c r="E261" s="69">
        <v>-120</v>
      </c>
      <c r="F261" s="69">
        <v>62</v>
      </c>
      <c r="G261" s="69">
        <v>0</v>
      </c>
      <c r="H261" s="69">
        <v>-13</v>
      </c>
      <c r="I261" s="69">
        <v>23.82</v>
      </c>
      <c r="J261" s="69">
        <v>0</v>
      </c>
      <c r="K261" s="69">
        <v>-120</v>
      </c>
      <c r="L261" s="69">
        <v>30</v>
      </c>
      <c r="M261" s="69">
        <v>18</v>
      </c>
      <c r="N261" s="69">
        <v>0</v>
      </c>
      <c r="O261" s="72" t="s">
        <v>90</v>
      </c>
      <c r="P261" s="69">
        <v>6</v>
      </c>
      <c r="Q261" s="69">
        <v>20</v>
      </c>
      <c r="R261" s="69">
        <v>64</v>
      </c>
      <c r="S261" s="69">
        <v>58</v>
      </c>
      <c r="T261" s="69">
        <v>64</v>
      </c>
      <c r="U261" s="69">
        <v>58</v>
      </c>
      <c r="V261" s="72" t="s">
        <v>332</v>
      </c>
      <c r="W261" s="72" t="s">
        <v>145</v>
      </c>
      <c r="X261" s="72" t="s">
        <v>385</v>
      </c>
      <c r="Y261" s="72" t="s">
        <v>386</v>
      </c>
      <c r="Z261" s="82">
        <v>44165</v>
      </c>
      <c r="AA261" s="72" t="s">
        <v>56</v>
      </c>
      <c r="AB261" s="3" t="s">
        <v>498</v>
      </c>
      <c r="AC261" s="3"/>
      <c r="AD261" s="3"/>
    </row>
    <row r="262" spans="1:30" x14ac:dyDescent="0.2">
      <c r="A262">
        <v>260</v>
      </c>
      <c r="B262" s="63" t="s">
        <v>570</v>
      </c>
      <c r="C262" s="75">
        <v>18</v>
      </c>
      <c r="D262" s="75">
        <v>0</v>
      </c>
      <c r="E262" s="75">
        <v>-120</v>
      </c>
      <c r="F262" s="75">
        <v>62</v>
      </c>
      <c r="G262" s="75">
        <v>0</v>
      </c>
      <c r="H262" s="75">
        <v>-13</v>
      </c>
      <c r="I262" s="75">
        <v>30</v>
      </c>
      <c r="J262" s="75">
        <v>0</v>
      </c>
      <c r="K262" s="75">
        <v>-120</v>
      </c>
      <c r="L262" s="75">
        <v>30</v>
      </c>
      <c r="M262" s="75">
        <v>18</v>
      </c>
      <c r="N262" s="75">
        <v>0</v>
      </c>
      <c r="O262" s="75" t="s">
        <v>90</v>
      </c>
      <c r="P262" s="75">
        <v>6</v>
      </c>
      <c r="Q262" s="75">
        <v>20</v>
      </c>
      <c r="R262" s="69">
        <v>64</v>
      </c>
      <c r="S262" s="69">
        <v>58</v>
      </c>
      <c r="T262" s="69">
        <v>64</v>
      </c>
      <c r="U262" s="69">
        <v>58</v>
      </c>
      <c r="V262" s="70" t="s">
        <v>577</v>
      </c>
      <c r="W262" s="69" t="s">
        <v>145</v>
      </c>
      <c r="X262" s="72">
        <v>9.0999999999999998E-2</v>
      </c>
      <c r="Y262" s="72">
        <v>5.6000000000000001E-2</v>
      </c>
      <c r="Z262" s="82">
        <v>45253</v>
      </c>
      <c r="AA262" s="72" t="s">
        <v>55</v>
      </c>
      <c r="AB262" s="96" t="s">
        <v>498</v>
      </c>
      <c r="AC262" s="3"/>
      <c r="AD262" s="3"/>
    </row>
    <row r="263" spans="1:30" x14ac:dyDescent="0.2">
      <c r="A263">
        <v>261</v>
      </c>
      <c r="B263" s="60" t="s">
        <v>571</v>
      </c>
      <c r="C263" s="69">
        <v>18</v>
      </c>
      <c r="D263" s="69">
        <v>0</v>
      </c>
      <c r="E263" s="69">
        <v>-120</v>
      </c>
      <c r="F263" s="69">
        <v>62</v>
      </c>
      <c r="G263" s="69">
        <v>0</v>
      </c>
      <c r="H263" s="69">
        <v>-13</v>
      </c>
      <c r="I263" s="69">
        <v>23.82</v>
      </c>
      <c r="J263" s="69">
        <v>0</v>
      </c>
      <c r="K263" s="69">
        <v>-120</v>
      </c>
      <c r="L263" s="69">
        <v>30</v>
      </c>
      <c r="M263" s="69">
        <v>18</v>
      </c>
      <c r="N263" s="69">
        <v>0</v>
      </c>
      <c r="O263" s="69" t="s">
        <v>90</v>
      </c>
      <c r="P263" s="69">
        <v>6</v>
      </c>
      <c r="Q263" s="69">
        <v>20</v>
      </c>
      <c r="R263" s="69">
        <v>64</v>
      </c>
      <c r="S263" s="69">
        <v>58</v>
      </c>
      <c r="T263" s="69">
        <v>64</v>
      </c>
      <c r="U263" s="69">
        <v>58</v>
      </c>
      <c r="V263" s="70" t="s">
        <v>366</v>
      </c>
      <c r="W263" s="69" t="s">
        <v>145</v>
      </c>
      <c r="X263" s="72">
        <v>9.0999999999999998E-2</v>
      </c>
      <c r="Y263" s="72">
        <v>5.6000000000000001E-2</v>
      </c>
      <c r="Z263" s="82">
        <v>44165</v>
      </c>
      <c r="AA263" s="72" t="s">
        <v>57</v>
      </c>
      <c r="AB263" s="96" t="s">
        <v>498</v>
      </c>
      <c r="AC263" s="3"/>
      <c r="AD263" s="3"/>
    </row>
    <row r="264" spans="1:30" x14ac:dyDescent="0.2">
      <c r="A264">
        <v>262</v>
      </c>
      <c r="B264" s="61" t="s">
        <v>572</v>
      </c>
      <c r="C264" s="74">
        <v>25</v>
      </c>
      <c r="D264" s="74">
        <v>0</v>
      </c>
      <c r="E264" s="74">
        <v>-120</v>
      </c>
      <c r="F264" s="74">
        <v>100</v>
      </c>
      <c r="G264" s="74">
        <v>0</v>
      </c>
      <c r="H264" s="74">
        <v>-15</v>
      </c>
      <c r="I264" s="74">
        <v>55.4</v>
      </c>
      <c r="J264" s="74">
        <v>0</v>
      </c>
      <c r="K264" s="74">
        <v>-120</v>
      </c>
      <c r="L264" s="74">
        <v>50.8</v>
      </c>
      <c r="M264" s="74">
        <v>21</v>
      </c>
      <c r="N264" s="74">
        <v>0</v>
      </c>
      <c r="O264" s="85" t="s">
        <v>90</v>
      </c>
      <c r="P264" s="74">
        <v>8</v>
      </c>
      <c r="Q264" s="74">
        <v>28</v>
      </c>
      <c r="R264" s="74">
        <v>64</v>
      </c>
      <c r="S264" s="74">
        <v>58</v>
      </c>
      <c r="T264" s="74">
        <v>64</v>
      </c>
      <c r="U264" s="74">
        <v>58</v>
      </c>
      <c r="V264" s="85" t="s">
        <v>573</v>
      </c>
      <c r="W264" s="85" t="s">
        <v>145</v>
      </c>
      <c r="X264" s="85" t="s">
        <v>273</v>
      </c>
      <c r="Y264" s="85" t="s">
        <v>574</v>
      </c>
      <c r="Z264" s="82">
        <v>44348</v>
      </c>
      <c r="AA264" s="72" t="s">
        <v>264</v>
      </c>
      <c r="AB264" s="100" t="s">
        <v>498</v>
      </c>
      <c r="AC264" s="3"/>
      <c r="AD264" s="3"/>
    </row>
    <row r="265" spans="1:30" x14ac:dyDescent="0.2">
      <c r="A265">
        <v>263</v>
      </c>
      <c r="B265" s="61" t="s">
        <v>575</v>
      </c>
      <c r="C265" s="69">
        <v>25</v>
      </c>
      <c r="D265" s="69">
        <v>0</v>
      </c>
      <c r="E265" s="69">
        <v>-150</v>
      </c>
      <c r="F265" s="69">
        <v>100</v>
      </c>
      <c r="G265" s="69">
        <v>0</v>
      </c>
      <c r="H265" s="69">
        <v>-15</v>
      </c>
      <c r="I265" s="69">
        <v>55.4</v>
      </c>
      <c r="J265" s="69">
        <v>0</v>
      </c>
      <c r="K265" s="69">
        <v>-150</v>
      </c>
      <c r="L265" s="69">
        <v>55</v>
      </c>
      <c r="M265" s="69">
        <v>24</v>
      </c>
      <c r="N265" s="69">
        <v>0</v>
      </c>
      <c r="O265" s="69" t="s">
        <v>90</v>
      </c>
      <c r="P265" s="69">
        <v>28</v>
      </c>
      <c r="Q265" s="69">
        <v>8</v>
      </c>
      <c r="R265" s="69">
        <v>64</v>
      </c>
      <c r="S265" s="69">
        <v>58</v>
      </c>
      <c r="T265" s="69">
        <v>64</v>
      </c>
      <c r="U265" s="69">
        <v>58</v>
      </c>
      <c r="V265" s="69" t="s">
        <v>467</v>
      </c>
      <c r="W265" s="69" t="s">
        <v>145</v>
      </c>
      <c r="X265" s="69" t="s">
        <v>403</v>
      </c>
      <c r="Y265" s="69" t="s">
        <v>404</v>
      </c>
      <c r="Z265" s="82">
        <v>44165</v>
      </c>
      <c r="AA265" s="72" t="s">
        <v>57</v>
      </c>
      <c r="AB265" s="3" t="s">
        <v>498</v>
      </c>
      <c r="AC265" s="3"/>
      <c r="AD265" s="3"/>
    </row>
    <row r="266" spans="1:30" x14ac:dyDescent="0.2">
      <c r="A266">
        <v>264</v>
      </c>
      <c r="B266" s="60" t="s">
        <v>560</v>
      </c>
      <c r="C266" s="69">
        <v>15</v>
      </c>
      <c r="D266" s="69">
        <v>0</v>
      </c>
      <c r="E266" s="69">
        <v>-120</v>
      </c>
      <c r="F266" s="69">
        <v>52</v>
      </c>
      <c r="G266" s="69">
        <v>0</v>
      </c>
      <c r="H266" s="69">
        <v>-13</v>
      </c>
      <c r="I266" s="69">
        <v>34.799999999999997</v>
      </c>
      <c r="J266" s="69">
        <v>0</v>
      </c>
      <c r="K266" s="69">
        <v>-120</v>
      </c>
      <c r="L266" s="69">
        <v>25.4</v>
      </c>
      <c r="M266" s="69">
        <v>18</v>
      </c>
      <c r="N266" s="69">
        <v>0</v>
      </c>
      <c r="O266" s="69" t="s">
        <v>90</v>
      </c>
      <c r="P266" s="69">
        <v>5</v>
      </c>
      <c r="Q266" s="69">
        <v>20</v>
      </c>
      <c r="R266" s="69">
        <v>64</v>
      </c>
      <c r="S266" s="69">
        <v>58</v>
      </c>
      <c r="T266" s="69">
        <v>64</v>
      </c>
      <c r="U266" s="69">
        <v>58</v>
      </c>
      <c r="V266" s="70" t="s">
        <v>354</v>
      </c>
      <c r="W266" s="69" t="s">
        <v>145</v>
      </c>
      <c r="X266" s="72">
        <v>0.23</v>
      </c>
      <c r="Y266" s="72">
        <v>0.157</v>
      </c>
      <c r="Z266" s="82">
        <v>44224</v>
      </c>
      <c r="AA266" s="72" t="s">
        <v>56</v>
      </c>
      <c r="AB266" s="3"/>
      <c r="AC266" s="3"/>
      <c r="AD266" s="3"/>
    </row>
    <row r="267" spans="1:30" x14ac:dyDescent="0.2">
      <c r="A267">
        <v>265</v>
      </c>
      <c r="B267" s="61" t="s">
        <v>576</v>
      </c>
      <c r="C267" s="69">
        <v>22</v>
      </c>
      <c r="D267" s="69">
        <v>0</v>
      </c>
      <c r="E267" s="69">
        <v>-120</v>
      </c>
      <c r="F267" s="69">
        <v>80</v>
      </c>
      <c r="G267" s="69">
        <v>0</v>
      </c>
      <c r="H267" s="69">
        <v>-13</v>
      </c>
      <c r="I267" s="69">
        <v>49.2</v>
      </c>
      <c r="J267" s="69">
        <v>0</v>
      </c>
      <c r="K267" s="69">
        <v>-120</v>
      </c>
      <c r="L267" s="69">
        <v>40</v>
      </c>
      <c r="M267" s="69">
        <v>21</v>
      </c>
      <c r="N267" s="69">
        <v>0</v>
      </c>
      <c r="O267" s="69" t="s">
        <v>90</v>
      </c>
      <c r="P267" s="69">
        <v>6</v>
      </c>
      <c r="Q267" s="69">
        <v>20</v>
      </c>
      <c r="R267" s="69">
        <v>64</v>
      </c>
      <c r="S267" s="69">
        <v>58</v>
      </c>
      <c r="T267" s="69">
        <v>64</v>
      </c>
      <c r="U267" s="69">
        <v>58</v>
      </c>
      <c r="V267" s="70" t="s">
        <v>157</v>
      </c>
      <c r="W267" s="69" t="s">
        <v>145</v>
      </c>
      <c r="X267" s="72" t="s">
        <v>351</v>
      </c>
      <c r="Y267" s="72" t="s">
        <v>352</v>
      </c>
      <c r="Z267" s="82">
        <v>44165</v>
      </c>
      <c r="AA267" s="72" t="s">
        <v>57</v>
      </c>
      <c r="AB267" s="3" t="s">
        <v>498</v>
      </c>
      <c r="AC267" s="3"/>
      <c r="AD267" s="3"/>
    </row>
    <row r="268" spans="1:30" x14ac:dyDescent="0.2">
      <c r="A268">
        <v>266</v>
      </c>
      <c r="B268" s="61" t="s">
        <v>578</v>
      </c>
      <c r="C268" s="74">
        <v>17</v>
      </c>
      <c r="D268" s="74">
        <v>0</v>
      </c>
      <c r="E268" s="74">
        <v>-120</v>
      </c>
      <c r="F268" s="74">
        <v>72</v>
      </c>
      <c r="G268" s="74">
        <v>0</v>
      </c>
      <c r="H268" s="74">
        <v>-15</v>
      </c>
      <c r="I268" s="74">
        <v>25.4</v>
      </c>
      <c r="J268" s="74">
        <v>0</v>
      </c>
      <c r="K268" s="74">
        <v>-120</v>
      </c>
      <c r="L268" s="74">
        <v>35</v>
      </c>
      <c r="M268" s="74">
        <v>20</v>
      </c>
      <c r="N268" s="74">
        <v>0</v>
      </c>
      <c r="O268" s="74" t="s">
        <v>90</v>
      </c>
      <c r="P268" s="74">
        <v>6</v>
      </c>
      <c r="Q268" s="74">
        <v>20</v>
      </c>
      <c r="R268" s="74">
        <v>64</v>
      </c>
      <c r="S268" s="74">
        <v>58</v>
      </c>
      <c r="T268" s="74">
        <v>64</v>
      </c>
      <c r="U268" s="74">
        <v>58</v>
      </c>
      <c r="V268" s="74" t="s">
        <v>477</v>
      </c>
      <c r="W268" s="74" t="s">
        <v>145</v>
      </c>
      <c r="X268" s="74" t="s">
        <v>438</v>
      </c>
      <c r="Y268" s="74" t="s">
        <v>439</v>
      </c>
      <c r="Z268" s="82">
        <v>44165</v>
      </c>
      <c r="AA268" s="72" t="s">
        <v>57</v>
      </c>
      <c r="AB268" s="3" t="s">
        <v>498</v>
      </c>
      <c r="AC268" s="3"/>
      <c r="AD268" s="3"/>
    </row>
    <row r="269" spans="1:30" x14ac:dyDescent="0.2">
      <c r="A269">
        <v>267</v>
      </c>
      <c r="B269" s="61" t="s">
        <v>579</v>
      </c>
      <c r="C269" s="74">
        <v>19</v>
      </c>
      <c r="D269" s="74">
        <v>0</v>
      </c>
      <c r="E269" s="74">
        <v>-120</v>
      </c>
      <c r="F269" s="74">
        <v>72</v>
      </c>
      <c r="G269" s="74">
        <v>0</v>
      </c>
      <c r="H269" s="74">
        <v>-13</v>
      </c>
      <c r="I269" s="74">
        <v>19</v>
      </c>
      <c r="J269" s="74">
        <v>0</v>
      </c>
      <c r="K269" s="74">
        <v>-120</v>
      </c>
      <c r="L269" s="74">
        <v>35</v>
      </c>
      <c r="M269" s="74">
        <v>0</v>
      </c>
      <c r="N269" s="74">
        <v>-13</v>
      </c>
      <c r="O269" s="74" t="s">
        <v>85</v>
      </c>
      <c r="P269" s="74">
        <v>15</v>
      </c>
      <c r="Q269" s="74">
        <v>33</v>
      </c>
      <c r="R269" s="74">
        <v>64</v>
      </c>
      <c r="S269" s="74">
        <v>58</v>
      </c>
      <c r="T269" s="74">
        <v>64</v>
      </c>
      <c r="U269" s="74">
        <v>58</v>
      </c>
      <c r="V269" s="74" t="s">
        <v>288</v>
      </c>
      <c r="W269" s="74" t="s">
        <v>145</v>
      </c>
      <c r="X269" s="74" t="s">
        <v>581</v>
      </c>
      <c r="Y269" s="74" t="s">
        <v>582</v>
      </c>
      <c r="Z269" s="82">
        <v>44545</v>
      </c>
      <c r="AA269" s="72" t="s">
        <v>57</v>
      </c>
      <c r="AB269" s="3" t="s">
        <v>498</v>
      </c>
      <c r="AC269" s="3"/>
      <c r="AD269" s="3"/>
    </row>
    <row r="270" spans="1:30" x14ac:dyDescent="0.2">
      <c r="A270">
        <v>268</v>
      </c>
      <c r="B270" s="61" t="s">
        <v>580</v>
      </c>
      <c r="C270" s="74">
        <v>18</v>
      </c>
      <c r="D270" s="74">
        <v>0</v>
      </c>
      <c r="E270" s="74">
        <v>-120</v>
      </c>
      <c r="F270" s="74">
        <v>62</v>
      </c>
      <c r="G270" s="74">
        <v>0</v>
      </c>
      <c r="H270" s="74">
        <v>-13</v>
      </c>
      <c r="I270" s="74">
        <v>18</v>
      </c>
      <c r="J270" s="74">
        <v>0</v>
      </c>
      <c r="K270" s="74">
        <v>-120</v>
      </c>
      <c r="L270" s="74">
        <v>30</v>
      </c>
      <c r="M270" s="74">
        <v>0</v>
      </c>
      <c r="N270" s="74">
        <v>-13</v>
      </c>
      <c r="O270" s="74" t="s">
        <v>85</v>
      </c>
      <c r="P270" s="74">
        <v>13</v>
      </c>
      <c r="Q270" s="74">
        <v>28</v>
      </c>
      <c r="R270" s="74">
        <v>64</v>
      </c>
      <c r="S270" s="74">
        <v>58</v>
      </c>
      <c r="T270" s="74">
        <v>64</v>
      </c>
      <c r="U270" s="74">
        <v>58</v>
      </c>
      <c r="V270" s="74" t="s">
        <v>288</v>
      </c>
      <c r="W270" s="74" t="s">
        <v>145</v>
      </c>
      <c r="X270" s="74" t="s">
        <v>581</v>
      </c>
      <c r="Y270" s="74" t="s">
        <v>582</v>
      </c>
      <c r="Z270" s="82">
        <v>44545</v>
      </c>
      <c r="AA270" s="72" t="s">
        <v>57</v>
      </c>
      <c r="AB270" s="3" t="s">
        <v>498</v>
      </c>
      <c r="AC270" s="3"/>
      <c r="AD270" s="3"/>
    </row>
    <row r="271" spans="1:30" x14ac:dyDescent="0.2">
      <c r="A271">
        <v>269</v>
      </c>
      <c r="B271" s="61" t="s">
        <v>583</v>
      </c>
      <c r="C271" s="69">
        <v>19</v>
      </c>
      <c r="D271" s="69">
        <v>0</v>
      </c>
      <c r="E271" s="69">
        <v>-120</v>
      </c>
      <c r="F271" s="69">
        <v>72</v>
      </c>
      <c r="G271" s="69">
        <v>0</v>
      </c>
      <c r="H271" s="69">
        <v>-13</v>
      </c>
      <c r="I271" s="69">
        <v>37.6</v>
      </c>
      <c r="J271" s="69">
        <v>0</v>
      </c>
      <c r="K271" s="69">
        <v>-120</v>
      </c>
      <c r="L271" s="69">
        <v>35</v>
      </c>
      <c r="M271" s="69">
        <v>21</v>
      </c>
      <c r="N271" s="69">
        <v>0</v>
      </c>
      <c r="O271" s="69" t="s">
        <v>90</v>
      </c>
      <c r="P271" s="69">
        <v>6</v>
      </c>
      <c r="Q271" s="69">
        <v>20</v>
      </c>
      <c r="R271" s="69">
        <v>64</v>
      </c>
      <c r="S271" s="69">
        <v>58</v>
      </c>
      <c r="T271" s="69">
        <v>64</v>
      </c>
      <c r="U271" s="69">
        <v>58</v>
      </c>
      <c r="V271" s="69" t="s">
        <v>483</v>
      </c>
      <c r="W271" s="69" t="s">
        <v>145</v>
      </c>
      <c r="X271" s="69" t="s">
        <v>484</v>
      </c>
      <c r="Y271" s="69" t="s">
        <v>485</v>
      </c>
      <c r="Z271" s="118">
        <v>44165</v>
      </c>
      <c r="AA271" s="74" t="s">
        <v>57</v>
      </c>
      <c r="AB271" s="3"/>
      <c r="AC271" s="3"/>
      <c r="AD271" s="3"/>
    </row>
    <row r="272" spans="1:30" x14ac:dyDescent="0.2">
      <c r="A272">
        <v>270</v>
      </c>
      <c r="B272" s="61" t="s">
        <v>584</v>
      </c>
      <c r="C272" s="74">
        <v>15</v>
      </c>
      <c r="D272" s="74">
        <v>0</v>
      </c>
      <c r="E272" s="74">
        <v>-120</v>
      </c>
      <c r="F272" s="74">
        <v>52</v>
      </c>
      <c r="G272" s="74">
        <v>0</v>
      </c>
      <c r="H272" s="74">
        <v>-13</v>
      </c>
      <c r="I272" s="74">
        <v>21.5</v>
      </c>
      <c r="J272" s="74">
        <v>0</v>
      </c>
      <c r="K272" s="74">
        <v>-120</v>
      </c>
      <c r="L272" s="74">
        <v>22.225000000000001</v>
      </c>
      <c r="M272" s="74">
        <v>18</v>
      </c>
      <c r="N272" s="74">
        <v>0</v>
      </c>
      <c r="O272" s="74" t="s">
        <v>90</v>
      </c>
      <c r="P272" s="74">
        <v>5</v>
      </c>
      <c r="Q272" s="74">
        <v>20</v>
      </c>
      <c r="R272" s="74">
        <v>64</v>
      </c>
      <c r="S272" s="74">
        <v>58</v>
      </c>
      <c r="T272" s="74">
        <v>64</v>
      </c>
      <c r="U272" s="74">
        <v>58</v>
      </c>
      <c r="V272" s="74" t="s">
        <v>585</v>
      </c>
      <c r="W272" s="74" t="s">
        <v>145</v>
      </c>
      <c r="X272" s="74" t="s">
        <v>586</v>
      </c>
      <c r="Y272" s="74" t="s">
        <v>472</v>
      </c>
      <c r="Z272" s="82">
        <v>44412</v>
      </c>
      <c r="AA272" s="72">
        <v>0</v>
      </c>
      <c r="AB272" s="3"/>
      <c r="AC272" s="3"/>
      <c r="AD272" s="3"/>
    </row>
    <row r="273" spans="1:30" x14ac:dyDescent="0.2">
      <c r="A273">
        <v>271</v>
      </c>
      <c r="B273" s="61" t="s">
        <v>587</v>
      </c>
      <c r="C273" s="69">
        <v>38.1</v>
      </c>
      <c r="D273" s="69">
        <v>0</v>
      </c>
      <c r="E273" s="69">
        <v>-120</v>
      </c>
      <c r="F273" s="69">
        <v>130</v>
      </c>
      <c r="G273" s="69">
        <v>0</v>
      </c>
      <c r="H273" s="69">
        <v>-15</v>
      </c>
      <c r="I273" s="69">
        <v>77.8</v>
      </c>
      <c r="J273" s="69">
        <v>0</v>
      </c>
      <c r="K273" s="69">
        <v>-120</v>
      </c>
      <c r="L273" s="69">
        <v>74.61</v>
      </c>
      <c r="M273" s="69">
        <v>24</v>
      </c>
      <c r="N273" s="69">
        <v>0</v>
      </c>
      <c r="O273" s="69" t="s">
        <v>85</v>
      </c>
      <c r="P273" s="69">
        <v>25</v>
      </c>
      <c r="Q273" s="69">
        <v>51</v>
      </c>
      <c r="R273" s="69">
        <v>64</v>
      </c>
      <c r="S273" s="69">
        <v>58</v>
      </c>
      <c r="T273" s="69">
        <v>64</v>
      </c>
      <c r="U273" s="69">
        <v>58</v>
      </c>
      <c r="V273" s="69" t="s">
        <v>422</v>
      </c>
      <c r="W273" s="69" t="s">
        <v>145</v>
      </c>
      <c r="X273" s="69" t="s">
        <v>423</v>
      </c>
      <c r="Y273" s="69" t="s">
        <v>424</v>
      </c>
      <c r="Z273" s="82">
        <v>44607</v>
      </c>
      <c r="AA273" s="72" t="s">
        <v>588</v>
      </c>
      <c r="AB273" s="3" t="s">
        <v>498</v>
      </c>
      <c r="AC273" s="3"/>
      <c r="AD273" s="3"/>
    </row>
    <row r="274" spans="1:30" x14ac:dyDescent="0.2">
      <c r="A274">
        <v>272</v>
      </c>
      <c r="B274" s="64" t="s">
        <v>589</v>
      </c>
      <c r="C274" s="81">
        <v>15</v>
      </c>
      <c r="D274" s="81">
        <v>0</v>
      </c>
      <c r="E274" s="81">
        <v>-120</v>
      </c>
      <c r="F274" s="81">
        <v>52</v>
      </c>
      <c r="G274" s="81">
        <v>0</v>
      </c>
      <c r="H274" s="81">
        <v>-13</v>
      </c>
      <c r="I274" s="81">
        <v>34</v>
      </c>
      <c r="J274" s="81">
        <v>0</v>
      </c>
      <c r="K274" s="81">
        <v>-120</v>
      </c>
      <c r="L274" s="81">
        <v>25.4</v>
      </c>
      <c r="M274" s="81">
        <v>18</v>
      </c>
      <c r="N274" s="81">
        <v>0</v>
      </c>
      <c r="O274" s="81" t="s">
        <v>85</v>
      </c>
      <c r="P274" s="81">
        <v>13</v>
      </c>
      <c r="Q274" s="81">
        <v>28</v>
      </c>
      <c r="R274" s="81">
        <v>64</v>
      </c>
      <c r="S274" s="81">
        <v>58</v>
      </c>
      <c r="T274" s="81">
        <v>64</v>
      </c>
      <c r="U274" s="81">
        <v>58</v>
      </c>
      <c r="V274" s="81" t="s">
        <v>540</v>
      </c>
      <c r="W274" s="81" t="s">
        <v>145</v>
      </c>
      <c r="X274" s="81" t="s">
        <v>541</v>
      </c>
      <c r="Y274" s="81" t="s">
        <v>542</v>
      </c>
      <c r="Z274" s="119">
        <v>44228</v>
      </c>
      <c r="AA274" s="81">
        <v>0</v>
      </c>
      <c r="AB274" s="3"/>
      <c r="AC274" s="3"/>
      <c r="AD274" s="3"/>
    </row>
    <row r="275" spans="1:30" x14ac:dyDescent="0.2">
      <c r="A275">
        <v>273</v>
      </c>
      <c r="B275" s="61" t="s">
        <v>590</v>
      </c>
      <c r="C275" s="69">
        <v>27</v>
      </c>
      <c r="D275" s="69">
        <v>0</v>
      </c>
      <c r="E275" s="69">
        <v>-150</v>
      </c>
      <c r="F275" s="69">
        <v>110</v>
      </c>
      <c r="G275" s="69">
        <v>0</v>
      </c>
      <c r="H275" s="69">
        <v>-15</v>
      </c>
      <c r="I275" s="69">
        <v>65.099999999999994</v>
      </c>
      <c r="J275" s="69">
        <v>0</v>
      </c>
      <c r="K275" s="69">
        <v>-150</v>
      </c>
      <c r="L275" s="69">
        <v>60</v>
      </c>
      <c r="M275" s="69">
        <v>24</v>
      </c>
      <c r="N275" s="69">
        <v>0</v>
      </c>
      <c r="O275" s="69" t="s">
        <v>90</v>
      </c>
      <c r="P275" s="69">
        <v>8</v>
      </c>
      <c r="Q275" s="69">
        <v>28</v>
      </c>
      <c r="R275" s="69">
        <v>64</v>
      </c>
      <c r="S275" s="69">
        <v>58</v>
      </c>
      <c r="T275" s="69">
        <v>64</v>
      </c>
      <c r="U275" s="69">
        <v>58</v>
      </c>
      <c r="V275" s="70" t="s">
        <v>289</v>
      </c>
      <c r="W275" s="69" t="s">
        <v>145</v>
      </c>
      <c r="X275" s="72" t="s">
        <v>290</v>
      </c>
      <c r="Y275" s="72" t="s">
        <v>291</v>
      </c>
      <c r="Z275" s="82">
        <v>44165</v>
      </c>
      <c r="AA275" s="72" t="s">
        <v>57</v>
      </c>
      <c r="AB275" s="3"/>
      <c r="AC275" s="3"/>
      <c r="AD275" s="3"/>
    </row>
    <row r="276" spans="1:30" x14ac:dyDescent="0.2">
      <c r="A276">
        <v>274</v>
      </c>
      <c r="B276" s="60" t="s">
        <v>591</v>
      </c>
      <c r="C276" s="69">
        <v>15</v>
      </c>
      <c r="D276" s="69">
        <v>0</v>
      </c>
      <c r="E276" s="69">
        <v>-120</v>
      </c>
      <c r="F276" s="69">
        <v>52</v>
      </c>
      <c r="G276" s="69">
        <v>0</v>
      </c>
      <c r="H276" s="69">
        <v>-13</v>
      </c>
      <c r="I276" s="69" t="s">
        <v>105</v>
      </c>
      <c r="J276" s="69" t="s">
        <v>105</v>
      </c>
      <c r="K276" s="69" t="s">
        <v>105</v>
      </c>
      <c r="L276" s="69" t="s">
        <v>105</v>
      </c>
      <c r="M276" s="69" t="s">
        <v>105</v>
      </c>
      <c r="N276" s="69" t="s">
        <v>105</v>
      </c>
      <c r="O276" s="69" t="s">
        <v>105</v>
      </c>
      <c r="P276" s="69" t="s">
        <v>105</v>
      </c>
      <c r="Q276" s="69" t="s">
        <v>105</v>
      </c>
      <c r="R276" s="69" t="s">
        <v>105</v>
      </c>
      <c r="S276" s="69" t="s">
        <v>105</v>
      </c>
      <c r="T276" s="69">
        <v>64</v>
      </c>
      <c r="U276" s="69">
        <v>58</v>
      </c>
      <c r="V276" s="70" t="s">
        <v>105</v>
      </c>
      <c r="W276" s="69" t="s">
        <v>105</v>
      </c>
      <c r="X276" s="72" t="s">
        <v>105</v>
      </c>
      <c r="Y276" s="72" t="s">
        <v>105</v>
      </c>
      <c r="Z276" s="82">
        <v>42466</v>
      </c>
      <c r="AA276" s="72" t="s">
        <v>264</v>
      </c>
      <c r="AB276" s="3" t="s">
        <v>498</v>
      </c>
      <c r="AC276" s="3"/>
      <c r="AD276" s="3"/>
    </row>
    <row r="277" spans="1:30" x14ac:dyDescent="0.2">
      <c r="A277">
        <v>275</v>
      </c>
      <c r="B277" s="61" t="s">
        <v>592</v>
      </c>
      <c r="C277" s="74"/>
      <c r="D277" s="74"/>
      <c r="E277" s="74"/>
      <c r="F277" s="74"/>
      <c r="G277" s="74"/>
      <c r="H277" s="74"/>
      <c r="I277" s="74">
        <v>34.799999999999997</v>
      </c>
      <c r="J277" s="74">
        <v>0</v>
      </c>
      <c r="K277" s="74">
        <v>-120</v>
      </c>
      <c r="L277" s="74">
        <v>25</v>
      </c>
      <c r="M277" s="74">
        <v>0</v>
      </c>
      <c r="N277" s="74">
        <v>18</v>
      </c>
      <c r="O277" s="74" t="s">
        <v>105</v>
      </c>
      <c r="P277" s="74" t="s">
        <v>105</v>
      </c>
      <c r="Q277" s="74" t="s">
        <v>105</v>
      </c>
      <c r="R277" s="74">
        <v>64</v>
      </c>
      <c r="S277" s="74">
        <v>58</v>
      </c>
      <c r="T277" s="74" t="s">
        <v>105</v>
      </c>
      <c r="U277" s="74" t="s">
        <v>105</v>
      </c>
      <c r="V277" s="74" t="s">
        <v>105</v>
      </c>
      <c r="W277" s="74" t="s">
        <v>105</v>
      </c>
      <c r="X277" s="74" t="s">
        <v>105</v>
      </c>
      <c r="Y277" s="74" t="s">
        <v>105</v>
      </c>
      <c r="Z277" s="82">
        <v>40662</v>
      </c>
      <c r="AA277" s="72">
        <v>0</v>
      </c>
      <c r="AB277" s="3"/>
      <c r="AC277" s="3"/>
      <c r="AD277" s="3"/>
    </row>
    <row r="278" spans="1:30" x14ac:dyDescent="0.2">
      <c r="A278">
        <v>276</v>
      </c>
      <c r="B278" s="61" t="s">
        <v>593</v>
      </c>
      <c r="C278" s="74">
        <v>19</v>
      </c>
      <c r="D278" s="74">
        <v>0</v>
      </c>
      <c r="E278" s="74">
        <v>-120</v>
      </c>
      <c r="F278" s="74">
        <v>72</v>
      </c>
      <c r="G278" s="74">
        <v>0</v>
      </c>
      <c r="H278" s="74">
        <v>-13</v>
      </c>
      <c r="I278" s="74">
        <v>25.4</v>
      </c>
      <c r="J278" s="74">
        <v>0</v>
      </c>
      <c r="K278" s="74">
        <v>-120</v>
      </c>
      <c r="L278" s="74">
        <v>35</v>
      </c>
      <c r="M278" s="74">
        <v>21</v>
      </c>
      <c r="N278" s="74">
        <v>0</v>
      </c>
      <c r="O278" s="74" t="s">
        <v>90</v>
      </c>
      <c r="P278" s="74">
        <v>6</v>
      </c>
      <c r="Q278" s="74">
        <v>20</v>
      </c>
      <c r="R278" s="74">
        <v>64</v>
      </c>
      <c r="S278" s="74">
        <v>58</v>
      </c>
      <c r="T278" s="74">
        <v>64</v>
      </c>
      <c r="U278" s="74">
        <v>58</v>
      </c>
      <c r="V278" s="74" t="s">
        <v>477</v>
      </c>
      <c r="W278" s="74" t="s">
        <v>145</v>
      </c>
      <c r="X278" s="74" t="s">
        <v>438</v>
      </c>
      <c r="Y278" s="74" t="s">
        <v>439</v>
      </c>
      <c r="Z278" s="82">
        <v>44224</v>
      </c>
      <c r="AA278" s="72" t="s">
        <v>55</v>
      </c>
      <c r="AB278" s="3" t="s">
        <v>498</v>
      </c>
      <c r="AC278" s="3"/>
      <c r="AD278" s="3"/>
    </row>
    <row r="279" spans="1:30" ht="15" x14ac:dyDescent="0.25">
      <c r="A279">
        <v>277</v>
      </c>
      <c r="B279" s="99" t="s">
        <v>594</v>
      </c>
      <c r="C279" s="74">
        <v>19</v>
      </c>
      <c r="D279" s="74">
        <v>0</v>
      </c>
      <c r="E279" s="74">
        <v>-120</v>
      </c>
      <c r="F279" s="74">
        <v>72</v>
      </c>
      <c r="G279" s="74">
        <v>0</v>
      </c>
      <c r="H279" s="74">
        <v>-15</v>
      </c>
      <c r="I279" s="74">
        <v>32</v>
      </c>
      <c r="J279" s="74">
        <v>0</v>
      </c>
      <c r="K279" s="74">
        <v>-120</v>
      </c>
      <c r="L279" s="74">
        <v>35</v>
      </c>
      <c r="M279" s="74">
        <v>20</v>
      </c>
      <c r="N279" s="74">
        <v>0</v>
      </c>
      <c r="O279" s="85" t="s">
        <v>90</v>
      </c>
      <c r="P279" s="74">
        <v>6</v>
      </c>
      <c r="Q279" s="74">
        <v>20</v>
      </c>
      <c r="R279" s="74">
        <v>64</v>
      </c>
      <c r="S279" s="74">
        <v>58</v>
      </c>
      <c r="T279" s="74">
        <v>64</v>
      </c>
      <c r="U279" s="74">
        <v>58</v>
      </c>
      <c r="V279" s="85" t="s">
        <v>333</v>
      </c>
      <c r="W279" s="85" t="s">
        <v>145</v>
      </c>
      <c r="X279" s="85" t="s">
        <v>385</v>
      </c>
      <c r="Y279" s="85" t="s">
        <v>386</v>
      </c>
      <c r="Z279" s="82">
        <v>44433</v>
      </c>
      <c r="AA279" s="72" t="s">
        <v>57</v>
      </c>
      <c r="AB279" s="100" t="s">
        <v>498</v>
      </c>
      <c r="AC279" s="3"/>
      <c r="AD279" s="3"/>
    </row>
    <row r="280" spans="1:30" x14ac:dyDescent="0.2">
      <c r="A280">
        <v>278</v>
      </c>
      <c r="B280" s="61" t="s">
        <v>595</v>
      </c>
      <c r="C280" s="69">
        <v>42.86</v>
      </c>
      <c r="D280" s="69">
        <v>0</v>
      </c>
      <c r="E280" s="69">
        <v>-120</v>
      </c>
      <c r="F280" s="69">
        <v>140</v>
      </c>
      <c r="G280" s="69">
        <v>0</v>
      </c>
      <c r="H280" s="69">
        <v>-18</v>
      </c>
      <c r="I280" s="69">
        <v>77.8</v>
      </c>
      <c r="J280" s="69">
        <v>0</v>
      </c>
      <c r="K280" s="69">
        <v>-120</v>
      </c>
      <c r="L280" s="69">
        <v>80.959999999999994</v>
      </c>
      <c r="M280" s="69">
        <v>24</v>
      </c>
      <c r="N280" s="69">
        <v>5</v>
      </c>
      <c r="O280" s="69" t="s">
        <v>85</v>
      </c>
      <c r="P280" s="69">
        <v>30</v>
      </c>
      <c r="Q280" s="69">
        <v>58</v>
      </c>
      <c r="R280" s="69">
        <v>62</v>
      </c>
      <c r="S280" s="69">
        <v>58</v>
      </c>
      <c r="T280" s="69">
        <v>62</v>
      </c>
      <c r="U280" s="69">
        <v>58</v>
      </c>
      <c r="V280" s="70" t="s">
        <v>161</v>
      </c>
      <c r="W280" s="69" t="s">
        <v>145</v>
      </c>
      <c r="X280" s="72" t="s">
        <v>285</v>
      </c>
      <c r="Y280" s="72" t="s">
        <v>310</v>
      </c>
      <c r="Z280" s="82">
        <v>45810</v>
      </c>
      <c r="AA280" s="72" t="s">
        <v>56</v>
      </c>
      <c r="AB280" s="3"/>
      <c r="AC280" s="3"/>
      <c r="AD280" s="3"/>
    </row>
    <row r="281" spans="1:30" x14ac:dyDescent="0.2">
      <c r="A281">
        <v>279</v>
      </c>
      <c r="B281" s="61" t="s">
        <v>596</v>
      </c>
      <c r="C281" s="69">
        <v>15</v>
      </c>
      <c r="D281" s="69">
        <v>0</v>
      </c>
      <c r="E281" s="69">
        <v>-120</v>
      </c>
      <c r="F281" s="69">
        <v>52</v>
      </c>
      <c r="G281" s="69">
        <v>0</v>
      </c>
      <c r="H281" s="69">
        <v>-13</v>
      </c>
      <c r="I281" s="69">
        <v>27</v>
      </c>
      <c r="J281" s="69">
        <v>0</v>
      </c>
      <c r="K281" s="69">
        <v>-120</v>
      </c>
      <c r="L281" s="69">
        <v>22.225000000000001</v>
      </c>
      <c r="M281" s="69">
        <v>18</v>
      </c>
      <c r="N281" s="69">
        <v>0</v>
      </c>
      <c r="O281" s="69" t="s">
        <v>90</v>
      </c>
      <c r="P281" s="69">
        <v>5</v>
      </c>
      <c r="Q281" s="69">
        <v>20</v>
      </c>
      <c r="R281" s="69">
        <v>64</v>
      </c>
      <c r="S281" s="69">
        <v>58</v>
      </c>
      <c r="T281" s="69">
        <v>64</v>
      </c>
      <c r="U281" s="69">
        <v>58</v>
      </c>
      <c r="V281" s="70" t="s">
        <v>354</v>
      </c>
      <c r="W281" s="69" t="s">
        <v>145</v>
      </c>
      <c r="X281" s="72" t="s">
        <v>385</v>
      </c>
      <c r="Y281" s="72" t="s">
        <v>386</v>
      </c>
      <c r="Z281" s="82">
        <v>44900</v>
      </c>
      <c r="AA281" s="72" t="s">
        <v>264</v>
      </c>
      <c r="AB281" s="3" t="s">
        <v>605</v>
      </c>
      <c r="AC281" s="3"/>
      <c r="AD281" s="3"/>
    </row>
    <row r="282" spans="1:30" x14ac:dyDescent="0.2">
      <c r="A282">
        <v>280</v>
      </c>
      <c r="B282" s="61" t="s">
        <v>597</v>
      </c>
      <c r="C282" s="69">
        <v>18</v>
      </c>
      <c r="D282" s="69">
        <v>0</v>
      </c>
      <c r="E282" s="69">
        <v>-120</v>
      </c>
      <c r="F282" s="69">
        <v>62</v>
      </c>
      <c r="G282" s="69">
        <v>0</v>
      </c>
      <c r="H282" s="69">
        <v>-13</v>
      </c>
      <c r="I282" s="69">
        <v>36.4</v>
      </c>
      <c r="J282" s="69">
        <v>0</v>
      </c>
      <c r="K282" s="69">
        <v>-120</v>
      </c>
      <c r="L282" s="69">
        <v>31.75</v>
      </c>
      <c r="M282" s="69">
        <v>18</v>
      </c>
      <c r="N282" s="69">
        <v>0</v>
      </c>
      <c r="O282" s="69" t="s">
        <v>90</v>
      </c>
      <c r="P282" s="69">
        <v>6</v>
      </c>
      <c r="Q282" s="69">
        <v>20</v>
      </c>
      <c r="R282" s="69">
        <v>64</v>
      </c>
      <c r="S282" s="69">
        <v>58</v>
      </c>
      <c r="T282" s="69">
        <v>64</v>
      </c>
      <c r="U282" s="69">
        <v>58</v>
      </c>
      <c r="V282" s="70" t="s">
        <v>288</v>
      </c>
      <c r="W282" s="69" t="s">
        <v>145</v>
      </c>
      <c r="X282" s="69">
        <v>0.55920000000000003</v>
      </c>
      <c r="Y282" s="69">
        <v>0.37280000000000002</v>
      </c>
      <c r="Z282" s="82">
        <v>44827</v>
      </c>
      <c r="AA282" s="72" t="s">
        <v>57</v>
      </c>
      <c r="AB282" s="3" t="s">
        <v>605</v>
      </c>
      <c r="AC282" s="3"/>
      <c r="AD282" s="3"/>
    </row>
    <row r="283" spans="1:30" ht="13.5" thickBot="1" x14ac:dyDescent="0.25">
      <c r="A283">
        <v>281</v>
      </c>
      <c r="B283" s="93" t="s">
        <v>598</v>
      </c>
      <c r="C283" s="69">
        <v>22</v>
      </c>
      <c r="D283" s="69">
        <v>0</v>
      </c>
      <c r="E283" s="69">
        <v>-120</v>
      </c>
      <c r="F283" s="69">
        <v>80</v>
      </c>
      <c r="G283" s="69">
        <v>0</v>
      </c>
      <c r="H283" s="69">
        <v>-13</v>
      </c>
      <c r="I283" s="69">
        <v>30.2</v>
      </c>
      <c r="J283" s="69">
        <v>0</v>
      </c>
      <c r="K283" s="69">
        <v>-120</v>
      </c>
      <c r="L283" s="69">
        <v>40</v>
      </c>
      <c r="M283" s="69">
        <v>21</v>
      </c>
      <c r="N283" s="69">
        <v>0</v>
      </c>
      <c r="O283" s="72" t="s">
        <v>413</v>
      </c>
      <c r="P283" s="69">
        <v>6</v>
      </c>
      <c r="Q283" s="69">
        <v>20</v>
      </c>
      <c r="R283" s="69">
        <v>64</v>
      </c>
      <c r="S283" s="69">
        <v>58</v>
      </c>
      <c r="T283" s="69">
        <v>64</v>
      </c>
      <c r="U283" s="69">
        <v>58</v>
      </c>
      <c r="V283" s="72" t="s">
        <v>288</v>
      </c>
      <c r="W283" s="69" t="s">
        <v>145</v>
      </c>
      <c r="X283" s="69">
        <v>0.17599999999999999</v>
      </c>
      <c r="Y283" s="69">
        <v>0.127</v>
      </c>
      <c r="Z283" s="82">
        <v>45631</v>
      </c>
      <c r="AA283" s="72" t="s">
        <v>588</v>
      </c>
      <c r="AB283" s="3" t="s">
        <v>614</v>
      </c>
      <c r="AC283" s="3"/>
      <c r="AD283" s="3"/>
    </row>
    <row r="284" spans="1:30" x14ac:dyDescent="0.2">
      <c r="A284">
        <v>282</v>
      </c>
      <c r="B284" s="61" t="s">
        <v>599</v>
      </c>
      <c r="C284" s="74">
        <v>19</v>
      </c>
      <c r="D284" s="74">
        <v>0</v>
      </c>
      <c r="E284" s="74">
        <v>-120</v>
      </c>
      <c r="F284" s="74">
        <v>72</v>
      </c>
      <c r="G284" s="74">
        <v>0</v>
      </c>
      <c r="H284" s="74">
        <v>-13</v>
      </c>
      <c r="I284" s="74">
        <v>42.9</v>
      </c>
      <c r="J284" s="74">
        <v>0</v>
      </c>
      <c r="K284" s="74">
        <v>-120</v>
      </c>
      <c r="L284" s="74">
        <v>31.75</v>
      </c>
      <c r="M284" s="74">
        <v>18</v>
      </c>
      <c r="N284" s="74">
        <v>0</v>
      </c>
      <c r="O284" s="72" t="s">
        <v>413</v>
      </c>
      <c r="P284" s="69">
        <v>6</v>
      </c>
      <c r="Q284" s="69">
        <v>20</v>
      </c>
      <c r="R284" s="69">
        <v>64</v>
      </c>
      <c r="S284" s="69">
        <v>58</v>
      </c>
      <c r="T284" s="69">
        <v>64</v>
      </c>
      <c r="U284" s="69">
        <v>58</v>
      </c>
      <c r="V284" s="70" t="s">
        <v>288</v>
      </c>
      <c r="W284" s="69" t="s">
        <v>145</v>
      </c>
      <c r="X284" s="74" t="s">
        <v>600</v>
      </c>
      <c r="Y284" s="74" t="s">
        <v>601</v>
      </c>
      <c r="Z284" s="82">
        <v>44902</v>
      </c>
      <c r="AA284" s="72" t="s">
        <v>264</v>
      </c>
      <c r="AB284" s="3"/>
      <c r="AC284" s="3"/>
      <c r="AD284" s="3"/>
    </row>
    <row r="285" spans="1:30" x14ac:dyDescent="0.2">
      <c r="A285">
        <v>283</v>
      </c>
      <c r="B285" s="61" t="s">
        <v>602</v>
      </c>
      <c r="C285" s="69">
        <v>18</v>
      </c>
      <c r="D285" s="69">
        <v>0</v>
      </c>
      <c r="E285" s="69">
        <v>-120</v>
      </c>
      <c r="F285" s="69">
        <v>62</v>
      </c>
      <c r="G285" s="69">
        <v>0</v>
      </c>
      <c r="H285" s="69">
        <v>-13</v>
      </c>
      <c r="I285" s="69">
        <v>23.82</v>
      </c>
      <c r="J285" s="69">
        <v>0</v>
      </c>
      <c r="K285" s="69">
        <v>-120</v>
      </c>
      <c r="L285" s="69">
        <v>30</v>
      </c>
      <c r="M285" s="69">
        <v>18</v>
      </c>
      <c r="N285" s="69">
        <v>0</v>
      </c>
      <c r="O285" s="69" t="s">
        <v>90</v>
      </c>
      <c r="P285" s="69">
        <v>5</v>
      </c>
      <c r="Q285" s="69">
        <v>20</v>
      </c>
      <c r="R285" s="69">
        <v>64</v>
      </c>
      <c r="S285" s="69">
        <v>58</v>
      </c>
      <c r="T285" s="69">
        <v>64</v>
      </c>
      <c r="U285" s="69">
        <v>58</v>
      </c>
      <c r="V285" s="70" t="s">
        <v>332</v>
      </c>
      <c r="W285" s="69" t="s">
        <v>145</v>
      </c>
      <c r="X285" s="72">
        <v>9.0999999999999998E-2</v>
      </c>
      <c r="Y285" s="72">
        <v>5.6000000000000001E-2</v>
      </c>
      <c r="Z285" s="82">
        <v>44813</v>
      </c>
      <c r="AA285" s="72">
        <v>0</v>
      </c>
      <c r="AB285" s="96" t="s">
        <v>498</v>
      </c>
      <c r="AC285" s="3"/>
      <c r="AD285" s="3"/>
    </row>
    <row r="286" spans="1:30" x14ac:dyDescent="0.2">
      <c r="A286">
        <v>284</v>
      </c>
      <c r="B286" s="61" t="s">
        <v>603</v>
      </c>
      <c r="C286" s="69">
        <v>19</v>
      </c>
      <c r="D286" s="69">
        <v>0</v>
      </c>
      <c r="E286" s="69">
        <v>-120</v>
      </c>
      <c r="F286" s="69">
        <v>72</v>
      </c>
      <c r="G286" s="69">
        <v>0</v>
      </c>
      <c r="H286" s="69">
        <v>-13</v>
      </c>
      <c r="I286" s="69">
        <v>37.6</v>
      </c>
      <c r="J286" s="69">
        <v>0</v>
      </c>
      <c r="K286" s="69">
        <v>-120</v>
      </c>
      <c r="L286" s="69">
        <v>35</v>
      </c>
      <c r="M286" s="69">
        <v>21</v>
      </c>
      <c r="N286" s="69">
        <v>0</v>
      </c>
      <c r="O286" s="69" t="s">
        <v>90</v>
      </c>
      <c r="P286" s="69">
        <v>6</v>
      </c>
      <c r="Q286" s="69">
        <v>20</v>
      </c>
      <c r="R286" s="69">
        <v>64</v>
      </c>
      <c r="S286" s="69">
        <v>58</v>
      </c>
      <c r="T286" s="69">
        <v>64</v>
      </c>
      <c r="U286" s="69">
        <v>58</v>
      </c>
      <c r="V286" s="70" t="s">
        <v>288</v>
      </c>
      <c r="W286" s="69" t="s">
        <v>145</v>
      </c>
      <c r="X286" s="69" t="s">
        <v>484</v>
      </c>
      <c r="Y286" s="69" t="s">
        <v>485</v>
      </c>
      <c r="Z286" s="118">
        <v>45653</v>
      </c>
      <c r="AA286" s="74" t="s">
        <v>57</v>
      </c>
      <c r="AB286" s="3" t="s">
        <v>614</v>
      </c>
      <c r="AC286" s="3"/>
      <c r="AD286" s="3"/>
    </row>
    <row r="287" spans="1:30" x14ac:dyDescent="0.2">
      <c r="A287">
        <v>285</v>
      </c>
      <c r="B287" s="61" t="s">
        <v>604</v>
      </c>
      <c r="C287" s="69">
        <v>27</v>
      </c>
      <c r="D287" s="69">
        <v>0</v>
      </c>
      <c r="E287" s="69">
        <v>-150</v>
      </c>
      <c r="F287" s="69">
        <v>110</v>
      </c>
      <c r="G287" s="69">
        <v>0</v>
      </c>
      <c r="H287" s="69">
        <v>-15</v>
      </c>
      <c r="I287" s="69">
        <v>61.8</v>
      </c>
      <c r="J287" s="69">
        <v>0</v>
      </c>
      <c r="K287" s="69">
        <v>-150</v>
      </c>
      <c r="L287" s="69">
        <v>60</v>
      </c>
      <c r="M287" s="69">
        <v>25</v>
      </c>
      <c r="N287" s="69">
        <v>0</v>
      </c>
      <c r="O287" s="69" t="s">
        <v>90</v>
      </c>
      <c r="P287" s="69">
        <v>8</v>
      </c>
      <c r="Q287" s="69">
        <v>28</v>
      </c>
      <c r="R287" s="69">
        <v>64</v>
      </c>
      <c r="S287" s="69">
        <v>58</v>
      </c>
      <c r="T287" s="69">
        <v>64</v>
      </c>
      <c r="U287" s="69">
        <v>58</v>
      </c>
      <c r="V287" s="70" t="s">
        <v>289</v>
      </c>
      <c r="W287" s="69" t="s">
        <v>145</v>
      </c>
      <c r="X287" s="72" t="s">
        <v>290</v>
      </c>
      <c r="Y287" s="72" t="s">
        <v>291</v>
      </c>
      <c r="Z287" s="82">
        <v>44220</v>
      </c>
      <c r="AA287" s="72" t="s">
        <v>264</v>
      </c>
      <c r="AB287" s="3" t="s">
        <v>648</v>
      </c>
      <c r="AC287" s="3"/>
      <c r="AD287" s="3"/>
    </row>
    <row r="288" spans="1:30" ht="15" x14ac:dyDescent="0.25">
      <c r="A288">
        <v>286</v>
      </c>
      <c r="B288" s="120" t="s">
        <v>606</v>
      </c>
      <c r="C288" s="74">
        <v>18</v>
      </c>
      <c r="D288" s="74">
        <v>0</v>
      </c>
      <c r="E288" s="74">
        <v>-120</v>
      </c>
      <c r="F288" s="74">
        <v>62</v>
      </c>
      <c r="G288" s="74">
        <v>0</v>
      </c>
      <c r="H288" s="74">
        <v>-13</v>
      </c>
      <c r="I288" s="74">
        <v>23.82</v>
      </c>
      <c r="J288" s="74">
        <v>0</v>
      </c>
      <c r="K288" s="74">
        <v>-120</v>
      </c>
      <c r="L288" s="74">
        <v>31.75</v>
      </c>
      <c r="M288" s="74">
        <v>18</v>
      </c>
      <c r="N288" s="74">
        <v>0</v>
      </c>
      <c r="O288" s="85" t="s">
        <v>90</v>
      </c>
      <c r="P288" s="74">
        <v>6</v>
      </c>
      <c r="Q288" s="74">
        <v>20</v>
      </c>
      <c r="R288" s="74">
        <v>64</v>
      </c>
      <c r="S288" s="74">
        <v>58</v>
      </c>
      <c r="T288" s="74">
        <v>64</v>
      </c>
      <c r="U288" s="74">
        <v>58</v>
      </c>
      <c r="V288" s="85" t="s">
        <v>607</v>
      </c>
      <c r="W288" s="85" t="s">
        <v>145</v>
      </c>
      <c r="X288" s="85" t="s">
        <v>581</v>
      </c>
      <c r="Y288" s="85" t="s">
        <v>439</v>
      </c>
      <c r="Z288" s="82">
        <v>44790</v>
      </c>
      <c r="AA288" s="72">
        <v>0</v>
      </c>
      <c r="AB288" s="3" t="s">
        <v>605</v>
      </c>
      <c r="AC288" s="3"/>
      <c r="AD288" s="3"/>
    </row>
    <row r="289" spans="1:30" ht="15" x14ac:dyDescent="0.25">
      <c r="A289">
        <v>287</v>
      </c>
      <c r="B289" s="120" t="s">
        <v>608</v>
      </c>
      <c r="C289" s="74">
        <v>15</v>
      </c>
      <c r="D289" s="74">
        <v>0</v>
      </c>
      <c r="E289" s="74">
        <v>-120</v>
      </c>
      <c r="F289" s="74">
        <v>52</v>
      </c>
      <c r="G289" s="74">
        <v>0</v>
      </c>
      <c r="H289" s="74">
        <v>-13</v>
      </c>
      <c r="I289" s="74">
        <v>34</v>
      </c>
      <c r="J289" s="74">
        <v>0</v>
      </c>
      <c r="K289" s="74">
        <v>-120</v>
      </c>
      <c r="L289" s="74">
        <v>22.225000000000001</v>
      </c>
      <c r="M289" s="74">
        <v>18</v>
      </c>
      <c r="N289" s="74">
        <v>0</v>
      </c>
      <c r="O289" s="85" t="s">
        <v>90</v>
      </c>
      <c r="P289" s="74">
        <v>5</v>
      </c>
      <c r="Q289" s="74">
        <v>20</v>
      </c>
      <c r="R289" s="74">
        <v>64</v>
      </c>
      <c r="S289" s="74">
        <v>58</v>
      </c>
      <c r="T289" s="74">
        <v>64</v>
      </c>
      <c r="U289" s="74">
        <v>58</v>
      </c>
      <c r="V289" s="85" t="s">
        <v>288</v>
      </c>
      <c r="W289" s="85" t="s">
        <v>145</v>
      </c>
      <c r="X289" s="85" t="s">
        <v>609</v>
      </c>
      <c r="Y289" s="85" t="s">
        <v>457</v>
      </c>
      <c r="Z289" s="82">
        <v>44869</v>
      </c>
      <c r="AA289" s="72">
        <v>0</v>
      </c>
      <c r="AB289" s="3" t="s">
        <v>605</v>
      </c>
      <c r="AC289" s="3"/>
      <c r="AD289" s="3"/>
    </row>
    <row r="290" spans="1:30" x14ac:dyDescent="0.2">
      <c r="A290">
        <v>288</v>
      </c>
      <c r="B290" s="61" t="s">
        <v>610</v>
      </c>
      <c r="C290" s="74">
        <v>15</v>
      </c>
      <c r="D290" s="74">
        <v>0</v>
      </c>
      <c r="E290" s="74">
        <v>-120</v>
      </c>
      <c r="F290" s="74">
        <v>52</v>
      </c>
      <c r="G290" s="74">
        <v>0</v>
      </c>
      <c r="H290" s="74">
        <v>-13</v>
      </c>
      <c r="I290" s="74">
        <v>27</v>
      </c>
      <c r="J290" s="74">
        <v>0</v>
      </c>
      <c r="K290" s="74">
        <v>-120</v>
      </c>
      <c r="L290" s="74">
        <v>25</v>
      </c>
      <c r="M290" s="74">
        <v>18</v>
      </c>
      <c r="N290" s="74">
        <v>0</v>
      </c>
      <c r="O290" s="74" t="s">
        <v>90</v>
      </c>
      <c r="P290" s="74">
        <v>5</v>
      </c>
      <c r="Q290" s="74">
        <v>20</v>
      </c>
      <c r="R290" s="74">
        <v>64</v>
      </c>
      <c r="S290" s="74">
        <v>58</v>
      </c>
      <c r="T290" s="74">
        <v>64</v>
      </c>
      <c r="U290" s="74">
        <v>58</v>
      </c>
      <c r="V290" s="74" t="s">
        <v>289</v>
      </c>
      <c r="W290" s="74" t="s">
        <v>145</v>
      </c>
      <c r="X290" s="74" t="s">
        <v>438</v>
      </c>
      <c r="Y290" s="74" t="s">
        <v>439</v>
      </c>
      <c r="Z290" s="82">
        <v>44900</v>
      </c>
      <c r="AA290" s="72" t="s">
        <v>264</v>
      </c>
      <c r="AB290" s="3" t="s">
        <v>614</v>
      </c>
      <c r="AC290" s="3"/>
      <c r="AD290" s="3"/>
    </row>
    <row r="291" spans="1:30" x14ac:dyDescent="0.2">
      <c r="A291">
        <v>289</v>
      </c>
      <c r="B291" s="61" t="s">
        <v>611</v>
      </c>
      <c r="C291" s="74">
        <v>19</v>
      </c>
      <c r="D291" s="74">
        <v>0</v>
      </c>
      <c r="E291" s="74">
        <v>-120</v>
      </c>
      <c r="F291" s="74">
        <v>72</v>
      </c>
      <c r="G291" s="74">
        <v>0</v>
      </c>
      <c r="H291" s="74">
        <v>-15</v>
      </c>
      <c r="I291" s="74">
        <v>25.4</v>
      </c>
      <c r="J291" s="74">
        <v>0</v>
      </c>
      <c r="K291" s="74">
        <v>-120</v>
      </c>
      <c r="L291" s="74">
        <v>35</v>
      </c>
      <c r="M291" s="74">
        <v>21</v>
      </c>
      <c r="N291" s="74">
        <v>0</v>
      </c>
      <c r="O291" s="74" t="s">
        <v>90</v>
      </c>
      <c r="P291" s="74">
        <v>6</v>
      </c>
      <c r="Q291" s="74">
        <v>20</v>
      </c>
      <c r="R291" s="74">
        <v>64</v>
      </c>
      <c r="S291" s="74">
        <v>58</v>
      </c>
      <c r="T291" s="74">
        <v>64</v>
      </c>
      <c r="U291" s="74">
        <v>58</v>
      </c>
      <c r="V291" s="74" t="s">
        <v>477</v>
      </c>
      <c r="W291" s="74" t="s">
        <v>145</v>
      </c>
      <c r="X291" s="74" t="s">
        <v>438</v>
      </c>
      <c r="Y291" s="74" t="s">
        <v>439</v>
      </c>
      <c r="Z291" s="82">
        <v>44888</v>
      </c>
      <c r="AA291" s="72" t="s">
        <v>55</v>
      </c>
      <c r="AB291" s="3" t="s">
        <v>614</v>
      </c>
      <c r="AC291" s="3"/>
      <c r="AD291" s="3"/>
    </row>
    <row r="292" spans="1:30" x14ac:dyDescent="0.2">
      <c r="A292">
        <v>290</v>
      </c>
      <c r="B292" s="61" t="s">
        <v>612</v>
      </c>
      <c r="C292" s="74">
        <v>18</v>
      </c>
      <c r="D292" s="74">
        <v>0</v>
      </c>
      <c r="E292" s="74">
        <v>-120</v>
      </c>
      <c r="F292" s="74">
        <v>62</v>
      </c>
      <c r="G292" s="74">
        <v>0</v>
      </c>
      <c r="H292" s="74">
        <v>-13</v>
      </c>
      <c r="I292" s="74">
        <v>36.4</v>
      </c>
      <c r="J292" s="74">
        <v>0</v>
      </c>
      <c r="K292" s="74">
        <v>-120</v>
      </c>
      <c r="L292" s="74">
        <v>31.75</v>
      </c>
      <c r="M292" s="74">
        <v>18</v>
      </c>
      <c r="N292" s="74">
        <v>0</v>
      </c>
      <c r="O292" s="74" t="s">
        <v>90</v>
      </c>
      <c r="P292" s="74">
        <v>6</v>
      </c>
      <c r="Q292" s="74">
        <v>20</v>
      </c>
      <c r="R292" s="74">
        <v>64</v>
      </c>
      <c r="S292" s="74">
        <v>58</v>
      </c>
      <c r="T292" s="74">
        <v>64</v>
      </c>
      <c r="U292" s="74">
        <v>58</v>
      </c>
      <c r="V292" s="70" t="s">
        <v>288</v>
      </c>
      <c r="W292" s="74" t="s">
        <v>145</v>
      </c>
      <c r="X292" s="74" t="s">
        <v>615</v>
      </c>
      <c r="Y292" s="74" t="s">
        <v>616</v>
      </c>
      <c r="Z292" s="82">
        <v>44900</v>
      </c>
      <c r="AA292" s="72" t="s">
        <v>264</v>
      </c>
      <c r="AB292" s="3" t="s">
        <v>605</v>
      </c>
      <c r="AC292" s="3"/>
      <c r="AD292" s="3"/>
    </row>
    <row r="293" spans="1:30" x14ac:dyDescent="0.2">
      <c r="A293">
        <v>291</v>
      </c>
      <c r="B293" s="61" t="s">
        <v>613</v>
      </c>
      <c r="C293" s="81">
        <v>22</v>
      </c>
      <c r="D293" s="81">
        <v>0</v>
      </c>
      <c r="E293" s="81">
        <v>-120</v>
      </c>
      <c r="F293" s="81">
        <v>90</v>
      </c>
      <c r="G293" s="81">
        <v>0</v>
      </c>
      <c r="H293" s="81">
        <v>-15</v>
      </c>
      <c r="I293" s="81">
        <v>44.2</v>
      </c>
      <c r="J293" s="81">
        <v>0</v>
      </c>
      <c r="K293" s="81">
        <v>-120</v>
      </c>
      <c r="L293" s="81">
        <v>50</v>
      </c>
      <c r="M293" s="81">
        <v>21</v>
      </c>
      <c r="N293" s="81">
        <v>0</v>
      </c>
      <c r="O293" s="81" t="s">
        <v>90</v>
      </c>
      <c r="P293" s="81">
        <v>6</v>
      </c>
      <c r="Q293" s="81">
        <v>23</v>
      </c>
      <c r="R293" s="81">
        <v>64</v>
      </c>
      <c r="S293" s="81">
        <v>58</v>
      </c>
      <c r="T293" s="81">
        <v>64</v>
      </c>
      <c r="U293" s="81">
        <v>58</v>
      </c>
      <c r="V293" s="81" t="s">
        <v>288</v>
      </c>
      <c r="W293" s="81" t="s">
        <v>145</v>
      </c>
      <c r="X293" s="81" t="s">
        <v>617</v>
      </c>
      <c r="Y293" s="81" t="s">
        <v>618</v>
      </c>
      <c r="Z293" s="119">
        <v>44888</v>
      </c>
      <c r="AA293" s="81" t="s">
        <v>264</v>
      </c>
      <c r="AB293" s="3" t="s">
        <v>614</v>
      </c>
      <c r="AC293" s="3"/>
      <c r="AD293" s="3"/>
    </row>
    <row r="294" spans="1:30" x14ac:dyDescent="0.2">
      <c r="A294">
        <v>292</v>
      </c>
      <c r="B294" s="61" t="s">
        <v>619</v>
      </c>
      <c r="C294" s="74">
        <v>22</v>
      </c>
      <c r="D294" s="74">
        <v>0</v>
      </c>
      <c r="E294" s="74">
        <v>-120</v>
      </c>
      <c r="F294" s="74">
        <v>80</v>
      </c>
      <c r="G294" s="74">
        <v>0</v>
      </c>
      <c r="H294" s="74">
        <v>-13</v>
      </c>
      <c r="I294" s="74">
        <v>42.8</v>
      </c>
      <c r="J294" s="74">
        <v>0</v>
      </c>
      <c r="K294" s="74">
        <v>-120</v>
      </c>
      <c r="L294" s="74">
        <v>38.1</v>
      </c>
      <c r="M294" s="74">
        <v>21</v>
      </c>
      <c r="N294" s="74">
        <v>0</v>
      </c>
      <c r="O294" s="74" t="s">
        <v>90</v>
      </c>
      <c r="P294" s="74">
        <v>6</v>
      </c>
      <c r="Q294" s="74">
        <v>20</v>
      </c>
      <c r="R294" s="74">
        <v>64</v>
      </c>
      <c r="S294" s="74">
        <v>58</v>
      </c>
      <c r="T294" s="74">
        <v>64</v>
      </c>
      <c r="U294" s="74">
        <v>58</v>
      </c>
      <c r="V294" s="74" t="s">
        <v>288</v>
      </c>
      <c r="W294" s="74" t="s">
        <v>145</v>
      </c>
      <c r="X294" s="74" t="s">
        <v>463</v>
      </c>
      <c r="Y294" s="74" t="s">
        <v>464</v>
      </c>
      <c r="Z294" s="118">
        <v>42983</v>
      </c>
      <c r="AA294" s="74">
        <v>0</v>
      </c>
      <c r="AB294" s="3" t="s">
        <v>605</v>
      </c>
      <c r="AC294" s="3"/>
      <c r="AD294" s="3"/>
    </row>
    <row r="295" spans="1:30" x14ac:dyDescent="0.2">
      <c r="A295">
        <v>293</v>
      </c>
      <c r="B295" s="61" t="s">
        <v>620</v>
      </c>
      <c r="C295" s="74">
        <v>22</v>
      </c>
      <c r="D295" s="74">
        <v>0</v>
      </c>
      <c r="E295" s="74">
        <v>-120</v>
      </c>
      <c r="F295" s="74">
        <v>90</v>
      </c>
      <c r="G295" s="74">
        <v>0</v>
      </c>
      <c r="H295" s="74">
        <v>-15</v>
      </c>
      <c r="I295" s="74">
        <v>49.2</v>
      </c>
      <c r="J295" s="74">
        <v>0</v>
      </c>
      <c r="K295" s="74">
        <v>-120</v>
      </c>
      <c r="L295" s="74">
        <v>50.8</v>
      </c>
      <c r="M295" s="74">
        <v>21</v>
      </c>
      <c r="N295" s="74">
        <v>0</v>
      </c>
      <c r="O295" s="74" t="s">
        <v>90</v>
      </c>
      <c r="P295" s="74">
        <v>6</v>
      </c>
      <c r="Q295" s="74">
        <v>23</v>
      </c>
      <c r="R295" s="74">
        <v>64</v>
      </c>
      <c r="S295" s="74">
        <v>58</v>
      </c>
      <c r="T295" s="74">
        <v>64</v>
      </c>
      <c r="U295" s="74">
        <v>58</v>
      </c>
      <c r="V295" s="74" t="s">
        <v>288</v>
      </c>
      <c r="W295" s="74" t="s">
        <v>145</v>
      </c>
      <c r="X295" s="74" t="s">
        <v>617</v>
      </c>
      <c r="Y295" s="74" t="s">
        <v>618</v>
      </c>
      <c r="Z295" s="118">
        <v>44813</v>
      </c>
      <c r="AA295" s="74">
        <v>0</v>
      </c>
      <c r="AB295" s="3" t="s">
        <v>605</v>
      </c>
      <c r="AC295" s="3"/>
      <c r="AD295" s="3"/>
    </row>
    <row r="296" spans="1:30" x14ac:dyDescent="0.2">
      <c r="A296">
        <v>294</v>
      </c>
      <c r="B296" s="61" t="s">
        <v>621</v>
      </c>
      <c r="C296" s="74">
        <v>22</v>
      </c>
      <c r="D296" s="74">
        <v>0</v>
      </c>
      <c r="E296" s="74">
        <v>-120</v>
      </c>
      <c r="F296" s="74">
        <v>85</v>
      </c>
      <c r="G296" s="74">
        <v>0</v>
      </c>
      <c r="H296" s="74">
        <v>-15</v>
      </c>
      <c r="I296" s="74">
        <v>42.8</v>
      </c>
      <c r="J296" s="74">
        <v>0</v>
      </c>
      <c r="K296" s="74">
        <v>-120</v>
      </c>
      <c r="L296" s="74">
        <v>42.862499999999997</v>
      </c>
      <c r="M296" s="74">
        <v>21</v>
      </c>
      <c r="N296" s="74">
        <v>0</v>
      </c>
      <c r="O296" s="74" t="s">
        <v>90</v>
      </c>
      <c r="P296" s="74">
        <v>6</v>
      </c>
      <c r="Q296" s="74">
        <v>20</v>
      </c>
      <c r="R296" s="74">
        <v>64</v>
      </c>
      <c r="S296" s="74">
        <v>58</v>
      </c>
      <c r="T296" s="74">
        <v>64</v>
      </c>
      <c r="U296" s="74">
        <v>58</v>
      </c>
      <c r="V296" s="74" t="s">
        <v>288</v>
      </c>
      <c r="W296" s="74" t="s">
        <v>145</v>
      </c>
      <c r="X296" s="74" t="s">
        <v>335</v>
      </c>
      <c r="Y296" s="74" t="s">
        <v>336</v>
      </c>
      <c r="Z296" s="118">
        <v>40444</v>
      </c>
      <c r="AA296" s="74">
        <v>0</v>
      </c>
      <c r="AB296" s="3" t="s">
        <v>605</v>
      </c>
      <c r="AC296" s="3"/>
      <c r="AD296" s="3"/>
    </row>
    <row r="297" spans="1:30" x14ac:dyDescent="0.2">
      <c r="A297">
        <v>295</v>
      </c>
      <c r="B297" s="61" t="s">
        <v>622</v>
      </c>
      <c r="C297" s="74">
        <v>22</v>
      </c>
      <c r="D297" s="74">
        <v>0</v>
      </c>
      <c r="E297" s="74">
        <v>-120</v>
      </c>
      <c r="F297" s="74">
        <v>90</v>
      </c>
      <c r="G297" s="74">
        <v>0</v>
      </c>
      <c r="H297" s="74">
        <v>-15</v>
      </c>
      <c r="I297" s="74">
        <v>49.2</v>
      </c>
      <c r="J297" s="74">
        <v>0</v>
      </c>
      <c r="K297" s="74">
        <v>-120</v>
      </c>
      <c r="L297" s="74">
        <v>49.213000000000001</v>
      </c>
      <c r="M297" s="74">
        <v>21</v>
      </c>
      <c r="N297" s="74">
        <v>0</v>
      </c>
      <c r="O297" s="74" t="s">
        <v>90</v>
      </c>
      <c r="P297" s="74">
        <v>6</v>
      </c>
      <c r="Q297" s="74">
        <v>23</v>
      </c>
      <c r="R297" s="74">
        <v>64</v>
      </c>
      <c r="S297" s="74">
        <v>58</v>
      </c>
      <c r="T297" s="74">
        <v>64</v>
      </c>
      <c r="U297" s="74">
        <v>58</v>
      </c>
      <c r="V297" s="74" t="s">
        <v>530</v>
      </c>
      <c r="W297" s="74" t="s">
        <v>145</v>
      </c>
      <c r="X297" s="74" t="s">
        <v>531</v>
      </c>
      <c r="Y297" s="74" t="s">
        <v>532</v>
      </c>
      <c r="Z297" s="82">
        <v>44973</v>
      </c>
      <c r="AA297" s="72" t="s">
        <v>264</v>
      </c>
      <c r="AB297" s="3" t="s">
        <v>605</v>
      </c>
      <c r="AC297" s="3"/>
      <c r="AD297" s="3"/>
    </row>
    <row r="298" spans="1:30" x14ac:dyDescent="0.2">
      <c r="A298">
        <v>296</v>
      </c>
      <c r="B298" s="61" t="s">
        <v>623</v>
      </c>
      <c r="C298" s="69">
        <v>27</v>
      </c>
      <c r="D298" s="69">
        <v>0</v>
      </c>
      <c r="E298" s="69">
        <v>-150</v>
      </c>
      <c r="F298" s="69">
        <v>110</v>
      </c>
      <c r="G298" s="69">
        <v>0</v>
      </c>
      <c r="H298" s="69">
        <v>-15</v>
      </c>
      <c r="I298" s="69">
        <v>46</v>
      </c>
      <c r="J298" s="69">
        <v>0</v>
      </c>
      <c r="K298" s="69">
        <v>-150</v>
      </c>
      <c r="L298" s="69">
        <v>60</v>
      </c>
      <c r="M298" s="69">
        <v>24</v>
      </c>
      <c r="N298" s="69">
        <v>0</v>
      </c>
      <c r="O298" s="69" t="s">
        <v>90</v>
      </c>
      <c r="P298" s="69">
        <v>8</v>
      </c>
      <c r="Q298" s="69">
        <v>28</v>
      </c>
      <c r="R298" s="69">
        <v>64</v>
      </c>
      <c r="S298" s="69">
        <v>58</v>
      </c>
      <c r="T298" s="69">
        <v>64</v>
      </c>
      <c r="U298" s="69">
        <v>58</v>
      </c>
      <c r="V298" s="70" t="s">
        <v>289</v>
      </c>
      <c r="W298" s="69" t="s">
        <v>145</v>
      </c>
      <c r="X298" s="72" t="s">
        <v>290</v>
      </c>
      <c r="Y298" s="72" t="s">
        <v>291</v>
      </c>
      <c r="Z298" s="82">
        <v>41191</v>
      </c>
      <c r="AA298" s="72">
        <v>0</v>
      </c>
      <c r="AB298" s="96" t="s">
        <v>498</v>
      </c>
      <c r="AC298" s="3"/>
      <c r="AD298" s="3"/>
    </row>
    <row r="299" spans="1:30" x14ac:dyDescent="0.2">
      <c r="A299">
        <v>297</v>
      </c>
      <c r="B299" s="61" t="s">
        <v>625</v>
      </c>
      <c r="C299" s="69">
        <v>18</v>
      </c>
      <c r="D299" s="69">
        <v>0</v>
      </c>
      <c r="E299" s="69">
        <v>-120</v>
      </c>
      <c r="F299" s="69">
        <v>62</v>
      </c>
      <c r="G299" s="69">
        <v>0</v>
      </c>
      <c r="H299" s="69">
        <v>-13</v>
      </c>
      <c r="I299" s="69">
        <v>36.4</v>
      </c>
      <c r="J299" s="69">
        <v>0</v>
      </c>
      <c r="K299" s="69">
        <v>-120</v>
      </c>
      <c r="L299" s="69">
        <v>31.75</v>
      </c>
      <c r="M299" s="69">
        <v>18</v>
      </c>
      <c r="N299" s="69">
        <v>0</v>
      </c>
      <c r="O299" s="69" t="s">
        <v>90</v>
      </c>
      <c r="P299" s="69">
        <v>6</v>
      </c>
      <c r="Q299" s="69">
        <v>20</v>
      </c>
      <c r="R299" s="69">
        <v>64</v>
      </c>
      <c r="S299" s="69">
        <v>58</v>
      </c>
      <c r="T299" s="69">
        <v>64</v>
      </c>
      <c r="U299" s="69">
        <v>58</v>
      </c>
      <c r="V299" s="70" t="s">
        <v>288</v>
      </c>
      <c r="W299" s="69" t="s">
        <v>145</v>
      </c>
      <c r="X299" s="69">
        <v>0.55920000000000003</v>
      </c>
      <c r="Y299" s="69">
        <v>0.37280000000000002</v>
      </c>
      <c r="Z299" s="82">
        <v>44827</v>
      </c>
      <c r="AA299" s="72" t="s">
        <v>57</v>
      </c>
      <c r="AB299" s="3" t="s">
        <v>605</v>
      </c>
      <c r="AC299" s="3"/>
      <c r="AD299" s="3"/>
    </row>
    <row r="300" spans="1:30" x14ac:dyDescent="0.2">
      <c r="A300">
        <v>298</v>
      </c>
      <c r="B300" s="61" t="s">
        <v>627</v>
      </c>
      <c r="C300" s="69">
        <v>19</v>
      </c>
      <c r="D300" s="69">
        <v>0</v>
      </c>
      <c r="E300" s="69">
        <v>-120</v>
      </c>
      <c r="F300" s="69">
        <v>72</v>
      </c>
      <c r="G300" s="69">
        <v>0</v>
      </c>
      <c r="H300" s="69">
        <v>-13</v>
      </c>
      <c r="I300" s="69">
        <v>42.9</v>
      </c>
      <c r="J300" s="69">
        <v>0</v>
      </c>
      <c r="K300" s="69">
        <v>-120</v>
      </c>
      <c r="L300" s="69">
        <v>35</v>
      </c>
      <c r="M300" s="69">
        <v>21</v>
      </c>
      <c r="N300" s="69">
        <v>0</v>
      </c>
      <c r="O300" s="72" t="s">
        <v>90</v>
      </c>
      <c r="P300" s="69">
        <v>6</v>
      </c>
      <c r="Q300" s="69">
        <v>20</v>
      </c>
      <c r="R300" s="69">
        <v>64</v>
      </c>
      <c r="S300" s="69">
        <v>58</v>
      </c>
      <c r="T300" s="69">
        <v>64</v>
      </c>
      <c r="U300" s="69">
        <v>58</v>
      </c>
      <c r="V300" s="77" t="s">
        <v>333</v>
      </c>
      <c r="W300" s="72" t="s">
        <v>145</v>
      </c>
      <c r="X300" s="72" t="s">
        <v>342</v>
      </c>
      <c r="Y300" s="72" t="s">
        <v>343</v>
      </c>
      <c r="Z300" s="82">
        <v>44165</v>
      </c>
      <c r="AA300" s="72" t="s">
        <v>57</v>
      </c>
      <c r="AB300" s="96" t="s">
        <v>628</v>
      </c>
      <c r="AC300" s="3"/>
      <c r="AD300" s="3"/>
    </row>
    <row r="301" spans="1:30" x14ac:dyDescent="0.2">
      <c r="A301">
        <v>299</v>
      </c>
      <c r="B301" s="61" t="s">
        <v>629</v>
      </c>
      <c r="C301" s="74">
        <v>19</v>
      </c>
      <c r="D301" s="74">
        <v>0</v>
      </c>
      <c r="E301" s="74">
        <v>-120</v>
      </c>
      <c r="F301" s="74">
        <v>72</v>
      </c>
      <c r="G301" s="74">
        <v>0</v>
      </c>
      <c r="H301" s="74">
        <v>-13</v>
      </c>
      <c r="I301" s="74">
        <v>37.6</v>
      </c>
      <c r="J301" s="74">
        <v>0</v>
      </c>
      <c r="K301" s="74">
        <v>-120</v>
      </c>
      <c r="L301" s="74">
        <v>34.93</v>
      </c>
      <c r="M301" s="74">
        <v>21</v>
      </c>
      <c r="N301" s="74">
        <v>0</v>
      </c>
      <c r="O301" s="74" t="s">
        <v>413</v>
      </c>
      <c r="P301" s="74">
        <v>6</v>
      </c>
      <c r="Q301" s="74">
        <v>20</v>
      </c>
      <c r="R301" s="74">
        <v>64</v>
      </c>
      <c r="S301" s="74">
        <v>58</v>
      </c>
      <c r="T301" s="74">
        <v>64</v>
      </c>
      <c r="U301" s="74">
        <v>58</v>
      </c>
      <c r="V301" s="74" t="s">
        <v>566</v>
      </c>
      <c r="W301" s="74" t="s">
        <v>145</v>
      </c>
      <c r="X301" s="74" t="s">
        <v>630</v>
      </c>
      <c r="Y301" s="74" t="s">
        <v>631</v>
      </c>
      <c r="Z301" s="82">
        <v>44439</v>
      </c>
      <c r="AA301" s="72" t="s">
        <v>57</v>
      </c>
      <c r="AB301" s="3"/>
      <c r="AC301" s="3"/>
      <c r="AD301" s="3"/>
    </row>
    <row r="302" spans="1:30" x14ac:dyDescent="0.2">
      <c r="A302">
        <v>300</v>
      </c>
      <c r="B302" s="61" t="s">
        <v>632</v>
      </c>
      <c r="C302" s="69">
        <v>19</v>
      </c>
      <c r="D302" s="69">
        <v>0</v>
      </c>
      <c r="E302" s="69">
        <v>-120</v>
      </c>
      <c r="F302" s="69">
        <v>72</v>
      </c>
      <c r="G302" s="69">
        <v>0</v>
      </c>
      <c r="H302" s="69">
        <v>-13</v>
      </c>
      <c r="I302" s="69">
        <v>37.6</v>
      </c>
      <c r="J302" s="69">
        <v>0</v>
      </c>
      <c r="K302" s="69">
        <v>-120</v>
      </c>
      <c r="L302" s="69">
        <v>35</v>
      </c>
      <c r="M302" s="69">
        <v>21</v>
      </c>
      <c r="N302" s="69">
        <v>0</v>
      </c>
      <c r="O302" s="69" t="s">
        <v>90</v>
      </c>
      <c r="P302" s="69">
        <v>6</v>
      </c>
      <c r="Q302" s="69">
        <v>20</v>
      </c>
      <c r="R302" s="69">
        <v>64</v>
      </c>
      <c r="S302" s="69">
        <v>58</v>
      </c>
      <c r="T302" s="69">
        <v>64</v>
      </c>
      <c r="U302" s="69">
        <v>58</v>
      </c>
      <c r="V302" s="70" t="s">
        <v>333</v>
      </c>
      <c r="W302" s="69" t="s">
        <v>145</v>
      </c>
      <c r="X302" s="72">
        <v>0.44800000000000001</v>
      </c>
      <c r="Y302" s="72">
        <v>0.3</v>
      </c>
      <c r="Z302" s="82">
        <v>44165</v>
      </c>
      <c r="AA302" s="72" t="s">
        <v>57</v>
      </c>
      <c r="AB302" s="96" t="s">
        <v>628</v>
      </c>
      <c r="AC302" s="3"/>
      <c r="AD302" s="3"/>
    </row>
    <row r="303" spans="1:30" x14ac:dyDescent="0.2">
      <c r="A303">
        <v>301</v>
      </c>
      <c r="B303" s="60" t="s">
        <v>633</v>
      </c>
      <c r="C303" s="69">
        <v>15</v>
      </c>
      <c r="D303" s="69">
        <v>0</v>
      </c>
      <c r="E303" s="69">
        <v>-120</v>
      </c>
      <c r="F303" s="69">
        <v>52</v>
      </c>
      <c r="G303" s="69">
        <v>0</v>
      </c>
      <c r="H303" s="69">
        <v>-13</v>
      </c>
      <c r="I303" s="69">
        <v>34</v>
      </c>
      <c r="J303" s="69">
        <v>0</v>
      </c>
      <c r="K303" s="69">
        <v>-120</v>
      </c>
      <c r="L303" s="69">
        <v>25</v>
      </c>
      <c r="M303" s="69">
        <v>18</v>
      </c>
      <c r="N303" s="69">
        <v>0</v>
      </c>
      <c r="O303" s="69" t="s">
        <v>90</v>
      </c>
      <c r="P303" s="69">
        <v>5</v>
      </c>
      <c r="Q303" s="69">
        <v>20</v>
      </c>
      <c r="R303" s="69">
        <v>64</v>
      </c>
      <c r="S303" s="69">
        <v>58</v>
      </c>
      <c r="T303" s="69">
        <v>64</v>
      </c>
      <c r="U303" s="69">
        <v>58</v>
      </c>
      <c r="V303" s="70" t="s">
        <v>153</v>
      </c>
      <c r="W303" s="69" t="s">
        <v>145</v>
      </c>
      <c r="X303" s="72">
        <v>0.23</v>
      </c>
      <c r="Y303" s="72">
        <v>0.157</v>
      </c>
      <c r="Z303" s="82">
        <v>40794</v>
      </c>
      <c r="AA303" s="72">
        <v>0</v>
      </c>
      <c r="AB303" s="3" t="s">
        <v>634</v>
      </c>
      <c r="AC303" s="3"/>
      <c r="AD303" s="3"/>
    </row>
    <row r="304" spans="1:30" x14ac:dyDescent="0.2">
      <c r="A304">
        <v>302</v>
      </c>
      <c r="B304" s="61" t="s">
        <v>649</v>
      </c>
      <c r="C304" s="69">
        <v>15</v>
      </c>
      <c r="D304" s="69">
        <v>0</v>
      </c>
      <c r="E304" s="69">
        <v>-120</v>
      </c>
      <c r="F304" s="69">
        <v>47</v>
      </c>
      <c r="G304" s="69">
        <v>0</v>
      </c>
      <c r="H304" s="69">
        <v>-11</v>
      </c>
      <c r="I304" s="69">
        <v>31</v>
      </c>
      <c r="J304" s="69">
        <v>0</v>
      </c>
      <c r="K304" s="69">
        <v>-120</v>
      </c>
      <c r="L304" s="69">
        <v>20</v>
      </c>
      <c r="M304" s="69">
        <v>18</v>
      </c>
      <c r="N304" s="69">
        <v>0</v>
      </c>
      <c r="O304" s="69" t="s">
        <v>90</v>
      </c>
      <c r="P304" s="69">
        <v>5</v>
      </c>
      <c r="Q304" s="69">
        <v>20</v>
      </c>
      <c r="R304" s="69">
        <v>64</v>
      </c>
      <c r="S304" s="69">
        <v>58</v>
      </c>
      <c r="T304" s="69">
        <v>64</v>
      </c>
      <c r="U304" s="69">
        <v>58</v>
      </c>
      <c r="V304" s="69" t="s">
        <v>288</v>
      </c>
      <c r="W304" s="69" t="s">
        <v>145</v>
      </c>
      <c r="X304" s="69" t="s">
        <v>441</v>
      </c>
      <c r="Y304" s="69" t="s">
        <v>442</v>
      </c>
      <c r="Z304" s="82">
        <v>40604</v>
      </c>
      <c r="AA304" s="72">
        <v>0</v>
      </c>
      <c r="AB304" s="3" t="s">
        <v>634</v>
      </c>
      <c r="AC304" s="3"/>
      <c r="AD304" s="3"/>
    </row>
    <row r="305" spans="1:30" x14ac:dyDescent="0.2">
      <c r="A305">
        <v>303</v>
      </c>
      <c r="B305" s="60" t="s">
        <v>635</v>
      </c>
      <c r="C305" s="69">
        <v>18</v>
      </c>
      <c r="D305" s="69">
        <v>0</v>
      </c>
      <c r="E305" s="69">
        <v>-120</v>
      </c>
      <c r="F305" s="69">
        <v>62</v>
      </c>
      <c r="G305" s="69">
        <v>0</v>
      </c>
      <c r="H305" s="69">
        <v>-13</v>
      </c>
      <c r="I305" s="69">
        <v>23.82</v>
      </c>
      <c r="J305" s="69">
        <v>0</v>
      </c>
      <c r="K305" s="69">
        <v>-120</v>
      </c>
      <c r="L305" s="69">
        <v>30</v>
      </c>
      <c r="M305" s="69">
        <v>18</v>
      </c>
      <c r="N305" s="69">
        <v>0</v>
      </c>
      <c r="O305" s="69" t="s">
        <v>90</v>
      </c>
      <c r="P305" s="69">
        <v>6</v>
      </c>
      <c r="Q305" s="69">
        <v>20</v>
      </c>
      <c r="R305" s="69">
        <v>64</v>
      </c>
      <c r="S305" s="69">
        <v>58</v>
      </c>
      <c r="T305" s="69">
        <v>64</v>
      </c>
      <c r="U305" s="69">
        <v>58</v>
      </c>
      <c r="V305" s="70" t="s">
        <v>366</v>
      </c>
      <c r="W305" s="69" t="s">
        <v>145</v>
      </c>
      <c r="X305" s="72">
        <v>9.0999999999999998E-2</v>
      </c>
      <c r="Y305" s="72">
        <v>5.6000000000000001E-2</v>
      </c>
      <c r="Z305" s="82">
        <v>42996</v>
      </c>
      <c r="AA305" s="72">
        <v>0</v>
      </c>
      <c r="AB305" s="96" t="s">
        <v>634</v>
      </c>
      <c r="AC305" s="3"/>
      <c r="AD305" s="3"/>
    </row>
    <row r="306" spans="1:30" x14ac:dyDescent="0.2">
      <c r="A306">
        <v>304</v>
      </c>
      <c r="B306" s="63" t="s">
        <v>636</v>
      </c>
      <c r="C306" s="75">
        <v>18</v>
      </c>
      <c r="D306" s="75">
        <v>0</v>
      </c>
      <c r="E306" s="75">
        <v>-120</v>
      </c>
      <c r="F306" s="75">
        <v>62</v>
      </c>
      <c r="G306" s="75">
        <v>0</v>
      </c>
      <c r="H306" s="75">
        <v>-13</v>
      </c>
      <c r="I306" s="75">
        <v>30</v>
      </c>
      <c r="J306" s="75">
        <v>0</v>
      </c>
      <c r="K306" s="75">
        <v>-120</v>
      </c>
      <c r="L306" s="75">
        <v>30</v>
      </c>
      <c r="M306" s="75">
        <v>18</v>
      </c>
      <c r="N306" s="75">
        <v>0</v>
      </c>
      <c r="O306" s="75" t="s">
        <v>90</v>
      </c>
      <c r="P306" s="75">
        <v>6</v>
      </c>
      <c r="Q306" s="75">
        <v>20</v>
      </c>
      <c r="R306" s="69">
        <v>64</v>
      </c>
      <c r="S306" s="69">
        <v>58</v>
      </c>
      <c r="T306" s="69">
        <v>64</v>
      </c>
      <c r="U306" s="69">
        <v>58</v>
      </c>
      <c r="V306" s="69" t="s">
        <v>288</v>
      </c>
      <c r="W306" s="69" t="s">
        <v>145</v>
      </c>
      <c r="X306" s="72">
        <v>9.0999999999999998E-2</v>
      </c>
      <c r="Y306" s="72">
        <v>5.6000000000000001E-2</v>
      </c>
      <c r="Z306" s="82">
        <v>45355</v>
      </c>
      <c r="AA306" s="72" t="s">
        <v>57</v>
      </c>
      <c r="AB306" s="96" t="s">
        <v>634</v>
      </c>
      <c r="AC306" s="3"/>
      <c r="AD306" s="3"/>
    </row>
    <row r="307" spans="1:30" x14ac:dyDescent="0.2">
      <c r="A307">
        <v>305</v>
      </c>
      <c r="B307" s="61" t="s">
        <v>637</v>
      </c>
      <c r="C307" s="74">
        <v>15</v>
      </c>
      <c r="D307" s="74">
        <v>0</v>
      </c>
      <c r="E307" s="74">
        <v>-120</v>
      </c>
      <c r="F307" s="74">
        <v>52</v>
      </c>
      <c r="G307" s="74">
        <v>0</v>
      </c>
      <c r="H307" s="74">
        <v>-13</v>
      </c>
      <c r="I307" s="74">
        <v>21.4</v>
      </c>
      <c r="J307" s="74">
        <v>0</v>
      </c>
      <c r="K307" s="74">
        <v>-120</v>
      </c>
      <c r="L307" s="74">
        <v>22.225000000000001</v>
      </c>
      <c r="M307" s="74">
        <v>18</v>
      </c>
      <c r="N307" s="74">
        <v>0</v>
      </c>
      <c r="O307" s="74" t="s">
        <v>90</v>
      </c>
      <c r="P307" s="74">
        <v>5</v>
      </c>
      <c r="Q307" s="74">
        <v>20</v>
      </c>
      <c r="R307" s="74">
        <v>64</v>
      </c>
      <c r="S307" s="74">
        <v>58</v>
      </c>
      <c r="T307" s="74">
        <v>64</v>
      </c>
      <c r="U307" s="74">
        <v>58</v>
      </c>
      <c r="V307" s="74" t="s">
        <v>585</v>
      </c>
      <c r="W307" s="74" t="s">
        <v>145</v>
      </c>
      <c r="X307" s="74" t="s">
        <v>586</v>
      </c>
      <c r="Y307" s="74" t="s">
        <v>472</v>
      </c>
      <c r="Z307" s="82">
        <v>45287</v>
      </c>
      <c r="AA307" s="72" t="s">
        <v>264</v>
      </c>
      <c r="AB307" s="3" t="s">
        <v>605</v>
      </c>
      <c r="AC307" s="3"/>
      <c r="AD307" s="3"/>
    </row>
    <row r="308" spans="1:30" x14ac:dyDescent="0.2">
      <c r="A308">
        <v>306</v>
      </c>
      <c r="B308" s="61" t="s">
        <v>638</v>
      </c>
      <c r="C308" s="69">
        <v>16</v>
      </c>
      <c r="D308" s="69">
        <v>0</v>
      </c>
      <c r="E308" s="69">
        <v>-120</v>
      </c>
      <c r="F308" s="69">
        <v>47</v>
      </c>
      <c r="G308" s="69">
        <v>0</v>
      </c>
      <c r="H308" s="69">
        <v>-11</v>
      </c>
      <c r="I308" s="69">
        <v>34</v>
      </c>
      <c r="J308" s="69">
        <v>0</v>
      </c>
      <c r="K308" s="69">
        <v>-120</v>
      </c>
      <c r="L308" s="69">
        <v>20</v>
      </c>
      <c r="M308" s="69">
        <v>18</v>
      </c>
      <c r="N308" s="69">
        <v>0</v>
      </c>
      <c r="O308" s="69" t="s">
        <v>90</v>
      </c>
      <c r="P308" s="69">
        <v>5</v>
      </c>
      <c r="Q308" s="69">
        <v>20</v>
      </c>
      <c r="R308" s="69">
        <v>64</v>
      </c>
      <c r="S308" s="69">
        <v>58</v>
      </c>
      <c r="T308" s="69">
        <v>64</v>
      </c>
      <c r="U308" s="69">
        <v>58</v>
      </c>
      <c r="V308" s="69" t="s">
        <v>289</v>
      </c>
      <c r="W308" s="69" t="s">
        <v>145</v>
      </c>
      <c r="X308" s="69" t="s">
        <v>444</v>
      </c>
      <c r="Y308" s="69" t="s">
        <v>445</v>
      </c>
      <c r="Z308" s="82">
        <v>45287</v>
      </c>
      <c r="AA308" s="72" t="s">
        <v>264</v>
      </c>
      <c r="AB308" s="3" t="s">
        <v>614</v>
      </c>
      <c r="AC308" s="3"/>
      <c r="AD308" s="3"/>
    </row>
    <row r="309" spans="1:30" x14ac:dyDescent="0.2">
      <c r="A309">
        <v>307</v>
      </c>
      <c r="B309" s="61" t="s">
        <v>639</v>
      </c>
      <c r="C309" s="69">
        <v>15</v>
      </c>
      <c r="D309" s="69">
        <v>0</v>
      </c>
      <c r="E309" s="69">
        <v>-120</v>
      </c>
      <c r="F309" s="69">
        <v>52</v>
      </c>
      <c r="G309" s="69">
        <v>0</v>
      </c>
      <c r="H309" s="69">
        <v>-13</v>
      </c>
      <c r="I309" s="69">
        <v>34.799999999999997</v>
      </c>
      <c r="J309" s="69">
        <v>0</v>
      </c>
      <c r="K309" s="69">
        <v>-120</v>
      </c>
      <c r="L309" s="69">
        <v>22.225000000000001</v>
      </c>
      <c r="M309" s="69">
        <v>18</v>
      </c>
      <c r="N309" s="69">
        <v>0</v>
      </c>
      <c r="O309" s="69" t="s">
        <v>90</v>
      </c>
      <c r="P309" s="69">
        <v>5</v>
      </c>
      <c r="Q309" s="69">
        <v>20</v>
      </c>
      <c r="R309" s="69">
        <v>64</v>
      </c>
      <c r="S309" s="69">
        <v>58</v>
      </c>
      <c r="T309" s="69">
        <v>64</v>
      </c>
      <c r="U309" s="69">
        <v>58</v>
      </c>
      <c r="V309" s="69" t="s">
        <v>288</v>
      </c>
      <c r="W309" s="69" t="s">
        <v>145</v>
      </c>
      <c r="X309" s="69" t="s">
        <v>456</v>
      </c>
      <c r="Y309" s="69" t="s">
        <v>457</v>
      </c>
      <c r="Z309" s="82">
        <v>45174</v>
      </c>
      <c r="AA309" s="72">
        <v>0</v>
      </c>
      <c r="AB309" s="96" t="s">
        <v>605</v>
      </c>
      <c r="AC309" s="3"/>
      <c r="AD309" s="3"/>
    </row>
    <row r="310" spans="1:30" x14ac:dyDescent="0.2">
      <c r="A310">
        <v>308</v>
      </c>
      <c r="B310" s="61" t="s">
        <v>640</v>
      </c>
      <c r="C310" s="69">
        <v>20</v>
      </c>
      <c r="D310" s="69">
        <v>0</v>
      </c>
      <c r="E310" s="69">
        <v>-120</v>
      </c>
      <c r="F310" s="69">
        <v>72</v>
      </c>
      <c r="G310" s="69">
        <v>0</v>
      </c>
      <c r="H310" s="69">
        <v>-13</v>
      </c>
      <c r="I310" s="69">
        <v>27</v>
      </c>
      <c r="J310" s="69">
        <v>0</v>
      </c>
      <c r="K310" s="69">
        <v>-120</v>
      </c>
      <c r="L310" s="69">
        <v>35</v>
      </c>
      <c r="M310" s="69">
        <v>39</v>
      </c>
      <c r="N310" s="69">
        <v>0</v>
      </c>
      <c r="O310" s="69" t="s">
        <v>90</v>
      </c>
      <c r="P310" s="69">
        <v>6</v>
      </c>
      <c r="Q310" s="69">
        <v>20</v>
      </c>
      <c r="R310" s="69">
        <v>64</v>
      </c>
      <c r="S310" s="69">
        <v>59</v>
      </c>
      <c r="T310" s="69">
        <v>64</v>
      </c>
      <c r="U310" s="69">
        <v>59</v>
      </c>
      <c r="V310" s="69" t="s">
        <v>641</v>
      </c>
      <c r="W310" s="69" t="s">
        <v>145</v>
      </c>
      <c r="X310" s="69" t="s">
        <v>642</v>
      </c>
      <c r="Y310" s="69" t="s">
        <v>643</v>
      </c>
      <c r="Z310" s="82">
        <v>45287</v>
      </c>
      <c r="AA310" s="72" t="s">
        <v>264</v>
      </c>
      <c r="AB310" s="3" t="s">
        <v>498</v>
      </c>
      <c r="AC310" s="3"/>
      <c r="AD310" s="3"/>
    </row>
    <row r="311" spans="1:30" x14ac:dyDescent="0.2">
      <c r="A311">
        <v>309</v>
      </c>
      <c r="B311" s="61" t="s">
        <v>644</v>
      </c>
      <c r="C311" s="69">
        <v>22</v>
      </c>
      <c r="D311" s="69">
        <v>0</v>
      </c>
      <c r="E311" s="69">
        <v>-120</v>
      </c>
      <c r="F311" s="69">
        <v>85</v>
      </c>
      <c r="G311" s="69">
        <v>0</v>
      </c>
      <c r="H311" s="69">
        <v>-15</v>
      </c>
      <c r="I311" s="69">
        <v>33</v>
      </c>
      <c r="J311" s="69">
        <v>0</v>
      </c>
      <c r="K311" s="69">
        <v>-120</v>
      </c>
      <c r="L311" s="69">
        <v>45</v>
      </c>
      <c r="M311" s="69">
        <v>39</v>
      </c>
      <c r="N311" s="69">
        <v>0</v>
      </c>
      <c r="O311" s="69" t="s">
        <v>90</v>
      </c>
      <c r="P311" s="69">
        <v>6</v>
      </c>
      <c r="Q311" s="69">
        <v>23</v>
      </c>
      <c r="R311" s="69">
        <v>64</v>
      </c>
      <c r="S311" s="69">
        <v>59</v>
      </c>
      <c r="T311" s="69">
        <v>64</v>
      </c>
      <c r="U311" s="69">
        <v>59</v>
      </c>
      <c r="V311" s="69" t="s">
        <v>289</v>
      </c>
      <c r="W311" s="69" t="s">
        <v>145</v>
      </c>
      <c r="X311" s="69" t="s">
        <v>645</v>
      </c>
      <c r="Y311" s="69" t="s">
        <v>574</v>
      </c>
      <c r="Z311" s="82">
        <v>45287</v>
      </c>
      <c r="AA311" s="72" t="s">
        <v>264</v>
      </c>
      <c r="AB311" s="3" t="s">
        <v>498</v>
      </c>
      <c r="AC311" s="3"/>
      <c r="AD311" s="3"/>
    </row>
    <row r="312" spans="1:30" x14ac:dyDescent="0.2">
      <c r="A312">
        <v>310</v>
      </c>
      <c r="B312" s="61" t="s">
        <v>647</v>
      </c>
      <c r="C312" s="69">
        <v>27</v>
      </c>
      <c r="D312" s="69">
        <v>0</v>
      </c>
      <c r="E312" s="69">
        <v>-150</v>
      </c>
      <c r="F312" s="69">
        <v>110</v>
      </c>
      <c r="G312" s="69">
        <v>0</v>
      </c>
      <c r="H312" s="69">
        <v>-15</v>
      </c>
      <c r="I312" s="69">
        <v>61.8</v>
      </c>
      <c r="J312" s="69">
        <v>0</v>
      </c>
      <c r="K312" s="69">
        <v>-150</v>
      </c>
      <c r="L312" s="69">
        <v>61.91</v>
      </c>
      <c r="M312" s="69">
        <v>24</v>
      </c>
      <c r="N312" s="69">
        <v>0</v>
      </c>
      <c r="O312" s="69" t="s">
        <v>90</v>
      </c>
      <c r="P312" s="69">
        <v>8</v>
      </c>
      <c r="Q312" s="69">
        <v>28</v>
      </c>
      <c r="R312" s="69">
        <v>64</v>
      </c>
      <c r="S312" s="69">
        <v>59</v>
      </c>
      <c r="T312" s="69">
        <v>64</v>
      </c>
      <c r="U312" s="69">
        <v>59</v>
      </c>
      <c r="V312" s="72" t="s">
        <v>289</v>
      </c>
      <c r="W312" s="72" t="s">
        <v>145</v>
      </c>
      <c r="X312" s="81" t="s">
        <v>409</v>
      </c>
      <c r="Y312" s="69" t="s">
        <v>408</v>
      </c>
      <c r="Z312" s="82">
        <v>45287</v>
      </c>
      <c r="AA312" s="72" t="s">
        <v>264</v>
      </c>
      <c r="AB312" s="3"/>
      <c r="AC312" s="3"/>
      <c r="AD312" s="3"/>
    </row>
    <row r="313" spans="1:30" x14ac:dyDescent="0.2">
      <c r="A313">
        <v>311</v>
      </c>
      <c r="B313" s="121" t="s">
        <v>650</v>
      </c>
      <c r="C313" s="74">
        <v>15</v>
      </c>
      <c r="D313" s="74">
        <v>0</v>
      </c>
      <c r="E313" s="74">
        <v>-120</v>
      </c>
      <c r="F313" s="74">
        <v>52</v>
      </c>
      <c r="G313" s="74">
        <v>0</v>
      </c>
      <c r="H313" s="74">
        <v>-13</v>
      </c>
      <c r="I313" s="74">
        <v>21.5</v>
      </c>
      <c r="J313" s="74">
        <v>0</v>
      </c>
      <c r="K313" s="74">
        <v>-120</v>
      </c>
      <c r="L313" s="74">
        <v>22.225000000000001</v>
      </c>
      <c r="M313" s="74">
        <v>18</v>
      </c>
      <c r="N313" s="74">
        <v>0</v>
      </c>
      <c r="O313" s="85" t="s">
        <v>90</v>
      </c>
      <c r="P313" s="74">
        <v>5</v>
      </c>
      <c r="Q313" s="74">
        <v>20</v>
      </c>
      <c r="R313" s="74">
        <v>64</v>
      </c>
      <c r="S313" s="74">
        <v>58</v>
      </c>
      <c r="T313" s="74">
        <v>64</v>
      </c>
      <c r="U313" s="74">
        <v>58</v>
      </c>
      <c r="V313" s="85" t="s">
        <v>288</v>
      </c>
      <c r="W313" s="85" t="s">
        <v>145</v>
      </c>
      <c r="X313" s="85" t="s">
        <v>651</v>
      </c>
      <c r="Y313" s="85" t="s">
        <v>439</v>
      </c>
      <c r="Z313" s="118">
        <v>45306</v>
      </c>
      <c r="AA313" s="85" t="s">
        <v>264</v>
      </c>
      <c r="AB313" s="96" t="s">
        <v>605</v>
      </c>
      <c r="AC313" s="3"/>
      <c r="AD313" s="3"/>
    </row>
    <row r="314" spans="1:30" x14ac:dyDescent="0.2">
      <c r="A314">
        <v>312</v>
      </c>
      <c r="B314" s="121" t="s">
        <v>652</v>
      </c>
      <c r="C314" s="74">
        <v>34</v>
      </c>
      <c r="D314" s="74">
        <v>0</v>
      </c>
      <c r="E314" s="74">
        <v>-150</v>
      </c>
      <c r="F314" s="74">
        <v>120</v>
      </c>
      <c r="G314" s="74">
        <v>0</v>
      </c>
      <c r="H314" s="74">
        <v>-18</v>
      </c>
      <c r="I314" s="74">
        <v>55.6</v>
      </c>
      <c r="J314" s="74">
        <v>0</v>
      </c>
      <c r="K314" s="74">
        <v>-150</v>
      </c>
      <c r="L314" s="74">
        <v>50.8</v>
      </c>
      <c r="M314" s="74">
        <v>24</v>
      </c>
      <c r="N314" s="74">
        <v>0</v>
      </c>
      <c r="O314" s="74" t="s">
        <v>90</v>
      </c>
      <c r="P314" s="74">
        <v>8</v>
      </c>
      <c r="Q314" s="74">
        <v>28</v>
      </c>
      <c r="R314" s="74">
        <v>64</v>
      </c>
      <c r="S314" s="74">
        <v>59</v>
      </c>
      <c r="T314" s="74">
        <v>64</v>
      </c>
      <c r="U314" s="74">
        <v>59</v>
      </c>
      <c r="V314" s="74" t="s">
        <v>288</v>
      </c>
      <c r="W314" s="74" t="s">
        <v>145</v>
      </c>
      <c r="X314" s="74" t="s">
        <v>498</v>
      </c>
      <c r="Y314" s="74" t="s">
        <v>498</v>
      </c>
      <c r="Z314" s="118">
        <v>45406</v>
      </c>
      <c r="AA314" s="74" t="s">
        <v>57</v>
      </c>
      <c r="AB314" s="3" t="s">
        <v>653</v>
      </c>
      <c r="AC314" s="3"/>
      <c r="AD314" s="3"/>
    </row>
    <row r="315" spans="1:30" x14ac:dyDescent="0.2">
      <c r="A315">
        <v>313</v>
      </c>
      <c r="B315" s="121" t="s">
        <v>654</v>
      </c>
      <c r="C315" s="74">
        <v>25</v>
      </c>
      <c r="D315" s="74">
        <v>0</v>
      </c>
      <c r="E315" s="74">
        <v>-150</v>
      </c>
      <c r="F315" s="74">
        <v>100</v>
      </c>
      <c r="G315" s="74">
        <v>0</v>
      </c>
      <c r="H315" s="74">
        <v>-15</v>
      </c>
      <c r="I315" s="74">
        <v>55.5</v>
      </c>
      <c r="J315" s="74">
        <v>0</v>
      </c>
      <c r="K315" s="74">
        <v>-150</v>
      </c>
      <c r="L315" s="74">
        <v>55.5625</v>
      </c>
      <c r="M315" s="74" t="s">
        <v>498</v>
      </c>
      <c r="N315" s="74" t="s">
        <v>498</v>
      </c>
      <c r="O315" s="74" t="s">
        <v>90</v>
      </c>
      <c r="P315" s="74">
        <v>8</v>
      </c>
      <c r="Q315" s="74">
        <v>28</v>
      </c>
      <c r="R315" s="74">
        <v>64</v>
      </c>
      <c r="S315" s="74">
        <v>59</v>
      </c>
      <c r="T315" s="74">
        <v>64</v>
      </c>
      <c r="U315" s="74">
        <v>59</v>
      </c>
      <c r="V315" s="74" t="s">
        <v>288</v>
      </c>
      <c r="W315" s="74" t="s">
        <v>145</v>
      </c>
      <c r="X315" s="74" t="s">
        <v>273</v>
      </c>
      <c r="Y315" s="74" t="s">
        <v>574</v>
      </c>
      <c r="Z315" s="118">
        <v>45287</v>
      </c>
      <c r="AA315" s="74" t="s">
        <v>264</v>
      </c>
      <c r="AB315" s="3" t="s">
        <v>653</v>
      </c>
      <c r="AC315" s="3"/>
      <c r="AD315" s="3"/>
    </row>
    <row r="316" spans="1:30" x14ac:dyDescent="0.2">
      <c r="A316">
        <v>314</v>
      </c>
      <c r="B316" s="121" t="s">
        <v>655</v>
      </c>
      <c r="C316" s="74">
        <v>28</v>
      </c>
      <c r="D316" s="74">
        <v>0</v>
      </c>
      <c r="E316" s="74">
        <v>-150</v>
      </c>
      <c r="F316" s="74">
        <v>120</v>
      </c>
      <c r="G316" s="74">
        <v>0</v>
      </c>
      <c r="H316" s="74">
        <v>-15</v>
      </c>
      <c r="I316" s="74">
        <v>65.099999999999994</v>
      </c>
      <c r="J316" s="74">
        <v>0</v>
      </c>
      <c r="K316" s="74">
        <v>-150</v>
      </c>
      <c r="L316" s="74">
        <v>65</v>
      </c>
      <c r="M316" s="74">
        <v>24</v>
      </c>
      <c r="N316" s="74">
        <v>0</v>
      </c>
      <c r="O316" s="74" t="s">
        <v>90</v>
      </c>
      <c r="P316" s="74">
        <v>8</v>
      </c>
      <c r="Q316" s="74">
        <v>28</v>
      </c>
      <c r="R316" s="74">
        <v>64</v>
      </c>
      <c r="S316" s="74">
        <v>58</v>
      </c>
      <c r="T316" s="74">
        <v>64</v>
      </c>
      <c r="U316" s="74">
        <v>58</v>
      </c>
      <c r="V316" s="74" t="s">
        <v>288</v>
      </c>
      <c r="W316" s="74" t="s">
        <v>145</v>
      </c>
      <c r="X316" s="74" t="s">
        <v>656</v>
      </c>
      <c r="Y316" s="74" t="s">
        <v>657</v>
      </c>
      <c r="Z316" s="118">
        <v>45315</v>
      </c>
      <c r="AA316" s="74" t="s">
        <v>264</v>
      </c>
      <c r="AB316" s="3" t="s">
        <v>614</v>
      </c>
      <c r="AC316" s="3"/>
      <c r="AD316" s="3"/>
    </row>
    <row r="317" spans="1:30" x14ac:dyDescent="0.2">
      <c r="A317">
        <v>315</v>
      </c>
      <c r="B317" s="121" t="s">
        <v>658</v>
      </c>
      <c r="C317" s="74">
        <v>33</v>
      </c>
      <c r="D317" s="74">
        <v>0</v>
      </c>
      <c r="E317" s="74">
        <v>-150</v>
      </c>
      <c r="F317" s="74">
        <v>140</v>
      </c>
      <c r="G317" s="74">
        <v>0</v>
      </c>
      <c r="H317" s="74">
        <v>-18</v>
      </c>
      <c r="I317" s="74">
        <v>82.6</v>
      </c>
      <c r="J317" s="74">
        <v>0</v>
      </c>
      <c r="K317" s="74">
        <v>-150</v>
      </c>
      <c r="L317" s="74">
        <v>80</v>
      </c>
      <c r="M317" s="74">
        <v>24</v>
      </c>
      <c r="N317" s="74">
        <v>0</v>
      </c>
      <c r="O317" s="74" t="s">
        <v>90</v>
      </c>
      <c r="P317" s="74">
        <v>10</v>
      </c>
      <c r="Q317" s="74">
        <v>30</v>
      </c>
      <c r="R317" s="74">
        <v>64</v>
      </c>
      <c r="S317" s="74">
        <v>59</v>
      </c>
      <c r="T317" s="74">
        <v>64</v>
      </c>
      <c r="U317" s="74">
        <v>59</v>
      </c>
      <c r="V317" s="74" t="s">
        <v>288</v>
      </c>
      <c r="W317" s="74" t="s">
        <v>145</v>
      </c>
      <c r="X317" s="74" t="s">
        <v>659</v>
      </c>
      <c r="Y317" s="74" t="s">
        <v>660</v>
      </c>
      <c r="Z317" s="118">
        <v>45287</v>
      </c>
      <c r="AA317" s="74" t="s">
        <v>264</v>
      </c>
      <c r="AB317" s="3" t="s">
        <v>614</v>
      </c>
      <c r="AC317" s="3"/>
      <c r="AD317" s="3"/>
    </row>
    <row r="318" spans="1:30" x14ac:dyDescent="0.2">
      <c r="A318">
        <v>316</v>
      </c>
      <c r="B318" s="121" t="s">
        <v>661</v>
      </c>
      <c r="C318" s="74">
        <v>37</v>
      </c>
      <c r="D318" s="74">
        <v>0</v>
      </c>
      <c r="E318" s="74">
        <v>-200</v>
      </c>
      <c r="F318" s="74">
        <v>160</v>
      </c>
      <c r="G318" s="74">
        <v>0</v>
      </c>
      <c r="H318" s="74">
        <v>-25</v>
      </c>
      <c r="I318" s="74">
        <v>96</v>
      </c>
      <c r="J318" s="74">
        <v>0</v>
      </c>
      <c r="K318" s="74">
        <v>-200</v>
      </c>
      <c r="L318" s="74">
        <v>90</v>
      </c>
      <c r="M318" s="74">
        <v>28</v>
      </c>
      <c r="N318" s="74">
        <v>0</v>
      </c>
      <c r="O318" s="74" t="s">
        <v>90</v>
      </c>
      <c r="P318" s="74">
        <v>12</v>
      </c>
      <c r="Q318" s="74">
        <v>36</v>
      </c>
      <c r="R318" s="74">
        <v>64</v>
      </c>
      <c r="S318" s="74">
        <v>59</v>
      </c>
      <c r="T318" s="74">
        <v>64</v>
      </c>
      <c r="U318" s="74">
        <v>59</v>
      </c>
      <c r="V318" s="74" t="s">
        <v>288</v>
      </c>
      <c r="W318" s="74" t="s">
        <v>145</v>
      </c>
      <c r="X318" s="74" t="s">
        <v>662</v>
      </c>
      <c r="Y318" s="74" t="s">
        <v>663</v>
      </c>
      <c r="Z318" s="118">
        <v>45307</v>
      </c>
      <c r="AA318" s="74" t="s">
        <v>57</v>
      </c>
      <c r="AB318" s="3" t="s">
        <v>614</v>
      </c>
      <c r="AC318" s="3"/>
      <c r="AD318" s="3"/>
    </row>
    <row r="319" spans="1:30" x14ac:dyDescent="0.2">
      <c r="A319">
        <v>317</v>
      </c>
      <c r="B319" s="61" t="s">
        <v>664</v>
      </c>
      <c r="C319" s="69">
        <v>15</v>
      </c>
      <c r="D319" s="69">
        <v>0</v>
      </c>
      <c r="E319" s="69">
        <v>-120</v>
      </c>
      <c r="F319" s="69">
        <v>52</v>
      </c>
      <c r="G319" s="69">
        <v>0</v>
      </c>
      <c r="H319" s="69">
        <v>-13</v>
      </c>
      <c r="I319" s="69">
        <v>21.5</v>
      </c>
      <c r="J319" s="69">
        <v>0</v>
      </c>
      <c r="K319" s="69">
        <v>-120</v>
      </c>
      <c r="L319" s="69">
        <v>25</v>
      </c>
      <c r="M319" s="69">
        <v>18</v>
      </c>
      <c r="N319" s="69">
        <v>0</v>
      </c>
      <c r="O319" s="69" t="s">
        <v>90</v>
      </c>
      <c r="P319" s="69">
        <v>5</v>
      </c>
      <c r="Q319" s="69">
        <v>20</v>
      </c>
      <c r="R319" s="69">
        <v>64</v>
      </c>
      <c r="S319" s="69">
        <v>58</v>
      </c>
      <c r="T319" s="69">
        <v>64</v>
      </c>
      <c r="U319" s="69">
        <v>58</v>
      </c>
      <c r="V319" s="69" t="s">
        <v>454</v>
      </c>
      <c r="W319" s="69" t="s">
        <v>145</v>
      </c>
      <c r="X319" s="69" t="s">
        <v>651</v>
      </c>
      <c r="Y319" s="69" t="s">
        <v>439</v>
      </c>
      <c r="Z319" s="82">
        <v>44211</v>
      </c>
      <c r="AA319" s="72" t="s">
        <v>264</v>
      </c>
      <c r="AB319" s="3" t="s">
        <v>614</v>
      </c>
      <c r="AC319" s="3"/>
      <c r="AD319" s="3"/>
    </row>
    <row r="320" spans="1:30" x14ac:dyDescent="0.2">
      <c r="A320">
        <v>318</v>
      </c>
      <c r="B320" s="61" t="s">
        <v>665</v>
      </c>
      <c r="C320" s="69">
        <v>22</v>
      </c>
      <c r="D320" s="69">
        <v>0</v>
      </c>
      <c r="E320" s="69">
        <v>-120</v>
      </c>
      <c r="F320" s="69">
        <v>85</v>
      </c>
      <c r="G320" s="69">
        <v>0</v>
      </c>
      <c r="H320" s="69">
        <v>-15</v>
      </c>
      <c r="I320" s="69">
        <v>42.8</v>
      </c>
      <c r="J320" s="69">
        <v>0</v>
      </c>
      <c r="K320" s="69">
        <v>-120</v>
      </c>
      <c r="L320" s="69">
        <v>44.45</v>
      </c>
      <c r="M320" s="69">
        <v>21</v>
      </c>
      <c r="N320" s="69">
        <v>0</v>
      </c>
      <c r="O320" s="69" t="s">
        <v>90</v>
      </c>
      <c r="P320" s="69">
        <v>6</v>
      </c>
      <c r="Q320" s="69">
        <v>23</v>
      </c>
      <c r="R320" s="69">
        <v>64</v>
      </c>
      <c r="S320" s="69">
        <v>58</v>
      </c>
      <c r="T320" s="69">
        <v>64</v>
      </c>
      <c r="U320" s="69">
        <v>58</v>
      </c>
      <c r="V320" s="70" t="s">
        <v>666</v>
      </c>
      <c r="W320" s="69" t="s">
        <v>145</v>
      </c>
      <c r="X320" s="72" t="s">
        <v>363</v>
      </c>
      <c r="Y320" s="72" t="s">
        <v>364</v>
      </c>
      <c r="Z320" s="82">
        <v>45412</v>
      </c>
      <c r="AA320" s="72" t="s">
        <v>56</v>
      </c>
      <c r="AB320" s="3" t="s">
        <v>653</v>
      </c>
      <c r="AC320" s="3"/>
      <c r="AD320" s="3"/>
    </row>
    <row r="321" spans="1:30" x14ac:dyDescent="0.2">
      <c r="A321">
        <v>319</v>
      </c>
      <c r="B321" s="61" t="s">
        <v>668</v>
      </c>
      <c r="C321" s="69">
        <v>19</v>
      </c>
      <c r="D321" s="69">
        <v>0</v>
      </c>
      <c r="E321" s="69">
        <v>-120</v>
      </c>
      <c r="F321" s="69">
        <v>72</v>
      </c>
      <c r="G321" s="69">
        <v>0</v>
      </c>
      <c r="H321" s="69">
        <v>-15</v>
      </c>
      <c r="I321" s="69">
        <v>25.4</v>
      </c>
      <c r="J321" s="69">
        <v>0</v>
      </c>
      <c r="K321" s="69">
        <v>-120</v>
      </c>
      <c r="L321" s="69">
        <v>36.512</v>
      </c>
      <c r="M321" s="69">
        <v>21</v>
      </c>
      <c r="N321" s="69">
        <v>0</v>
      </c>
      <c r="O321" s="69" t="s">
        <v>90</v>
      </c>
      <c r="P321" s="69">
        <v>6</v>
      </c>
      <c r="Q321" s="69">
        <v>20</v>
      </c>
      <c r="R321" s="69">
        <v>64</v>
      </c>
      <c r="S321" s="69">
        <v>58</v>
      </c>
      <c r="T321" s="69">
        <v>64</v>
      </c>
      <c r="U321" s="69">
        <v>58</v>
      </c>
      <c r="V321" s="69" t="s">
        <v>288</v>
      </c>
      <c r="W321" s="69" t="s">
        <v>145</v>
      </c>
      <c r="X321" s="69" t="s">
        <v>471</v>
      </c>
      <c r="Y321" s="69" t="s">
        <v>472</v>
      </c>
      <c r="Z321" s="82">
        <v>45723</v>
      </c>
      <c r="AA321" s="72" t="s">
        <v>264</v>
      </c>
      <c r="AB321" s="3" t="s">
        <v>605</v>
      </c>
      <c r="AC321" s="3"/>
      <c r="AD321" s="3"/>
    </row>
    <row r="322" spans="1:30" x14ac:dyDescent="0.2">
      <c r="A322">
        <v>320</v>
      </c>
      <c r="B322" s="61" t="s">
        <v>669</v>
      </c>
      <c r="C322" s="69">
        <v>19</v>
      </c>
      <c r="D322" s="69">
        <v>0</v>
      </c>
      <c r="E322" s="69">
        <v>-120</v>
      </c>
      <c r="F322" s="69">
        <v>72</v>
      </c>
      <c r="G322" s="69">
        <v>0</v>
      </c>
      <c r="H322" s="69">
        <v>-13</v>
      </c>
      <c r="I322" s="69">
        <v>37.6</v>
      </c>
      <c r="J322" s="69">
        <v>0</v>
      </c>
      <c r="K322" s="69">
        <v>-120</v>
      </c>
      <c r="L322" s="69">
        <v>35</v>
      </c>
      <c r="M322" s="69">
        <v>21</v>
      </c>
      <c r="N322" s="69">
        <v>0</v>
      </c>
      <c r="O322" s="69" t="s">
        <v>90</v>
      </c>
      <c r="P322" s="69">
        <v>6</v>
      </c>
      <c r="Q322" s="69">
        <v>20</v>
      </c>
      <c r="R322" s="69">
        <v>64</v>
      </c>
      <c r="S322" s="69">
        <v>59</v>
      </c>
      <c r="T322" s="69">
        <v>64</v>
      </c>
      <c r="U322" s="69">
        <v>59</v>
      </c>
      <c r="V322" s="69" t="s">
        <v>288</v>
      </c>
      <c r="W322" s="69" t="s">
        <v>145</v>
      </c>
      <c r="X322" s="72">
        <v>0.44800000000000001</v>
      </c>
      <c r="Y322" s="72">
        <v>0.3</v>
      </c>
      <c r="Z322" s="82">
        <v>45583</v>
      </c>
      <c r="AA322" s="72">
        <v>0</v>
      </c>
      <c r="AB322" s="96" t="s">
        <v>614</v>
      </c>
      <c r="AC322" s="3"/>
      <c r="AD322" s="3"/>
    </row>
    <row r="323" spans="1:30" x14ac:dyDescent="0.2">
      <c r="A323">
        <v>321</v>
      </c>
      <c r="B323" s="61" t="s">
        <v>670</v>
      </c>
      <c r="C323" s="69">
        <v>21</v>
      </c>
      <c r="D323" s="69">
        <v>0</v>
      </c>
      <c r="E323" s="69">
        <v>-120</v>
      </c>
      <c r="F323" s="69">
        <v>80</v>
      </c>
      <c r="G323" s="69">
        <v>0</v>
      </c>
      <c r="H323" s="69">
        <v>-13</v>
      </c>
      <c r="I323" s="69">
        <v>29</v>
      </c>
      <c r="J323" s="69">
        <v>0</v>
      </c>
      <c r="K323" s="69">
        <v>-120</v>
      </c>
      <c r="L323" s="69">
        <v>40</v>
      </c>
      <c r="M323" s="69">
        <v>39</v>
      </c>
      <c r="N323" s="69">
        <v>0</v>
      </c>
      <c r="O323" s="69" t="s">
        <v>90</v>
      </c>
      <c r="P323" s="69">
        <v>6</v>
      </c>
      <c r="Q323" s="69">
        <v>20</v>
      </c>
      <c r="R323" s="69">
        <v>64</v>
      </c>
      <c r="S323" s="69">
        <v>59</v>
      </c>
      <c r="T323" s="69">
        <v>64</v>
      </c>
      <c r="U323" s="69">
        <v>59</v>
      </c>
      <c r="V323" s="69" t="s">
        <v>671</v>
      </c>
      <c r="W323" s="69" t="s">
        <v>145</v>
      </c>
      <c r="X323" s="69" t="s">
        <v>463</v>
      </c>
      <c r="Y323" s="69" t="s">
        <v>464</v>
      </c>
      <c r="Z323" s="82">
        <v>45287</v>
      </c>
      <c r="AA323" s="72" t="s">
        <v>264</v>
      </c>
      <c r="AB323" s="3" t="s">
        <v>498</v>
      </c>
      <c r="AC323" s="3"/>
      <c r="AD323" s="3"/>
    </row>
    <row r="324" spans="1:30" x14ac:dyDescent="0.2">
      <c r="A324">
        <v>322</v>
      </c>
      <c r="B324" s="61" t="s">
        <v>672</v>
      </c>
      <c r="C324" s="69">
        <v>14</v>
      </c>
      <c r="D324" s="69">
        <v>0</v>
      </c>
      <c r="E324" s="69">
        <v>-120</v>
      </c>
      <c r="F324" s="69">
        <v>47</v>
      </c>
      <c r="G324" s="69">
        <v>0</v>
      </c>
      <c r="H324" s="69">
        <v>-11</v>
      </c>
      <c r="I324" s="69">
        <v>21.4</v>
      </c>
      <c r="J324" s="69">
        <v>0</v>
      </c>
      <c r="K324" s="69">
        <v>-120</v>
      </c>
      <c r="L324" s="69">
        <v>20</v>
      </c>
      <c r="M324" s="69">
        <v>18</v>
      </c>
      <c r="N324" s="69">
        <v>0</v>
      </c>
      <c r="O324" s="69" t="s">
        <v>90</v>
      </c>
      <c r="P324" s="69">
        <v>5</v>
      </c>
      <c r="Q324" s="69">
        <v>20</v>
      </c>
      <c r="R324" s="69">
        <v>64</v>
      </c>
      <c r="S324" s="69">
        <v>59</v>
      </c>
      <c r="T324" s="69">
        <v>64</v>
      </c>
      <c r="U324" s="69">
        <v>59</v>
      </c>
      <c r="V324" s="69" t="s">
        <v>288</v>
      </c>
      <c r="W324" s="69" t="s">
        <v>145</v>
      </c>
      <c r="X324" s="69" t="s">
        <v>438</v>
      </c>
      <c r="Y324" s="69" t="s">
        <v>439</v>
      </c>
      <c r="Z324" s="82">
        <v>45287</v>
      </c>
      <c r="AA324" s="72" t="s">
        <v>264</v>
      </c>
      <c r="AB324" s="3" t="s">
        <v>614</v>
      </c>
      <c r="AC324" s="3"/>
      <c r="AD324" s="3"/>
    </row>
    <row r="325" spans="1:30" x14ac:dyDescent="0.2">
      <c r="A325">
        <v>323</v>
      </c>
      <c r="B325" s="61" t="s">
        <v>673</v>
      </c>
      <c r="C325" s="74">
        <v>18</v>
      </c>
      <c r="D325" s="74">
        <v>0</v>
      </c>
      <c r="E325" s="74">
        <v>-120</v>
      </c>
      <c r="F325" s="74">
        <v>62</v>
      </c>
      <c r="G325" s="74">
        <v>0</v>
      </c>
      <c r="H325" s="74">
        <v>-13</v>
      </c>
      <c r="I325" s="74">
        <v>36.4</v>
      </c>
      <c r="J325" s="74">
        <v>0</v>
      </c>
      <c r="K325" s="74">
        <v>-120</v>
      </c>
      <c r="L325" s="74">
        <v>28.574999999999999</v>
      </c>
      <c r="M325" s="74">
        <v>18</v>
      </c>
      <c r="N325" s="74">
        <v>0</v>
      </c>
      <c r="O325" s="74" t="s">
        <v>90</v>
      </c>
      <c r="P325" s="74">
        <v>5</v>
      </c>
      <c r="Q325" s="74">
        <v>20</v>
      </c>
      <c r="R325" s="74">
        <v>64</v>
      </c>
      <c r="S325" s="74">
        <v>58</v>
      </c>
      <c r="T325" s="74">
        <v>64</v>
      </c>
      <c r="U325" s="74">
        <v>58</v>
      </c>
      <c r="V325" s="74" t="s">
        <v>288</v>
      </c>
      <c r="W325" s="74" t="s">
        <v>145</v>
      </c>
      <c r="X325" s="74" t="s">
        <v>615</v>
      </c>
      <c r="Y325" s="74" t="s">
        <v>616</v>
      </c>
      <c r="Z325" s="118">
        <v>45182</v>
      </c>
      <c r="AA325" s="74">
        <v>0</v>
      </c>
      <c r="AB325" s="3" t="s">
        <v>605</v>
      </c>
      <c r="AC325" s="3"/>
      <c r="AD325" s="3"/>
    </row>
    <row r="326" spans="1:30" x14ac:dyDescent="0.2">
      <c r="A326">
        <v>324</v>
      </c>
      <c r="B326" s="61" t="s">
        <v>674</v>
      </c>
      <c r="C326" s="69">
        <v>21</v>
      </c>
      <c r="D326" s="69">
        <v>0</v>
      </c>
      <c r="E326" s="69">
        <v>-120</v>
      </c>
      <c r="F326" s="69">
        <v>80</v>
      </c>
      <c r="G326" s="69">
        <v>0</v>
      </c>
      <c r="H326" s="69">
        <v>-13</v>
      </c>
      <c r="I326" s="69">
        <v>30.2</v>
      </c>
      <c r="J326" s="69">
        <v>0</v>
      </c>
      <c r="K326" s="69">
        <v>-120</v>
      </c>
      <c r="L326" s="69">
        <v>40</v>
      </c>
      <c r="M326" s="69">
        <v>21</v>
      </c>
      <c r="N326" s="69">
        <v>0</v>
      </c>
      <c r="O326" s="69" t="s">
        <v>90</v>
      </c>
      <c r="P326" s="69">
        <v>6</v>
      </c>
      <c r="Q326" s="69">
        <v>20</v>
      </c>
      <c r="R326" s="69">
        <v>64</v>
      </c>
      <c r="S326" s="69">
        <v>59</v>
      </c>
      <c r="T326" s="69">
        <v>64</v>
      </c>
      <c r="U326" s="69">
        <v>59</v>
      </c>
      <c r="V326" s="69" t="s">
        <v>288</v>
      </c>
      <c r="W326" s="69" t="s">
        <v>145</v>
      </c>
      <c r="X326" s="69" t="s">
        <v>451</v>
      </c>
      <c r="Y326" s="69" t="s">
        <v>452</v>
      </c>
      <c r="Z326" s="82">
        <v>44942</v>
      </c>
      <c r="AA326" s="72" t="s">
        <v>57</v>
      </c>
      <c r="AB326" s="3" t="s">
        <v>614</v>
      </c>
      <c r="AC326" s="3"/>
      <c r="AD326" s="3"/>
    </row>
    <row r="327" spans="1:30" x14ac:dyDescent="0.2">
      <c r="A327">
        <v>325</v>
      </c>
      <c r="B327" s="61" t="s">
        <v>675</v>
      </c>
      <c r="C327" s="69">
        <v>15</v>
      </c>
      <c r="D327" s="69">
        <v>0</v>
      </c>
      <c r="E327" s="69">
        <v>-120</v>
      </c>
      <c r="F327" s="69">
        <v>52</v>
      </c>
      <c r="G327" s="69">
        <v>0</v>
      </c>
      <c r="H327" s="69">
        <v>-13</v>
      </c>
      <c r="I327" s="69">
        <v>34.799999999999997</v>
      </c>
      <c r="J327" s="69">
        <v>0</v>
      </c>
      <c r="K327" s="69">
        <v>-120</v>
      </c>
      <c r="L327" s="69">
        <v>25</v>
      </c>
      <c r="M327" s="69">
        <v>18</v>
      </c>
      <c r="N327" s="69">
        <v>0</v>
      </c>
      <c r="O327" s="69" t="s">
        <v>90</v>
      </c>
      <c r="P327" s="69">
        <v>5</v>
      </c>
      <c r="Q327" s="69">
        <v>20</v>
      </c>
      <c r="R327" s="69">
        <v>64</v>
      </c>
      <c r="S327" s="69">
        <v>58</v>
      </c>
      <c r="T327" s="69">
        <v>64</v>
      </c>
      <c r="U327" s="69">
        <v>58</v>
      </c>
      <c r="V327" s="70" t="s">
        <v>288</v>
      </c>
      <c r="W327" s="69" t="s">
        <v>145</v>
      </c>
      <c r="X327" s="72">
        <v>0.23</v>
      </c>
      <c r="Y327" s="72">
        <v>0.157</v>
      </c>
      <c r="Z327" s="82">
        <v>45524</v>
      </c>
      <c r="AA327" s="72" t="s">
        <v>264</v>
      </c>
      <c r="AB327" s="96" t="s">
        <v>614</v>
      </c>
      <c r="AC327" s="3"/>
      <c r="AD327" s="3"/>
    </row>
    <row r="328" spans="1:30" x14ac:dyDescent="0.2">
      <c r="A328">
        <v>326</v>
      </c>
      <c r="B328" s="61" t="s">
        <v>677</v>
      </c>
      <c r="C328" s="74">
        <v>22</v>
      </c>
      <c r="D328" s="74">
        <v>0</v>
      </c>
      <c r="E328" s="74">
        <v>-120</v>
      </c>
      <c r="F328" s="74">
        <v>85</v>
      </c>
      <c r="G328" s="74">
        <v>0</v>
      </c>
      <c r="H328" s="74">
        <v>-15</v>
      </c>
      <c r="I328" s="74">
        <v>30.2</v>
      </c>
      <c r="J328" s="74">
        <v>0</v>
      </c>
      <c r="K328" s="74">
        <v>-120</v>
      </c>
      <c r="L328" s="74">
        <v>44.45</v>
      </c>
      <c r="M328" s="74">
        <v>21</v>
      </c>
      <c r="N328" s="74">
        <v>0</v>
      </c>
      <c r="O328" s="74" t="s">
        <v>90</v>
      </c>
      <c r="P328" s="74">
        <v>6</v>
      </c>
      <c r="Q328" s="74">
        <v>23</v>
      </c>
      <c r="R328" s="74">
        <v>64</v>
      </c>
      <c r="S328" s="74">
        <v>59</v>
      </c>
      <c r="T328" s="74">
        <v>64</v>
      </c>
      <c r="U328" s="74">
        <v>59</v>
      </c>
      <c r="V328" s="74" t="s">
        <v>288</v>
      </c>
      <c r="W328" s="74" t="s">
        <v>145</v>
      </c>
      <c r="X328" s="74" t="s">
        <v>451</v>
      </c>
      <c r="Y328" s="74" t="s">
        <v>452</v>
      </c>
      <c r="Z328" s="118">
        <v>45287</v>
      </c>
      <c r="AA328" s="74" t="s">
        <v>264</v>
      </c>
      <c r="AB328" s="3" t="s">
        <v>605</v>
      </c>
      <c r="AC328" s="3"/>
      <c r="AD328" s="3"/>
    </row>
    <row r="329" spans="1:30" x14ac:dyDescent="0.2">
      <c r="A329">
        <v>327</v>
      </c>
      <c r="B329" s="61" t="s">
        <v>676</v>
      </c>
      <c r="C329" s="74">
        <v>21</v>
      </c>
      <c r="D329" s="74">
        <v>0</v>
      </c>
      <c r="E329" s="74">
        <v>-120</v>
      </c>
      <c r="F329" s="74">
        <v>62</v>
      </c>
      <c r="G329" s="74">
        <v>0</v>
      </c>
      <c r="H329" s="74">
        <v>-13</v>
      </c>
      <c r="I329" s="74">
        <v>34.9</v>
      </c>
      <c r="J329" s="74">
        <v>0</v>
      </c>
      <c r="K329" s="74">
        <v>-120</v>
      </c>
      <c r="L329" s="74">
        <v>25</v>
      </c>
      <c r="M329" s="74">
        <v>18</v>
      </c>
      <c r="N329" s="74">
        <v>0</v>
      </c>
      <c r="O329" s="74" t="s">
        <v>90</v>
      </c>
      <c r="P329" s="74">
        <v>5</v>
      </c>
      <c r="Q329" s="74">
        <v>20</v>
      </c>
      <c r="R329" s="74">
        <v>64</v>
      </c>
      <c r="S329" s="74">
        <v>59</v>
      </c>
      <c r="T329" s="74">
        <v>64</v>
      </c>
      <c r="U329" s="74">
        <v>59</v>
      </c>
      <c r="V329" s="74" t="s">
        <v>288</v>
      </c>
      <c r="W329" s="74" t="s">
        <v>145</v>
      </c>
      <c r="X329" s="74" t="s">
        <v>615</v>
      </c>
      <c r="Y329" s="74" t="s">
        <v>616</v>
      </c>
      <c r="Z329" s="118">
        <v>45287</v>
      </c>
      <c r="AA329" s="74" t="s">
        <v>264</v>
      </c>
      <c r="AB329" s="3" t="s">
        <v>614</v>
      </c>
      <c r="AC329" s="3"/>
      <c r="AD329" s="3"/>
    </row>
    <row r="330" spans="1:30" x14ac:dyDescent="0.2">
      <c r="A330">
        <v>328</v>
      </c>
      <c r="B330" s="122" t="s">
        <v>678</v>
      </c>
      <c r="C330" s="74">
        <v>27</v>
      </c>
      <c r="D330" s="74">
        <v>0</v>
      </c>
      <c r="E330" s="74">
        <v>-120</v>
      </c>
      <c r="F330" s="74">
        <v>90</v>
      </c>
      <c r="G330" s="74">
        <v>0</v>
      </c>
      <c r="H330" s="74">
        <v>-15</v>
      </c>
      <c r="I330" s="74">
        <v>41.3</v>
      </c>
      <c r="J330" s="74">
        <v>0</v>
      </c>
      <c r="K330" s="74">
        <v>-120</v>
      </c>
      <c r="L330" s="74">
        <v>40</v>
      </c>
      <c r="M330" s="74">
        <v>21</v>
      </c>
      <c r="N330" s="74">
        <v>0</v>
      </c>
      <c r="O330" s="85" t="s">
        <v>90</v>
      </c>
      <c r="P330" s="74">
        <v>6</v>
      </c>
      <c r="Q330" s="74">
        <v>20</v>
      </c>
      <c r="R330" s="74">
        <v>64</v>
      </c>
      <c r="S330" s="74">
        <v>58</v>
      </c>
      <c r="T330" s="74">
        <v>64</v>
      </c>
      <c r="U330" s="74">
        <v>58</v>
      </c>
      <c r="V330" s="85" t="s">
        <v>288</v>
      </c>
      <c r="W330" s="85" t="s">
        <v>145</v>
      </c>
      <c r="X330" s="74">
        <v>0.67800000000000005</v>
      </c>
      <c r="Y330" s="85" t="s">
        <v>679</v>
      </c>
      <c r="Z330" s="118">
        <v>45287</v>
      </c>
      <c r="AA330" s="85" t="s">
        <v>264</v>
      </c>
      <c r="AB330" s="3" t="s">
        <v>614</v>
      </c>
      <c r="AC330" s="3"/>
      <c r="AD330" s="3"/>
    </row>
    <row r="331" spans="1:30" x14ac:dyDescent="0.2">
      <c r="A331">
        <v>329</v>
      </c>
      <c r="B331" s="60" t="s">
        <v>680</v>
      </c>
      <c r="C331" s="69">
        <v>15</v>
      </c>
      <c r="D331" s="69">
        <v>0</v>
      </c>
      <c r="E331" s="69">
        <v>-120</v>
      </c>
      <c r="F331" s="69">
        <v>52</v>
      </c>
      <c r="G331" s="69">
        <v>0</v>
      </c>
      <c r="H331" s="69">
        <v>-13</v>
      </c>
      <c r="I331" s="69">
        <v>34.799999999999997</v>
      </c>
      <c r="J331" s="69">
        <v>0</v>
      </c>
      <c r="K331" s="69">
        <v>-120</v>
      </c>
      <c r="L331" s="69">
        <v>25.4</v>
      </c>
      <c r="M331" s="69">
        <v>18</v>
      </c>
      <c r="N331" s="69">
        <v>0</v>
      </c>
      <c r="O331" s="69" t="s">
        <v>90</v>
      </c>
      <c r="P331" s="69">
        <v>5</v>
      </c>
      <c r="Q331" s="69">
        <v>20</v>
      </c>
      <c r="R331" s="69">
        <v>64</v>
      </c>
      <c r="S331" s="69">
        <v>58</v>
      </c>
      <c r="T331" s="69">
        <v>64</v>
      </c>
      <c r="U331" s="69">
        <v>58</v>
      </c>
      <c r="V331" s="70" t="s">
        <v>722</v>
      </c>
      <c r="W331" s="69" t="s">
        <v>145</v>
      </c>
      <c r="X331" s="72">
        <v>0.23</v>
      </c>
      <c r="Y331" s="72">
        <v>0.157</v>
      </c>
      <c r="Z331" s="82">
        <v>45523</v>
      </c>
      <c r="AA331" s="72">
        <v>0</v>
      </c>
      <c r="AB331" s="96" t="s">
        <v>692</v>
      </c>
      <c r="AC331" s="3"/>
      <c r="AD331" s="3"/>
    </row>
    <row r="332" spans="1:30" x14ac:dyDescent="0.2">
      <c r="A332">
        <v>330</v>
      </c>
      <c r="B332" s="61" t="s">
        <v>681</v>
      </c>
      <c r="C332" s="69">
        <v>21</v>
      </c>
      <c r="D332" s="69">
        <v>0</v>
      </c>
      <c r="E332" s="69">
        <v>-120</v>
      </c>
      <c r="F332" s="69">
        <v>80</v>
      </c>
      <c r="G332" s="69">
        <v>0</v>
      </c>
      <c r="H332" s="69">
        <v>-13</v>
      </c>
      <c r="I332" s="69">
        <v>49.2</v>
      </c>
      <c r="J332" s="69">
        <v>0</v>
      </c>
      <c r="K332" s="69">
        <v>-120</v>
      </c>
      <c r="L332" s="69">
        <v>40</v>
      </c>
      <c r="M332" s="69">
        <v>21</v>
      </c>
      <c r="N332" s="69">
        <v>0</v>
      </c>
      <c r="O332" s="69" t="s">
        <v>413</v>
      </c>
      <c r="P332" s="69">
        <v>6</v>
      </c>
      <c r="Q332" s="69">
        <v>20</v>
      </c>
      <c r="R332" s="69">
        <v>64</v>
      </c>
      <c r="S332" s="69">
        <v>58</v>
      </c>
      <c r="T332" s="69">
        <v>64</v>
      </c>
      <c r="U332" s="69">
        <v>58</v>
      </c>
      <c r="V332" s="70" t="s">
        <v>682</v>
      </c>
      <c r="W332" s="69" t="s">
        <v>145</v>
      </c>
      <c r="X332" s="72" t="s">
        <v>351</v>
      </c>
      <c r="Y332" s="72" t="s">
        <v>352</v>
      </c>
      <c r="Z332" s="82">
        <v>45583</v>
      </c>
      <c r="AA332" s="72">
        <v>0</v>
      </c>
      <c r="AB332" s="3" t="s">
        <v>628</v>
      </c>
      <c r="AC332" s="3"/>
      <c r="AD332" s="3"/>
    </row>
    <row r="333" spans="1:30" x14ac:dyDescent="0.2">
      <c r="A333">
        <v>331</v>
      </c>
      <c r="B333" s="60" t="s">
        <v>685</v>
      </c>
      <c r="C333" s="69">
        <v>25</v>
      </c>
      <c r="D333" s="69">
        <v>0</v>
      </c>
      <c r="E333" s="69">
        <v>-120</v>
      </c>
      <c r="F333" s="69">
        <v>80</v>
      </c>
      <c r="G333" s="69">
        <v>0</v>
      </c>
      <c r="H333" s="69">
        <v>-13</v>
      </c>
      <c r="I333" s="69">
        <v>38.1</v>
      </c>
      <c r="J333" s="69">
        <v>0</v>
      </c>
      <c r="K333" s="69">
        <v>-120</v>
      </c>
      <c r="L333" s="69">
        <v>35</v>
      </c>
      <c r="M333" s="69">
        <v>21</v>
      </c>
      <c r="N333" s="69">
        <v>0</v>
      </c>
      <c r="O333" s="69" t="s">
        <v>90</v>
      </c>
      <c r="P333" s="69">
        <v>6</v>
      </c>
      <c r="Q333" s="69">
        <v>20</v>
      </c>
      <c r="R333" s="69">
        <v>64</v>
      </c>
      <c r="S333" s="69">
        <v>58</v>
      </c>
      <c r="T333" s="69">
        <v>64</v>
      </c>
      <c r="U333" s="69">
        <v>58</v>
      </c>
      <c r="V333" s="70" t="s">
        <v>288</v>
      </c>
      <c r="W333" s="69" t="s">
        <v>145</v>
      </c>
      <c r="X333" s="72" t="s">
        <v>686</v>
      </c>
      <c r="Y333" s="72" t="s">
        <v>343</v>
      </c>
      <c r="Z333" s="82">
        <v>45435</v>
      </c>
      <c r="AA333" s="72" t="s">
        <v>264</v>
      </c>
      <c r="AB333" s="96" t="s">
        <v>634</v>
      </c>
      <c r="AC333" s="3"/>
      <c r="AD333" s="3"/>
    </row>
    <row r="334" spans="1:30" x14ac:dyDescent="0.2">
      <c r="A334">
        <v>332</v>
      </c>
      <c r="B334" s="61" t="s">
        <v>687</v>
      </c>
      <c r="C334" s="69">
        <v>22</v>
      </c>
      <c r="D334" s="69">
        <v>0</v>
      </c>
      <c r="E334" s="69">
        <v>-120</v>
      </c>
      <c r="F334" s="69">
        <v>85</v>
      </c>
      <c r="G334" s="69">
        <v>0</v>
      </c>
      <c r="H334" s="69">
        <v>-15</v>
      </c>
      <c r="I334" s="69">
        <v>49.2</v>
      </c>
      <c r="J334" s="69">
        <v>0</v>
      </c>
      <c r="K334" s="69">
        <v>-120</v>
      </c>
      <c r="L334" s="69">
        <v>45</v>
      </c>
      <c r="M334" s="69">
        <v>21</v>
      </c>
      <c r="N334" s="69">
        <v>0</v>
      </c>
      <c r="O334" s="69" t="s">
        <v>90</v>
      </c>
      <c r="P334" s="69">
        <v>6</v>
      </c>
      <c r="Q334" s="69">
        <v>23</v>
      </c>
      <c r="R334" s="69">
        <v>64</v>
      </c>
      <c r="S334" s="69">
        <v>58</v>
      </c>
      <c r="T334" s="69">
        <v>64</v>
      </c>
      <c r="U334" s="69">
        <v>58</v>
      </c>
      <c r="V334" s="77" t="s">
        <v>158</v>
      </c>
      <c r="W334" s="69" t="s">
        <v>145</v>
      </c>
      <c r="X334" s="72" t="s">
        <v>194</v>
      </c>
      <c r="Y334" s="72" t="s">
        <v>195</v>
      </c>
      <c r="Z334" s="82" t="s">
        <v>498</v>
      </c>
      <c r="AA334" s="72" t="s">
        <v>498</v>
      </c>
      <c r="AB334" s="3" t="s">
        <v>688</v>
      </c>
      <c r="AC334" s="3"/>
      <c r="AD334" s="3"/>
    </row>
    <row r="335" spans="1:30" x14ac:dyDescent="0.2">
      <c r="A335">
        <v>333</v>
      </c>
      <c r="B335" s="61" t="s">
        <v>689</v>
      </c>
      <c r="C335" s="74">
        <v>19</v>
      </c>
      <c r="D335" s="74">
        <v>0</v>
      </c>
      <c r="E335" s="74">
        <v>-120</v>
      </c>
      <c r="F335" s="74">
        <v>62</v>
      </c>
      <c r="G335" s="74" t="s">
        <v>105</v>
      </c>
      <c r="H335" s="74" t="s">
        <v>105</v>
      </c>
      <c r="I335" s="74">
        <v>36.5</v>
      </c>
      <c r="J335" s="74" t="s">
        <v>105</v>
      </c>
      <c r="K335" s="74" t="s">
        <v>105</v>
      </c>
      <c r="L335" s="74">
        <v>30</v>
      </c>
      <c r="M335" s="74">
        <v>20</v>
      </c>
      <c r="N335" s="74">
        <v>0</v>
      </c>
      <c r="O335" s="74" t="s">
        <v>85</v>
      </c>
      <c r="P335" s="74">
        <v>13</v>
      </c>
      <c r="Q335" s="74">
        <v>28</v>
      </c>
      <c r="R335" s="74">
        <v>62</v>
      </c>
      <c r="S335" s="74">
        <v>58</v>
      </c>
      <c r="T335" s="74">
        <v>62</v>
      </c>
      <c r="U335" s="74">
        <v>58</v>
      </c>
      <c r="V335" s="74" t="s">
        <v>289</v>
      </c>
      <c r="W335" s="74" t="s">
        <v>324</v>
      </c>
      <c r="X335" s="74" t="s">
        <v>105</v>
      </c>
      <c r="Y335" s="74" t="s">
        <v>105</v>
      </c>
      <c r="Z335" s="74" t="s">
        <v>498</v>
      </c>
      <c r="AA335" s="74" t="s">
        <v>498</v>
      </c>
      <c r="AB335" s="3" t="s">
        <v>688</v>
      </c>
      <c r="AC335" s="3"/>
      <c r="AD335" s="3"/>
    </row>
    <row r="336" spans="1:30" x14ac:dyDescent="0.2">
      <c r="A336">
        <v>334</v>
      </c>
      <c r="B336" s="61" t="s">
        <v>693</v>
      </c>
      <c r="C336" s="74">
        <v>19</v>
      </c>
      <c r="D336" s="74">
        <v>0</v>
      </c>
      <c r="E336" s="74">
        <v>-120</v>
      </c>
      <c r="F336" s="74">
        <v>72</v>
      </c>
      <c r="G336" s="74">
        <v>0</v>
      </c>
      <c r="H336" s="74">
        <v>-13</v>
      </c>
      <c r="I336" s="74">
        <v>42.9</v>
      </c>
      <c r="J336" s="74">
        <v>0</v>
      </c>
      <c r="K336" s="74">
        <v>-120</v>
      </c>
      <c r="L336" s="74">
        <v>33.9</v>
      </c>
      <c r="M336" s="74">
        <v>100</v>
      </c>
      <c r="N336" s="74">
        <v>0</v>
      </c>
      <c r="O336" s="74" t="s">
        <v>85</v>
      </c>
      <c r="P336" s="74">
        <v>15</v>
      </c>
      <c r="Q336" s="74">
        <v>33</v>
      </c>
      <c r="R336" s="74">
        <v>64</v>
      </c>
      <c r="S336" s="74">
        <v>58</v>
      </c>
      <c r="T336" s="74">
        <v>64</v>
      </c>
      <c r="U336" s="74">
        <v>58</v>
      </c>
      <c r="V336" s="74" t="s">
        <v>288</v>
      </c>
      <c r="W336" s="74" t="s">
        <v>145</v>
      </c>
      <c r="X336" s="74" t="s">
        <v>690</v>
      </c>
      <c r="Y336" s="74" t="s">
        <v>691</v>
      </c>
      <c r="Z336" s="118">
        <v>45572</v>
      </c>
      <c r="AA336" s="74" t="s">
        <v>57</v>
      </c>
      <c r="AB336" s="3" t="s">
        <v>692</v>
      </c>
      <c r="AC336" s="3"/>
      <c r="AD336" s="3"/>
    </row>
    <row r="337" spans="1:30" x14ac:dyDescent="0.2">
      <c r="A337">
        <v>335</v>
      </c>
      <c r="B337" s="63" t="s">
        <v>694</v>
      </c>
      <c r="C337" s="75">
        <v>18</v>
      </c>
      <c r="D337" s="75">
        <v>0</v>
      </c>
      <c r="E337" s="75">
        <v>-120</v>
      </c>
      <c r="F337" s="75">
        <v>62</v>
      </c>
      <c r="G337" s="75">
        <v>0</v>
      </c>
      <c r="H337" s="75">
        <v>-13</v>
      </c>
      <c r="I337" s="75">
        <v>36.4</v>
      </c>
      <c r="J337" s="75">
        <v>0</v>
      </c>
      <c r="K337" s="75">
        <v>-120</v>
      </c>
      <c r="L337" s="75">
        <v>30</v>
      </c>
      <c r="M337" s="75">
        <v>18</v>
      </c>
      <c r="N337" s="75">
        <v>0</v>
      </c>
      <c r="O337" s="75" t="s">
        <v>85</v>
      </c>
      <c r="P337" s="75">
        <v>13</v>
      </c>
      <c r="Q337" s="75">
        <v>28</v>
      </c>
      <c r="R337" s="75">
        <v>64</v>
      </c>
      <c r="S337" s="75">
        <v>58</v>
      </c>
      <c r="T337" s="75">
        <v>64</v>
      </c>
      <c r="U337" s="75">
        <v>58</v>
      </c>
      <c r="V337" s="70" t="s">
        <v>288</v>
      </c>
      <c r="W337" s="69" t="s">
        <v>145</v>
      </c>
      <c r="X337" s="72" t="s">
        <v>197</v>
      </c>
      <c r="Y337" s="72" t="s">
        <v>198</v>
      </c>
      <c r="Z337" s="82">
        <v>45341</v>
      </c>
      <c r="AA337" s="72" t="s">
        <v>57</v>
      </c>
      <c r="AB337" s="96" t="s">
        <v>628</v>
      </c>
      <c r="AC337" s="3"/>
      <c r="AD337" s="3"/>
    </row>
    <row r="338" spans="1:30" x14ac:dyDescent="0.2">
      <c r="A338">
        <v>336</v>
      </c>
      <c r="B338" s="61" t="s">
        <v>695</v>
      </c>
      <c r="C338" s="69">
        <v>22</v>
      </c>
      <c r="D338" s="69">
        <v>0</v>
      </c>
      <c r="E338" s="69">
        <v>-120</v>
      </c>
      <c r="F338" s="69">
        <v>85</v>
      </c>
      <c r="G338" s="69">
        <v>0</v>
      </c>
      <c r="H338" s="69">
        <v>-15</v>
      </c>
      <c r="I338" s="69">
        <v>49.2</v>
      </c>
      <c r="J338" s="69">
        <v>0</v>
      </c>
      <c r="K338" s="69">
        <v>-120</v>
      </c>
      <c r="L338" s="69">
        <v>45</v>
      </c>
      <c r="M338" s="69">
        <v>21</v>
      </c>
      <c r="N338" s="69">
        <v>0</v>
      </c>
      <c r="O338" s="69" t="s">
        <v>90</v>
      </c>
      <c r="P338" s="69">
        <v>6</v>
      </c>
      <c r="Q338" s="69">
        <v>23</v>
      </c>
      <c r="R338" s="69">
        <v>64</v>
      </c>
      <c r="S338" s="69">
        <v>58</v>
      </c>
      <c r="T338" s="69">
        <v>64</v>
      </c>
      <c r="U338" s="69">
        <v>58</v>
      </c>
      <c r="V338" s="69" t="s">
        <v>288</v>
      </c>
      <c r="W338" s="69" t="s">
        <v>145</v>
      </c>
      <c r="X338" s="69" t="s">
        <v>460</v>
      </c>
      <c r="Y338" s="69" t="s">
        <v>336</v>
      </c>
      <c r="Z338" s="82">
        <v>45653</v>
      </c>
      <c r="AA338" s="72" t="s">
        <v>57</v>
      </c>
      <c r="AB338" s="3" t="s">
        <v>628</v>
      </c>
      <c r="AC338" s="3"/>
      <c r="AD338" s="3"/>
    </row>
    <row r="339" spans="1:30" x14ac:dyDescent="0.2">
      <c r="A339">
        <v>337</v>
      </c>
      <c r="B339" s="61" t="s">
        <v>696</v>
      </c>
      <c r="C339" s="69">
        <v>22</v>
      </c>
      <c r="D339" s="69">
        <v>0</v>
      </c>
      <c r="E339" s="69">
        <v>-120</v>
      </c>
      <c r="F339" s="69">
        <v>90</v>
      </c>
      <c r="G339" s="69">
        <v>0</v>
      </c>
      <c r="H339" s="69">
        <v>-15</v>
      </c>
      <c r="I339" s="69">
        <v>49.2</v>
      </c>
      <c r="J339" s="69">
        <v>0</v>
      </c>
      <c r="K339" s="69">
        <v>-120</v>
      </c>
      <c r="L339" s="69">
        <v>50</v>
      </c>
      <c r="M339" s="69">
        <v>21</v>
      </c>
      <c r="N339" s="69">
        <v>0</v>
      </c>
      <c r="O339" s="69" t="s">
        <v>90</v>
      </c>
      <c r="P339" s="69">
        <v>6</v>
      </c>
      <c r="Q339" s="69">
        <v>23</v>
      </c>
      <c r="R339" s="69">
        <v>64</v>
      </c>
      <c r="S339" s="69">
        <v>58</v>
      </c>
      <c r="T339" s="69">
        <v>64</v>
      </c>
      <c r="U339" s="69">
        <v>58</v>
      </c>
      <c r="V339" s="77" t="s">
        <v>288</v>
      </c>
      <c r="W339" s="69" t="s">
        <v>145</v>
      </c>
      <c r="X339" s="72" t="s">
        <v>216</v>
      </c>
      <c r="Y339" s="72" t="s">
        <v>217</v>
      </c>
      <c r="Z339" s="82">
        <v>45611</v>
      </c>
      <c r="AA339" s="72" t="s">
        <v>264</v>
      </c>
      <c r="AB339" s="96" t="s">
        <v>628</v>
      </c>
      <c r="AC339" s="3"/>
      <c r="AD339" s="3"/>
    </row>
    <row r="340" spans="1:30" x14ac:dyDescent="0.2">
      <c r="A340">
        <v>338</v>
      </c>
      <c r="B340" s="61" t="s">
        <v>697</v>
      </c>
      <c r="C340" s="74">
        <v>17</v>
      </c>
      <c r="D340" s="85" t="s">
        <v>105</v>
      </c>
      <c r="E340" s="85" t="s">
        <v>105</v>
      </c>
      <c r="F340" s="74">
        <v>52</v>
      </c>
      <c r="G340" s="74">
        <v>0</v>
      </c>
      <c r="H340" s="74">
        <v>-13</v>
      </c>
      <c r="I340" s="74">
        <v>34.1</v>
      </c>
      <c r="J340" s="74">
        <v>0</v>
      </c>
      <c r="K340" s="74">
        <v>-120</v>
      </c>
      <c r="L340" s="74">
        <v>25</v>
      </c>
      <c r="M340" s="74">
        <v>25</v>
      </c>
      <c r="N340" s="74">
        <v>0</v>
      </c>
      <c r="O340" s="85" t="s">
        <v>85</v>
      </c>
      <c r="P340" s="85">
        <v>13</v>
      </c>
      <c r="Q340" s="85">
        <v>28</v>
      </c>
      <c r="R340" s="85" t="s">
        <v>105</v>
      </c>
      <c r="S340" s="85" t="s">
        <v>105</v>
      </c>
      <c r="T340" s="85" t="s">
        <v>105</v>
      </c>
      <c r="U340" s="85" t="s">
        <v>105</v>
      </c>
      <c r="V340" s="123">
        <v>0.35</v>
      </c>
      <c r="W340" s="85" t="s">
        <v>698</v>
      </c>
      <c r="X340" s="85" t="s">
        <v>684</v>
      </c>
      <c r="Y340" s="85" t="s">
        <v>684</v>
      </c>
      <c r="Z340" s="124">
        <v>39322</v>
      </c>
      <c r="AA340" s="74">
        <v>0</v>
      </c>
      <c r="AB340" s="100" t="s">
        <v>105</v>
      </c>
      <c r="AC340" s="3"/>
      <c r="AD340" s="3"/>
    </row>
    <row r="341" spans="1:30" x14ac:dyDescent="0.2">
      <c r="A341">
        <v>339</v>
      </c>
      <c r="B341" s="121" t="s">
        <v>699</v>
      </c>
      <c r="C341" s="74">
        <v>15</v>
      </c>
      <c r="D341" s="74">
        <v>0</v>
      </c>
      <c r="E341" s="74">
        <v>-120</v>
      </c>
      <c r="F341" s="74">
        <v>52</v>
      </c>
      <c r="G341" s="74">
        <v>0</v>
      </c>
      <c r="H341" s="74">
        <v>-13</v>
      </c>
      <c r="I341" s="74">
        <v>21.4</v>
      </c>
      <c r="J341" s="74">
        <v>0</v>
      </c>
      <c r="K341" s="74">
        <v>-120</v>
      </c>
      <c r="L341" s="74">
        <v>25.4</v>
      </c>
      <c r="M341" s="74">
        <v>18</v>
      </c>
      <c r="N341" s="74">
        <v>0</v>
      </c>
      <c r="O341" s="74" t="s">
        <v>90</v>
      </c>
      <c r="P341" s="74">
        <v>5</v>
      </c>
      <c r="Q341" s="74">
        <v>20</v>
      </c>
      <c r="R341" s="74">
        <v>64</v>
      </c>
      <c r="S341" s="74">
        <v>58</v>
      </c>
      <c r="T341" s="74">
        <v>64</v>
      </c>
      <c r="U341" s="74">
        <v>58</v>
      </c>
      <c r="V341" s="74" t="s">
        <v>289</v>
      </c>
      <c r="W341" s="74" t="s">
        <v>145</v>
      </c>
      <c r="X341" s="74" t="s">
        <v>700</v>
      </c>
      <c r="Y341" s="74" t="s">
        <v>701</v>
      </c>
      <c r="Z341" s="118">
        <v>45583</v>
      </c>
      <c r="AA341" s="74">
        <v>0</v>
      </c>
      <c r="AB341" s="3" t="s">
        <v>692</v>
      </c>
      <c r="AC341" s="3"/>
      <c r="AD341" s="3"/>
    </row>
    <row r="342" spans="1:30" x14ac:dyDescent="0.2">
      <c r="A342">
        <v>340</v>
      </c>
      <c r="B342" s="61" t="s">
        <v>702</v>
      </c>
      <c r="C342" s="74">
        <v>13</v>
      </c>
      <c r="D342" s="74" t="s">
        <v>105</v>
      </c>
      <c r="E342" s="74" t="s">
        <v>105</v>
      </c>
      <c r="F342" s="74">
        <v>40</v>
      </c>
      <c r="G342" s="74" t="s">
        <v>105</v>
      </c>
      <c r="H342" s="74" t="s">
        <v>105</v>
      </c>
      <c r="I342" s="74">
        <v>22.5</v>
      </c>
      <c r="J342" s="74" t="s">
        <v>105</v>
      </c>
      <c r="K342" s="74" t="s">
        <v>105</v>
      </c>
      <c r="L342" s="74">
        <v>17</v>
      </c>
      <c r="M342" s="74" t="s">
        <v>105</v>
      </c>
      <c r="N342" s="74" t="s">
        <v>105</v>
      </c>
      <c r="O342" s="74" t="s">
        <v>105</v>
      </c>
      <c r="P342" s="74" t="s">
        <v>105</v>
      </c>
      <c r="Q342" s="74" t="s">
        <v>105</v>
      </c>
      <c r="R342" s="74" t="s">
        <v>105</v>
      </c>
      <c r="S342" s="74" t="s">
        <v>105</v>
      </c>
      <c r="T342" s="74" t="s">
        <v>105</v>
      </c>
      <c r="U342" s="74" t="s">
        <v>105</v>
      </c>
      <c r="V342" s="74" t="s">
        <v>105</v>
      </c>
      <c r="W342" s="74" t="s">
        <v>105</v>
      </c>
      <c r="X342" s="74" t="s">
        <v>105</v>
      </c>
      <c r="Y342" s="74" t="s">
        <v>105</v>
      </c>
      <c r="Z342" s="74" t="s">
        <v>498</v>
      </c>
      <c r="AA342" s="74">
        <v>0</v>
      </c>
      <c r="AB342" s="3" t="s">
        <v>692</v>
      </c>
      <c r="AC342" s="3" t="s">
        <v>703</v>
      </c>
      <c r="AD342" s="3"/>
    </row>
    <row r="343" spans="1:30" x14ac:dyDescent="0.2">
      <c r="A343">
        <v>341</v>
      </c>
      <c r="B343" s="61" t="s">
        <v>704</v>
      </c>
      <c r="C343" s="74">
        <v>15</v>
      </c>
      <c r="D343" s="74">
        <v>0</v>
      </c>
      <c r="E343" s="74">
        <v>-120</v>
      </c>
      <c r="F343" s="74">
        <v>52</v>
      </c>
      <c r="G343" s="74">
        <v>0</v>
      </c>
      <c r="H343" s="74">
        <v>-13</v>
      </c>
      <c r="I343" s="74">
        <v>21.5</v>
      </c>
      <c r="J343" s="74">
        <v>0</v>
      </c>
      <c r="K343" s="74">
        <v>-120</v>
      </c>
      <c r="L343" s="74">
        <v>25</v>
      </c>
      <c r="M343" s="74">
        <v>18</v>
      </c>
      <c r="N343" s="74">
        <v>0</v>
      </c>
      <c r="O343" s="74" t="s">
        <v>85</v>
      </c>
      <c r="P343" s="74">
        <v>13</v>
      </c>
      <c r="Q343" s="74">
        <v>18</v>
      </c>
      <c r="R343" s="74">
        <v>64</v>
      </c>
      <c r="S343" s="74">
        <v>58</v>
      </c>
      <c r="T343" s="74">
        <v>64</v>
      </c>
      <c r="U343" s="74">
        <v>58</v>
      </c>
      <c r="V343" s="74" t="s">
        <v>585</v>
      </c>
      <c r="W343" s="74" t="s">
        <v>145</v>
      </c>
      <c r="X343" s="74" t="s">
        <v>700</v>
      </c>
      <c r="Y343" s="74" t="s">
        <v>701</v>
      </c>
      <c r="Z343" s="118">
        <v>45631</v>
      </c>
      <c r="AA343" s="74" t="s">
        <v>57</v>
      </c>
      <c r="AB343" s="3" t="s">
        <v>628</v>
      </c>
      <c r="AC343" s="3"/>
      <c r="AD343" s="3"/>
    </row>
    <row r="344" spans="1:30" x14ac:dyDescent="0.2">
      <c r="A344">
        <v>342</v>
      </c>
      <c r="B344" s="61" t="s">
        <v>705</v>
      </c>
      <c r="C344" s="74">
        <v>25</v>
      </c>
      <c r="D344" s="74">
        <v>0</v>
      </c>
      <c r="E344" s="74">
        <v>-150</v>
      </c>
      <c r="F344" s="74">
        <v>100</v>
      </c>
      <c r="G344" s="74">
        <v>0</v>
      </c>
      <c r="H344" s="74">
        <v>-15</v>
      </c>
      <c r="I344" s="74">
        <v>55.4</v>
      </c>
      <c r="J344" s="74">
        <v>0</v>
      </c>
      <c r="K344" s="74">
        <v>-150</v>
      </c>
      <c r="L344" s="74">
        <v>55</v>
      </c>
      <c r="M344" s="74">
        <v>24</v>
      </c>
      <c r="N344" s="74">
        <v>0</v>
      </c>
      <c r="O344" s="74" t="s">
        <v>90</v>
      </c>
      <c r="P344" s="74">
        <v>6</v>
      </c>
      <c r="Q344" s="74">
        <v>28</v>
      </c>
      <c r="R344" s="74">
        <v>64</v>
      </c>
      <c r="S344" s="74">
        <v>58</v>
      </c>
      <c r="T344" s="74">
        <v>64</v>
      </c>
      <c r="U344" s="74">
        <v>58</v>
      </c>
      <c r="V344" s="74" t="s">
        <v>288</v>
      </c>
      <c r="W344" s="74" t="s">
        <v>145</v>
      </c>
      <c r="X344" s="74" t="s">
        <v>216</v>
      </c>
      <c r="Y344" s="74" t="s">
        <v>217</v>
      </c>
      <c r="Z344" s="118">
        <v>45631</v>
      </c>
      <c r="AA344" s="74" t="s">
        <v>57</v>
      </c>
      <c r="AB344" s="3" t="s">
        <v>628</v>
      </c>
      <c r="AC344" s="3"/>
      <c r="AD344" s="3"/>
    </row>
    <row r="345" spans="1:30" x14ac:dyDescent="0.2">
      <c r="A345">
        <v>343</v>
      </c>
      <c r="B345" s="91" t="s">
        <v>706</v>
      </c>
      <c r="C345" s="74">
        <v>19</v>
      </c>
      <c r="D345" s="74">
        <v>0</v>
      </c>
      <c r="E345" s="74">
        <v>-120</v>
      </c>
      <c r="F345" s="74">
        <v>72</v>
      </c>
      <c r="G345" s="74">
        <v>0</v>
      </c>
      <c r="H345" s="74">
        <v>-13</v>
      </c>
      <c r="I345" s="74">
        <v>25.4</v>
      </c>
      <c r="J345" s="74">
        <v>0</v>
      </c>
      <c r="K345" s="74">
        <v>-120</v>
      </c>
      <c r="L345" s="74">
        <v>31.75</v>
      </c>
      <c r="M345" s="74">
        <v>18</v>
      </c>
      <c r="N345" s="74">
        <v>0</v>
      </c>
      <c r="O345" s="74" t="s">
        <v>85</v>
      </c>
      <c r="P345" s="74">
        <v>15</v>
      </c>
      <c r="Q345" s="74">
        <v>33</v>
      </c>
      <c r="R345" s="74">
        <v>64</v>
      </c>
      <c r="S345" s="74">
        <v>58</v>
      </c>
      <c r="T345" s="74">
        <v>64</v>
      </c>
      <c r="U345" s="74">
        <v>58</v>
      </c>
      <c r="V345" s="74" t="s">
        <v>288</v>
      </c>
      <c r="W345" s="74" t="s">
        <v>145</v>
      </c>
      <c r="X345" s="74" t="s">
        <v>700</v>
      </c>
      <c r="Y345" s="74" t="s">
        <v>701</v>
      </c>
      <c r="Z345" s="118">
        <v>45587</v>
      </c>
      <c r="AA345" s="74" t="s">
        <v>264</v>
      </c>
      <c r="AB345" s="3" t="s">
        <v>692</v>
      </c>
      <c r="AC345" s="3"/>
      <c r="AD345" s="3"/>
    </row>
    <row r="346" spans="1:30" x14ac:dyDescent="0.2">
      <c r="A346">
        <v>344</v>
      </c>
      <c r="B346" s="61" t="s">
        <v>708</v>
      </c>
      <c r="C346" s="74">
        <v>19</v>
      </c>
      <c r="D346" s="74">
        <v>0</v>
      </c>
      <c r="E346" s="74">
        <v>-120</v>
      </c>
      <c r="F346" s="74">
        <v>72</v>
      </c>
      <c r="G346" s="74">
        <v>0</v>
      </c>
      <c r="H346" s="74">
        <v>-13</v>
      </c>
      <c r="I346" s="74">
        <v>42.9</v>
      </c>
      <c r="J346" s="74">
        <v>0</v>
      </c>
      <c r="K346" s="74">
        <v>-120</v>
      </c>
      <c r="L346" s="74">
        <v>35</v>
      </c>
      <c r="M346" s="74">
        <v>21</v>
      </c>
      <c r="N346" s="74">
        <v>0</v>
      </c>
      <c r="O346" s="85" t="s">
        <v>90</v>
      </c>
      <c r="P346" s="74">
        <v>6</v>
      </c>
      <c r="Q346" s="74">
        <v>20</v>
      </c>
      <c r="R346" s="74">
        <v>64</v>
      </c>
      <c r="S346" s="74">
        <v>58</v>
      </c>
      <c r="T346" s="74">
        <v>64</v>
      </c>
      <c r="U346" s="74">
        <v>58</v>
      </c>
      <c r="V346" s="85" t="s">
        <v>288</v>
      </c>
      <c r="W346" s="85" t="s">
        <v>145</v>
      </c>
      <c r="X346" s="85" t="s">
        <v>707</v>
      </c>
      <c r="Y346" s="85" t="s">
        <v>600</v>
      </c>
      <c r="Z346" s="124">
        <v>45611</v>
      </c>
      <c r="AA346" s="85" t="s">
        <v>264</v>
      </c>
      <c r="AB346" s="100" t="s">
        <v>628</v>
      </c>
      <c r="AC346" s="3"/>
      <c r="AD346" s="3"/>
    </row>
    <row r="347" spans="1:30" x14ac:dyDescent="0.2">
      <c r="A347">
        <v>345</v>
      </c>
      <c r="B347" s="61" t="s">
        <v>709</v>
      </c>
      <c r="C347" s="74">
        <v>22</v>
      </c>
      <c r="D347" s="74">
        <v>0</v>
      </c>
      <c r="E347" s="74">
        <v>-120</v>
      </c>
      <c r="F347" s="74">
        <v>85</v>
      </c>
      <c r="G347" s="74">
        <v>0</v>
      </c>
      <c r="H347" s="74">
        <v>-15</v>
      </c>
      <c r="I347" s="74">
        <v>49.2</v>
      </c>
      <c r="J347" s="74">
        <v>0</v>
      </c>
      <c r="K347" s="74">
        <v>-120</v>
      </c>
      <c r="L347" s="74">
        <v>44.45</v>
      </c>
      <c r="M347" s="74">
        <v>21</v>
      </c>
      <c r="N347" s="74">
        <v>0</v>
      </c>
      <c r="O347" s="74" t="s">
        <v>85</v>
      </c>
      <c r="P347" s="74">
        <v>36</v>
      </c>
      <c r="Q347" s="74">
        <v>18</v>
      </c>
      <c r="R347" s="74">
        <v>64</v>
      </c>
      <c r="S347" s="74">
        <v>58</v>
      </c>
      <c r="T347" s="74">
        <v>64</v>
      </c>
      <c r="U347" s="74">
        <v>58</v>
      </c>
      <c r="V347" s="74" t="s">
        <v>710</v>
      </c>
      <c r="W347" s="74" t="s">
        <v>145</v>
      </c>
      <c r="X347" s="74" t="s">
        <v>194</v>
      </c>
      <c r="Y347" s="74" t="s">
        <v>195</v>
      </c>
      <c r="Z347" s="118">
        <v>45653</v>
      </c>
      <c r="AA347" s="74" t="s">
        <v>55</v>
      </c>
      <c r="AB347" s="3" t="s">
        <v>692</v>
      </c>
      <c r="AC347" s="3"/>
      <c r="AD347" s="3"/>
    </row>
    <row r="348" spans="1:30" x14ac:dyDescent="0.2">
      <c r="A348">
        <v>346</v>
      </c>
      <c r="B348" s="61" t="s">
        <v>711</v>
      </c>
      <c r="C348" s="74">
        <v>18</v>
      </c>
      <c r="D348" s="74">
        <v>0</v>
      </c>
      <c r="E348" s="74">
        <v>-120</v>
      </c>
      <c r="F348" s="74">
        <v>62</v>
      </c>
      <c r="G348" s="74">
        <v>0</v>
      </c>
      <c r="H348" s="74">
        <v>-13</v>
      </c>
      <c r="I348" s="74">
        <v>38.1</v>
      </c>
      <c r="J348" s="74">
        <v>0</v>
      </c>
      <c r="K348" s="74">
        <v>-120</v>
      </c>
      <c r="L348" s="74">
        <v>30</v>
      </c>
      <c r="M348" s="74">
        <v>18</v>
      </c>
      <c r="N348" s="74">
        <v>0</v>
      </c>
      <c r="O348" s="74" t="s">
        <v>90</v>
      </c>
      <c r="P348" s="74">
        <v>5</v>
      </c>
      <c r="Q348" s="74">
        <v>20</v>
      </c>
      <c r="R348" s="74">
        <v>64</v>
      </c>
      <c r="S348" s="74">
        <v>58</v>
      </c>
      <c r="T348" s="74">
        <v>64</v>
      </c>
      <c r="U348" s="74">
        <v>58</v>
      </c>
      <c r="V348" s="74" t="s">
        <v>289</v>
      </c>
      <c r="W348" s="74" t="s">
        <v>145</v>
      </c>
      <c r="X348" s="74" t="s">
        <v>712</v>
      </c>
      <c r="Y348" s="74" t="s">
        <v>713</v>
      </c>
      <c r="Z348" s="118">
        <v>45706</v>
      </c>
      <c r="AA348" s="74" t="s">
        <v>56</v>
      </c>
      <c r="AB348" s="3" t="s">
        <v>628</v>
      </c>
      <c r="AC348" s="3"/>
      <c r="AD348" s="3"/>
    </row>
    <row r="349" spans="1:30" x14ac:dyDescent="0.2">
      <c r="A349">
        <v>347</v>
      </c>
      <c r="B349" s="61" t="s">
        <v>714</v>
      </c>
      <c r="C349" s="74">
        <v>15</v>
      </c>
      <c r="D349" s="74">
        <v>0</v>
      </c>
      <c r="E349" s="74">
        <v>-120</v>
      </c>
      <c r="F349" s="74">
        <v>52</v>
      </c>
      <c r="G349" s="74">
        <v>0</v>
      </c>
      <c r="H349" s="74">
        <v>-13</v>
      </c>
      <c r="I349" s="74">
        <v>27</v>
      </c>
      <c r="J349" s="74">
        <v>0</v>
      </c>
      <c r="K349" s="74">
        <v>-120</v>
      </c>
      <c r="L349" s="74">
        <v>22.225000000000001</v>
      </c>
      <c r="M349" s="74">
        <v>18</v>
      </c>
      <c r="N349" s="74">
        <v>0</v>
      </c>
      <c r="O349" s="74" t="s">
        <v>90</v>
      </c>
      <c r="P349" s="74">
        <v>5</v>
      </c>
      <c r="Q349" s="74">
        <v>20</v>
      </c>
      <c r="R349" s="74">
        <v>64</v>
      </c>
      <c r="S349" s="74">
        <v>58</v>
      </c>
      <c r="T349" s="74">
        <v>64</v>
      </c>
      <c r="U349" s="74">
        <v>58</v>
      </c>
      <c r="V349" s="74" t="s">
        <v>715</v>
      </c>
      <c r="W349" s="74" t="s">
        <v>145</v>
      </c>
      <c r="X349" s="74" t="s">
        <v>438</v>
      </c>
      <c r="Y349" s="74" t="s">
        <v>439</v>
      </c>
      <c r="Z349" s="118">
        <v>45706</v>
      </c>
      <c r="AA349" s="74" t="s">
        <v>264</v>
      </c>
      <c r="AB349" s="3" t="s">
        <v>692</v>
      </c>
      <c r="AC349" s="3"/>
      <c r="AD349" s="3"/>
    </row>
    <row r="350" spans="1:30" x14ac:dyDescent="0.2">
      <c r="A350">
        <v>348</v>
      </c>
      <c r="B350" s="61" t="s">
        <v>716</v>
      </c>
      <c r="C350" s="74">
        <v>15</v>
      </c>
      <c r="D350" s="74">
        <v>0</v>
      </c>
      <c r="E350" s="74">
        <v>-120</v>
      </c>
      <c r="F350" s="74">
        <v>52</v>
      </c>
      <c r="G350" s="74">
        <v>0</v>
      </c>
      <c r="H350" s="74">
        <v>-13</v>
      </c>
      <c r="I350" s="74">
        <v>34</v>
      </c>
      <c r="J350" s="74">
        <v>0</v>
      </c>
      <c r="K350" s="74">
        <v>-120</v>
      </c>
      <c r="L350" s="74">
        <v>25</v>
      </c>
      <c r="M350" s="74">
        <v>18</v>
      </c>
      <c r="N350" s="74">
        <v>0</v>
      </c>
      <c r="O350" s="85" t="s">
        <v>90</v>
      </c>
      <c r="P350" s="74">
        <v>5</v>
      </c>
      <c r="Q350" s="74">
        <v>20</v>
      </c>
      <c r="R350" s="74">
        <v>64</v>
      </c>
      <c r="S350" s="74">
        <v>58</v>
      </c>
      <c r="T350" s="74">
        <v>64</v>
      </c>
      <c r="U350" s="74">
        <v>58</v>
      </c>
      <c r="V350" s="85" t="s">
        <v>717</v>
      </c>
      <c r="W350" s="85" t="s">
        <v>145</v>
      </c>
      <c r="X350" s="85" t="s">
        <v>456</v>
      </c>
      <c r="Y350" s="85" t="s">
        <v>457</v>
      </c>
      <c r="Z350" s="118">
        <v>45653</v>
      </c>
      <c r="AA350" s="85" t="s">
        <v>264</v>
      </c>
      <c r="AB350" s="100" t="s">
        <v>628</v>
      </c>
      <c r="AC350" s="3"/>
      <c r="AD350" s="3"/>
    </row>
    <row r="351" spans="1:30" x14ac:dyDescent="0.2">
      <c r="A351">
        <v>349</v>
      </c>
      <c r="B351" s="61" t="s">
        <v>718</v>
      </c>
      <c r="C351" s="74">
        <v>21</v>
      </c>
      <c r="D351" s="74">
        <v>0</v>
      </c>
      <c r="E351" s="74">
        <v>-120</v>
      </c>
      <c r="F351" s="74">
        <v>80</v>
      </c>
      <c r="G351" s="74">
        <v>0</v>
      </c>
      <c r="H351" s="74">
        <v>-13</v>
      </c>
      <c r="I351" s="74">
        <v>30.2</v>
      </c>
      <c r="J351" s="74">
        <v>0</v>
      </c>
      <c r="K351" s="74">
        <v>-120</v>
      </c>
      <c r="L351" s="74">
        <v>40</v>
      </c>
      <c r="M351" s="74">
        <v>21</v>
      </c>
      <c r="N351" s="74">
        <v>0</v>
      </c>
      <c r="O351" s="74" t="s">
        <v>90</v>
      </c>
      <c r="P351" s="74">
        <v>6</v>
      </c>
      <c r="Q351" s="74">
        <v>20</v>
      </c>
      <c r="R351" s="74">
        <v>64</v>
      </c>
      <c r="S351" s="74">
        <v>59</v>
      </c>
      <c r="T351" s="74">
        <v>64</v>
      </c>
      <c r="U351" s="74">
        <v>59</v>
      </c>
      <c r="V351" s="74" t="s">
        <v>288</v>
      </c>
      <c r="W351" s="74" t="s">
        <v>145</v>
      </c>
      <c r="X351" s="74" t="s">
        <v>451</v>
      </c>
      <c r="Y351" s="74" t="s">
        <v>452</v>
      </c>
      <c r="Z351" s="118">
        <v>44942</v>
      </c>
      <c r="AA351" s="74" t="s">
        <v>57</v>
      </c>
      <c r="AB351" s="3" t="s">
        <v>628</v>
      </c>
      <c r="AC351" s="3"/>
      <c r="AD351" s="3"/>
    </row>
    <row r="352" spans="1:30" x14ac:dyDescent="0.2">
      <c r="A352">
        <v>350</v>
      </c>
      <c r="B352" s="61" t="s">
        <v>719</v>
      </c>
      <c r="C352" s="74">
        <v>27</v>
      </c>
      <c r="D352" s="74">
        <v>0</v>
      </c>
      <c r="E352" s="74">
        <v>-150</v>
      </c>
      <c r="F352" s="74">
        <v>110</v>
      </c>
      <c r="G352" s="74">
        <v>0</v>
      </c>
      <c r="H352" s="74">
        <v>-15</v>
      </c>
      <c r="I352" s="74">
        <v>61.8</v>
      </c>
      <c r="J352" s="74">
        <v>0</v>
      </c>
      <c r="K352" s="74">
        <v>-150</v>
      </c>
      <c r="L352" s="74">
        <v>61.912999999999997</v>
      </c>
      <c r="M352" s="74">
        <v>24</v>
      </c>
      <c r="N352" s="74">
        <v>0</v>
      </c>
      <c r="O352" s="74" t="s">
        <v>90</v>
      </c>
      <c r="P352" s="74">
        <v>8</v>
      </c>
      <c r="Q352" s="74">
        <v>28</v>
      </c>
      <c r="R352" s="74">
        <v>64</v>
      </c>
      <c r="S352" s="74">
        <v>59</v>
      </c>
      <c r="T352" s="74">
        <v>64</v>
      </c>
      <c r="U352" s="74">
        <v>59</v>
      </c>
      <c r="V352" s="74" t="s">
        <v>288</v>
      </c>
      <c r="W352" s="74" t="s">
        <v>145</v>
      </c>
      <c r="X352" s="74" t="s">
        <v>409</v>
      </c>
      <c r="Y352" s="74" t="s">
        <v>408</v>
      </c>
      <c r="Z352" s="118">
        <v>45706</v>
      </c>
      <c r="AA352" s="74" t="s">
        <v>57</v>
      </c>
      <c r="AB352" s="3" t="s">
        <v>692</v>
      </c>
      <c r="AC352" s="3"/>
      <c r="AD352" s="3"/>
    </row>
    <row r="353" spans="1:36" x14ac:dyDescent="0.2">
      <c r="A353">
        <v>351</v>
      </c>
      <c r="B353" s="61" t="s">
        <v>720</v>
      </c>
      <c r="C353" s="74">
        <v>29</v>
      </c>
      <c r="D353" s="74">
        <v>0</v>
      </c>
      <c r="E353" s="74">
        <v>-120</v>
      </c>
      <c r="F353" s="74">
        <v>125</v>
      </c>
      <c r="G353" s="74">
        <v>0</v>
      </c>
      <c r="H353" s="74">
        <v>-18</v>
      </c>
      <c r="I353" s="74">
        <v>74.599999999999994</v>
      </c>
      <c r="J353" s="74">
        <v>0</v>
      </c>
      <c r="K353" s="74">
        <v>-150</v>
      </c>
      <c r="L353" s="74">
        <v>70</v>
      </c>
      <c r="M353" s="74">
        <v>24</v>
      </c>
      <c r="N353" s="74">
        <v>0</v>
      </c>
      <c r="O353" s="74" t="s">
        <v>90</v>
      </c>
      <c r="P353" s="74">
        <v>8</v>
      </c>
      <c r="Q353" s="74">
        <v>28</v>
      </c>
      <c r="R353" s="74">
        <v>64</v>
      </c>
      <c r="S353" s="74">
        <v>58</v>
      </c>
      <c r="T353" s="74">
        <v>64</v>
      </c>
      <c r="U353" s="74">
        <v>58</v>
      </c>
      <c r="V353" s="74" t="s">
        <v>288</v>
      </c>
      <c r="W353" s="74" t="s">
        <v>145</v>
      </c>
      <c r="X353" s="74" t="s">
        <v>721</v>
      </c>
      <c r="Y353" s="74" t="s">
        <v>403</v>
      </c>
      <c r="Z353" s="118">
        <v>45706</v>
      </c>
      <c r="AA353" s="74" t="s">
        <v>264</v>
      </c>
      <c r="AB353" s="3" t="s">
        <v>628</v>
      </c>
      <c r="AC353" s="3"/>
      <c r="AD353" s="3"/>
    </row>
    <row r="354" spans="1:36" x14ac:dyDescent="0.2">
      <c r="A354">
        <v>352</v>
      </c>
      <c r="B354" s="63" t="s">
        <v>723</v>
      </c>
      <c r="C354" s="74">
        <v>18</v>
      </c>
      <c r="D354" s="74">
        <v>0</v>
      </c>
      <c r="E354" s="74">
        <v>-120</v>
      </c>
      <c r="F354" s="74">
        <v>62</v>
      </c>
      <c r="G354" s="74">
        <v>0</v>
      </c>
      <c r="H354" s="74">
        <v>-13</v>
      </c>
      <c r="I354" s="74">
        <v>30</v>
      </c>
      <c r="J354" s="74">
        <v>0</v>
      </c>
      <c r="K354" s="74">
        <v>-120</v>
      </c>
      <c r="L354" s="74">
        <v>30</v>
      </c>
      <c r="M354" s="74">
        <v>18</v>
      </c>
      <c r="N354" s="74">
        <v>0</v>
      </c>
      <c r="O354" s="74" t="s">
        <v>90</v>
      </c>
      <c r="P354" s="74">
        <v>6</v>
      </c>
      <c r="Q354" s="74">
        <v>20</v>
      </c>
      <c r="R354" s="74">
        <v>64</v>
      </c>
      <c r="S354" s="74">
        <v>58</v>
      </c>
      <c r="T354" s="74">
        <v>64</v>
      </c>
      <c r="U354" s="74">
        <v>58</v>
      </c>
      <c r="V354" s="74" t="s">
        <v>288</v>
      </c>
      <c r="W354" s="74" t="s">
        <v>145</v>
      </c>
      <c r="X354" s="74" t="s">
        <v>724</v>
      </c>
      <c r="Y354" s="74" t="s">
        <v>725</v>
      </c>
      <c r="Z354" s="118">
        <v>45723</v>
      </c>
      <c r="AA354" s="74" t="s">
        <v>57</v>
      </c>
      <c r="AB354" s="3" t="s">
        <v>628</v>
      </c>
      <c r="AC354" s="3"/>
      <c r="AD354" s="3"/>
    </row>
    <row r="355" spans="1:36" x14ac:dyDescent="0.2">
      <c r="A355">
        <v>353</v>
      </c>
      <c r="B355" s="60" t="s">
        <v>726</v>
      </c>
      <c r="C355" s="74">
        <v>18</v>
      </c>
      <c r="D355" s="74">
        <v>0</v>
      </c>
      <c r="E355" s="74">
        <v>-120</v>
      </c>
      <c r="F355" s="74">
        <v>62</v>
      </c>
      <c r="G355" s="74">
        <v>0</v>
      </c>
      <c r="H355" s="74">
        <v>-13</v>
      </c>
      <c r="I355" s="74">
        <v>23.8</v>
      </c>
      <c r="J355" s="74">
        <v>0</v>
      </c>
      <c r="K355" s="74">
        <v>-120</v>
      </c>
      <c r="L355" s="74">
        <v>31.75</v>
      </c>
      <c r="M355" s="74">
        <v>18</v>
      </c>
      <c r="N355" s="74">
        <v>0</v>
      </c>
      <c r="O355" s="74" t="s">
        <v>90</v>
      </c>
      <c r="P355" s="74">
        <v>6</v>
      </c>
      <c r="Q355" s="74">
        <v>20</v>
      </c>
      <c r="R355" s="74">
        <v>64</v>
      </c>
      <c r="S355" s="74">
        <v>58</v>
      </c>
      <c r="T355" s="74">
        <v>64</v>
      </c>
      <c r="U355" s="74">
        <v>58</v>
      </c>
      <c r="V355" s="74" t="s">
        <v>288</v>
      </c>
      <c r="W355" s="74" t="s">
        <v>145</v>
      </c>
      <c r="X355" s="74" t="s">
        <v>727</v>
      </c>
      <c r="Y355" s="74" t="s">
        <v>725</v>
      </c>
      <c r="Z355" s="118">
        <v>44862</v>
      </c>
      <c r="AA355" s="74">
        <v>0</v>
      </c>
      <c r="AB355" s="3" t="s">
        <v>692</v>
      </c>
      <c r="AC355" s="3"/>
      <c r="AD355" s="3"/>
    </row>
    <row r="356" spans="1:36" x14ac:dyDescent="0.2">
      <c r="A356">
        <v>354</v>
      </c>
      <c r="B356" s="61" t="s">
        <v>728</v>
      </c>
      <c r="C356" s="74">
        <v>22</v>
      </c>
      <c r="D356" s="74">
        <v>0</v>
      </c>
      <c r="E356" s="74">
        <v>-120</v>
      </c>
      <c r="F356" s="74">
        <v>90</v>
      </c>
      <c r="G356" s="74">
        <v>0</v>
      </c>
      <c r="H356" s="74">
        <v>-15</v>
      </c>
      <c r="I356" s="74">
        <v>51.6</v>
      </c>
      <c r="J356" s="74">
        <v>0</v>
      </c>
      <c r="K356" s="74">
        <v>-120</v>
      </c>
      <c r="L356" s="74">
        <v>50</v>
      </c>
      <c r="M356" s="74">
        <v>21</v>
      </c>
      <c r="N356" s="74">
        <v>0</v>
      </c>
      <c r="O356" s="74" t="s">
        <v>90</v>
      </c>
      <c r="P356" s="74">
        <v>6</v>
      </c>
      <c r="Q356" s="74">
        <v>23</v>
      </c>
      <c r="R356" s="74">
        <v>64</v>
      </c>
      <c r="S356" s="74">
        <v>58</v>
      </c>
      <c r="T356" s="74">
        <v>64</v>
      </c>
      <c r="U356" s="74">
        <v>58</v>
      </c>
      <c r="V356" s="74" t="s">
        <v>288</v>
      </c>
      <c r="W356" s="74" t="s">
        <v>145</v>
      </c>
      <c r="X356" s="74" t="s">
        <v>729</v>
      </c>
      <c r="Y356" s="74" t="s">
        <v>730</v>
      </c>
      <c r="Z356" s="118">
        <v>45611</v>
      </c>
      <c r="AA356" s="74" t="s">
        <v>264</v>
      </c>
      <c r="AB356" s="3" t="s">
        <v>628</v>
      </c>
      <c r="AC356" s="3"/>
      <c r="AD356" s="3"/>
    </row>
    <row r="357" spans="1:36" x14ac:dyDescent="0.2">
      <c r="A357">
        <v>355</v>
      </c>
      <c r="B357" s="60" t="s">
        <v>731</v>
      </c>
      <c r="C357" s="74">
        <v>18</v>
      </c>
      <c r="D357" s="74">
        <v>0</v>
      </c>
      <c r="E357" s="74">
        <v>-120</v>
      </c>
      <c r="F357" s="74">
        <v>62</v>
      </c>
      <c r="G357" s="74">
        <v>0</v>
      </c>
      <c r="H357" s="74">
        <v>-13</v>
      </c>
      <c r="I357" s="74">
        <v>23.8</v>
      </c>
      <c r="J357" s="74">
        <v>0</v>
      </c>
      <c r="K357" s="74">
        <v>-120</v>
      </c>
      <c r="L357" s="74">
        <v>28.574999999999999</v>
      </c>
      <c r="M357" s="74">
        <v>18</v>
      </c>
      <c r="N357" s="74">
        <v>0</v>
      </c>
      <c r="O357" s="74" t="s">
        <v>90</v>
      </c>
      <c r="P357" s="74">
        <v>5</v>
      </c>
      <c r="Q357" s="74">
        <v>20</v>
      </c>
      <c r="R357" s="74">
        <v>64</v>
      </c>
      <c r="S357" s="74">
        <v>58</v>
      </c>
      <c r="T357" s="74">
        <v>64</v>
      </c>
      <c r="U357" s="74">
        <v>58</v>
      </c>
      <c r="V357" s="74" t="s">
        <v>288</v>
      </c>
      <c r="W357" s="74" t="s">
        <v>145</v>
      </c>
      <c r="X357" s="74" t="s">
        <v>727</v>
      </c>
      <c r="Y357" s="74" t="s">
        <v>725</v>
      </c>
      <c r="Z357" s="118">
        <v>45294</v>
      </c>
      <c r="AA357" s="74">
        <v>0</v>
      </c>
      <c r="AB357" s="3" t="s">
        <v>732</v>
      </c>
      <c r="AC357" s="74"/>
      <c r="AD357" s="74"/>
      <c r="AE357" s="74"/>
      <c r="AF357" s="74"/>
      <c r="AG357" s="74"/>
      <c r="AH357" s="118"/>
      <c r="AI357" s="74"/>
      <c r="AJ357" s="3"/>
    </row>
    <row r="358" spans="1:36" x14ac:dyDescent="0.2">
      <c r="A358">
        <v>356</v>
      </c>
      <c r="B358" s="61" t="s">
        <v>733</v>
      </c>
      <c r="C358" s="69">
        <v>22</v>
      </c>
      <c r="D358" s="69">
        <v>0</v>
      </c>
      <c r="E358" s="69">
        <v>-120</v>
      </c>
      <c r="F358" s="69">
        <v>80</v>
      </c>
      <c r="G358" s="69">
        <v>0</v>
      </c>
      <c r="H358" s="69">
        <v>-13</v>
      </c>
      <c r="I358" s="69">
        <v>30.2</v>
      </c>
      <c r="J358" s="69">
        <v>0</v>
      </c>
      <c r="K358" s="69">
        <v>-120</v>
      </c>
      <c r="L358" s="69">
        <v>38.1</v>
      </c>
      <c r="M358" s="69">
        <v>21</v>
      </c>
      <c r="N358" s="69">
        <v>0</v>
      </c>
      <c r="O358" s="72" t="s">
        <v>90</v>
      </c>
      <c r="P358" s="69">
        <v>6</v>
      </c>
      <c r="Q358" s="69">
        <v>20</v>
      </c>
      <c r="R358" s="69">
        <v>64</v>
      </c>
      <c r="S358" s="69">
        <v>58</v>
      </c>
      <c r="T358" s="69">
        <v>64</v>
      </c>
      <c r="U358" s="69">
        <v>58</v>
      </c>
      <c r="V358" s="72" t="s">
        <v>370</v>
      </c>
      <c r="W358" s="69" t="s">
        <v>145</v>
      </c>
      <c r="X358" s="69">
        <v>0.17599999999999999</v>
      </c>
      <c r="Y358" s="69">
        <v>0.127</v>
      </c>
      <c r="Z358" s="82">
        <v>45631</v>
      </c>
      <c r="AA358" s="72" t="s">
        <v>588</v>
      </c>
      <c r="AB358" s="3" t="s">
        <v>614</v>
      </c>
      <c r="AC358" s="3"/>
      <c r="AD358" s="3"/>
    </row>
    <row r="359" spans="1:36" x14ac:dyDescent="0.2">
      <c r="A359">
        <v>357</v>
      </c>
      <c r="B359" s="61" t="s">
        <v>734</v>
      </c>
      <c r="C359" s="74">
        <v>22</v>
      </c>
      <c r="D359" s="74">
        <v>0</v>
      </c>
      <c r="E359" s="74">
        <v>-120</v>
      </c>
      <c r="F359" s="74">
        <v>80</v>
      </c>
      <c r="G359" s="74">
        <v>0</v>
      </c>
      <c r="H359" s="74">
        <v>-13</v>
      </c>
      <c r="I359" s="74">
        <v>42.8</v>
      </c>
      <c r="J359" s="74">
        <v>0</v>
      </c>
      <c r="K359" s="74">
        <v>-120</v>
      </c>
      <c r="L359" s="74">
        <v>38.1</v>
      </c>
      <c r="M359" s="74">
        <v>21</v>
      </c>
      <c r="N359" s="74">
        <v>0</v>
      </c>
      <c r="O359" s="74" t="s">
        <v>90</v>
      </c>
      <c r="P359" s="74">
        <v>6</v>
      </c>
      <c r="Q359" s="74">
        <v>20</v>
      </c>
      <c r="R359" s="74">
        <v>64</v>
      </c>
      <c r="S359" s="74">
        <v>58</v>
      </c>
      <c r="T359" s="74">
        <v>64</v>
      </c>
      <c r="U359" s="74">
        <v>58</v>
      </c>
      <c r="V359" s="74" t="s">
        <v>288</v>
      </c>
      <c r="W359" s="74" t="s">
        <v>145</v>
      </c>
      <c r="X359" s="74" t="s">
        <v>346</v>
      </c>
      <c r="Y359" s="74" t="s">
        <v>347</v>
      </c>
      <c r="Z359" s="118">
        <v>45712</v>
      </c>
      <c r="AA359" s="74" t="s">
        <v>55</v>
      </c>
      <c r="AB359" s="3" t="s">
        <v>692</v>
      </c>
      <c r="AC359" s="3"/>
      <c r="AD359" s="3"/>
    </row>
    <row r="360" spans="1:36" x14ac:dyDescent="0.2">
      <c r="A360">
        <v>358</v>
      </c>
      <c r="B360" s="61" t="s">
        <v>735</v>
      </c>
      <c r="C360" s="74">
        <v>18</v>
      </c>
      <c r="D360" s="74">
        <v>0</v>
      </c>
      <c r="E360" s="74">
        <v>-120</v>
      </c>
      <c r="F360" s="74">
        <v>62</v>
      </c>
      <c r="G360" s="74">
        <v>0</v>
      </c>
      <c r="H360" s="74">
        <v>-13</v>
      </c>
      <c r="I360" s="74">
        <v>38.1</v>
      </c>
      <c r="J360" s="74">
        <v>0</v>
      </c>
      <c r="K360" s="74">
        <v>-120</v>
      </c>
      <c r="L360" s="74">
        <v>30</v>
      </c>
      <c r="M360" s="74">
        <v>18</v>
      </c>
      <c r="N360" s="74">
        <v>0</v>
      </c>
      <c r="O360" s="74" t="s">
        <v>90</v>
      </c>
      <c r="P360" s="74">
        <v>5</v>
      </c>
      <c r="Q360" s="74">
        <v>20</v>
      </c>
      <c r="R360" s="74">
        <v>64</v>
      </c>
      <c r="S360" s="74">
        <v>58</v>
      </c>
      <c r="T360" s="74">
        <v>64</v>
      </c>
      <c r="U360" s="74">
        <v>58</v>
      </c>
      <c r="V360" s="74" t="s">
        <v>736</v>
      </c>
      <c r="W360" s="74" t="s">
        <v>145</v>
      </c>
      <c r="X360" s="74" t="s">
        <v>737</v>
      </c>
      <c r="Y360" s="74" t="s">
        <v>738</v>
      </c>
      <c r="Z360" s="118">
        <v>45770</v>
      </c>
      <c r="AA360" s="74" t="s">
        <v>56</v>
      </c>
      <c r="AB360" s="3" t="s">
        <v>628</v>
      </c>
      <c r="AC360" s="3"/>
      <c r="AD360" s="3"/>
    </row>
    <row r="361" spans="1:36" x14ac:dyDescent="0.2">
      <c r="A361">
        <v>359</v>
      </c>
      <c r="B361" s="61" t="s">
        <v>739</v>
      </c>
      <c r="C361" s="74">
        <v>25</v>
      </c>
      <c r="D361" s="74">
        <v>0</v>
      </c>
      <c r="E361" s="74">
        <v>-120</v>
      </c>
      <c r="F361" s="74">
        <v>100</v>
      </c>
      <c r="G361" s="74">
        <v>0</v>
      </c>
      <c r="H361" s="74">
        <v>-15</v>
      </c>
      <c r="I361" s="74">
        <v>55.5</v>
      </c>
      <c r="J361" s="74">
        <v>0</v>
      </c>
      <c r="K361" s="74">
        <v>-120</v>
      </c>
      <c r="L361" s="74">
        <v>55.56</v>
      </c>
      <c r="M361" s="74" t="s">
        <v>498</v>
      </c>
      <c r="N361" s="74" t="s">
        <v>498</v>
      </c>
      <c r="O361" s="74" t="s">
        <v>90</v>
      </c>
      <c r="P361" s="74">
        <v>8</v>
      </c>
      <c r="Q361" s="74">
        <v>28</v>
      </c>
      <c r="R361" s="74">
        <v>64</v>
      </c>
      <c r="S361" s="74">
        <v>58</v>
      </c>
      <c r="T361" s="74">
        <v>64</v>
      </c>
      <c r="U361" s="74">
        <v>58</v>
      </c>
      <c r="V361" s="74" t="s">
        <v>288</v>
      </c>
      <c r="W361" s="74" t="s">
        <v>145</v>
      </c>
      <c r="X361" s="74" t="s">
        <v>403</v>
      </c>
      <c r="Y361" s="74" t="s">
        <v>740</v>
      </c>
      <c r="Z361" s="118">
        <v>45783</v>
      </c>
      <c r="AA361" s="74" t="s">
        <v>741</v>
      </c>
      <c r="AB361" s="3" t="s">
        <v>692</v>
      </c>
      <c r="AC361" s="3"/>
      <c r="AD361" s="3"/>
    </row>
    <row r="362" spans="1:36" x14ac:dyDescent="0.2">
      <c r="A362">
        <v>360</v>
      </c>
      <c r="B362" s="61" t="s">
        <v>742</v>
      </c>
      <c r="C362" s="74">
        <v>18</v>
      </c>
      <c r="D362" s="74">
        <v>0</v>
      </c>
      <c r="E362" s="74">
        <v>-120</v>
      </c>
      <c r="F362" s="74">
        <v>62</v>
      </c>
      <c r="G362" s="74">
        <v>0</v>
      </c>
      <c r="H362" s="74">
        <v>-12</v>
      </c>
      <c r="I362" s="74">
        <v>23.8</v>
      </c>
      <c r="J362" s="74">
        <v>0</v>
      </c>
      <c r="K362" s="74">
        <v>-120</v>
      </c>
      <c r="L362" s="125">
        <v>28575</v>
      </c>
      <c r="M362" s="74">
        <v>18</v>
      </c>
      <c r="N362" s="74">
        <v>0</v>
      </c>
      <c r="O362" s="74" t="s">
        <v>90</v>
      </c>
      <c r="P362" s="74">
        <v>5</v>
      </c>
      <c r="Q362" s="74">
        <v>20</v>
      </c>
      <c r="R362" s="74">
        <v>64</v>
      </c>
      <c r="S362" s="74">
        <v>58</v>
      </c>
      <c r="T362" s="74">
        <v>64</v>
      </c>
      <c r="U362" s="74">
        <v>58</v>
      </c>
      <c r="V362" s="74" t="s">
        <v>288</v>
      </c>
      <c r="W362" s="74" t="s">
        <v>145</v>
      </c>
      <c r="X362" s="74" t="s">
        <v>727</v>
      </c>
      <c r="Y362" s="74" t="s">
        <v>725</v>
      </c>
      <c r="Z362" s="118">
        <v>45783</v>
      </c>
      <c r="AA362" s="74" t="s">
        <v>264</v>
      </c>
      <c r="AB362" s="3"/>
      <c r="AC362" s="3"/>
      <c r="AD362" s="3"/>
    </row>
    <row r="363" spans="1:36" x14ac:dyDescent="0.2">
      <c r="A363">
        <v>361</v>
      </c>
      <c r="B363" s="61" t="s">
        <v>743</v>
      </c>
      <c r="C363" s="74">
        <v>18</v>
      </c>
      <c r="D363" s="74">
        <v>0</v>
      </c>
      <c r="E363" s="74">
        <v>-120</v>
      </c>
      <c r="F363" s="74">
        <v>62</v>
      </c>
      <c r="G363" s="74">
        <v>0</v>
      </c>
      <c r="H363" s="74">
        <v>-13</v>
      </c>
      <c r="I363" s="74">
        <v>23.8</v>
      </c>
      <c r="J363" s="74">
        <v>0</v>
      </c>
      <c r="K363" s="74">
        <v>-120</v>
      </c>
      <c r="L363" s="74">
        <v>31.75</v>
      </c>
      <c r="M363" s="74">
        <v>18</v>
      </c>
      <c r="N363" s="74">
        <v>0</v>
      </c>
      <c r="O363" s="74" t="s">
        <v>90</v>
      </c>
      <c r="P363" s="74">
        <v>6</v>
      </c>
      <c r="Q363" s="74">
        <v>20</v>
      </c>
      <c r="R363" s="74">
        <v>64</v>
      </c>
      <c r="S363" s="74">
        <v>58</v>
      </c>
      <c r="T363" s="74">
        <v>64</v>
      </c>
      <c r="U363" s="74">
        <v>58</v>
      </c>
      <c r="V363" s="74" t="s">
        <v>288</v>
      </c>
      <c r="W363" s="74" t="s">
        <v>145</v>
      </c>
      <c r="X363" s="74" t="s">
        <v>727</v>
      </c>
      <c r="Y363" s="74" t="s">
        <v>725</v>
      </c>
      <c r="Z363" s="118">
        <v>45783</v>
      </c>
      <c r="AA363" s="74" t="s">
        <v>264</v>
      </c>
      <c r="AB363" s="3"/>
      <c r="AC363" s="3"/>
      <c r="AD363" s="3"/>
    </row>
    <row r="364" spans="1:36" x14ac:dyDescent="0.2">
      <c r="A364">
        <v>362</v>
      </c>
      <c r="B364" s="61" t="s">
        <v>744</v>
      </c>
      <c r="C364" s="74">
        <v>18</v>
      </c>
      <c r="D364" s="74">
        <v>0</v>
      </c>
      <c r="E364" s="74">
        <v>-120</v>
      </c>
      <c r="F364" s="74">
        <v>62</v>
      </c>
      <c r="G364" s="74">
        <v>0</v>
      </c>
      <c r="H364" s="74">
        <v>-13</v>
      </c>
      <c r="I364" s="74">
        <v>23.82</v>
      </c>
      <c r="J364" s="74">
        <v>0</v>
      </c>
      <c r="K364" s="74">
        <v>-120</v>
      </c>
      <c r="L364" s="74">
        <v>30</v>
      </c>
      <c r="M364" s="74">
        <v>18</v>
      </c>
      <c r="N364" s="74">
        <v>0</v>
      </c>
      <c r="O364" s="74" t="s">
        <v>90</v>
      </c>
      <c r="P364" s="74">
        <v>6</v>
      </c>
      <c r="Q364" s="74">
        <v>20</v>
      </c>
      <c r="R364" s="74">
        <v>64</v>
      </c>
      <c r="S364" s="74">
        <v>58</v>
      </c>
      <c r="T364" s="74">
        <v>64</v>
      </c>
      <c r="U364" s="74">
        <v>58</v>
      </c>
      <c r="V364" s="74" t="s">
        <v>288</v>
      </c>
      <c r="W364" s="74" t="s">
        <v>145</v>
      </c>
      <c r="X364" s="74" t="s">
        <v>724</v>
      </c>
      <c r="Y364" s="74" t="s">
        <v>725</v>
      </c>
      <c r="Z364" s="118">
        <v>45784</v>
      </c>
      <c r="AA364" s="74" t="s">
        <v>564</v>
      </c>
      <c r="AB364" s="3"/>
      <c r="AC364" s="3"/>
      <c r="AD364" s="3"/>
    </row>
    <row r="365" spans="1:36" x14ac:dyDescent="0.2">
      <c r="A365">
        <v>363</v>
      </c>
      <c r="B365" s="61" t="s">
        <v>745</v>
      </c>
      <c r="C365" s="74">
        <v>18</v>
      </c>
      <c r="D365" s="74">
        <v>0</v>
      </c>
      <c r="E365" s="74">
        <v>-120</v>
      </c>
      <c r="F365" s="74">
        <v>62</v>
      </c>
      <c r="G365" s="74">
        <v>0</v>
      </c>
      <c r="H365" s="74">
        <v>-13</v>
      </c>
      <c r="I365" s="74">
        <v>23.82</v>
      </c>
      <c r="J365" s="74">
        <v>0</v>
      </c>
      <c r="K365" s="74">
        <v>-120</v>
      </c>
      <c r="L365" s="74">
        <v>30</v>
      </c>
      <c r="M365" s="74">
        <v>18</v>
      </c>
      <c r="N365" s="74">
        <v>0</v>
      </c>
      <c r="O365" s="74" t="s">
        <v>90</v>
      </c>
      <c r="P365" s="74">
        <v>5</v>
      </c>
      <c r="Q365" s="74">
        <v>20</v>
      </c>
      <c r="R365" s="74">
        <v>64</v>
      </c>
      <c r="S365" s="74">
        <v>58</v>
      </c>
      <c r="T365" s="74">
        <v>64</v>
      </c>
      <c r="U365" s="74">
        <v>58</v>
      </c>
      <c r="V365" s="74" t="s">
        <v>746</v>
      </c>
      <c r="W365" s="74" t="s">
        <v>145</v>
      </c>
      <c r="X365" s="74" t="s">
        <v>724</v>
      </c>
      <c r="Y365" s="74" t="s">
        <v>725</v>
      </c>
      <c r="Z365" s="118">
        <v>45908</v>
      </c>
      <c r="AA365" s="74" t="s">
        <v>747</v>
      </c>
      <c r="AB365" s="3"/>
      <c r="AC365" s="3"/>
      <c r="AD365" s="3"/>
    </row>
    <row r="366" spans="1:36" x14ac:dyDescent="0.2">
      <c r="A366">
        <v>364</v>
      </c>
      <c r="B366" s="61" t="s">
        <v>748</v>
      </c>
      <c r="C366" s="74">
        <v>15</v>
      </c>
      <c r="D366" s="74">
        <v>0</v>
      </c>
      <c r="E366" s="74">
        <v>-120</v>
      </c>
      <c r="F366" s="74">
        <v>52</v>
      </c>
      <c r="G366" s="74">
        <v>0</v>
      </c>
      <c r="H366" s="74">
        <v>-13</v>
      </c>
      <c r="I366" s="74">
        <v>27</v>
      </c>
      <c r="J366" s="74">
        <v>0</v>
      </c>
      <c r="K366" s="74">
        <v>-12</v>
      </c>
      <c r="L366" s="74">
        <v>25</v>
      </c>
      <c r="M366" s="74">
        <v>18</v>
      </c>
      <c r="N366" s="74">
        <v>0</v>
      </c>
      <c r="O366" s="74" t="s">
        <v>90</v>
      </c>
      <c r="P366" s="74">
        <v>5</v>
      </c>
      <c r="Q366" s="74">
        <v>20</v>
      </c>
      <c r="R366" s="74">
        <v>64</v>
      </c>
      <c r="S366" s="74">
        <v>58</v>
      </c>
      <c r="T366" s="74">
        <v>64</v>
      </c>
      <c r="U366" s="74">
        <v>58</v>
      </c>
      <c r="V366" s="74" t="s">
        <v>288</v>
      </c>
      <c r="W366" s="74" t="s">
        <v>145</v>
      </c>
      <c r="X366" s="74" t="s">
        <v>724</v>
      </c>
      <c r="Y366" s="74" t="s">
        <v>725</v>
      </c>
      <c r="Z366" s="118">
        <v>44900</v>
      </c>
      <c r="AA366" s="74" t="s">
        <v>264</v>
      </c>
      <c r="AB366" s="3"/>
      <c r="AC366" s="3"/>
      <c r="AD366" s="3"/>
    </row>
    <row r="367" spans="1:36" x14ac:dyDescent="0.2">
      <c r="A367">
        <v>365</v>
      </c>
      <c r="B367" s="61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3"/>
      <c r="AC367" s="3"/>
      <c r="AD367" s="3"/>
    </row>
    <row r="368" spans="1:36" x14ac:dyDescent="0.2">
      <c r="A368">
        <v>366</v>
      </c>
      <c r="B368" s="61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3"/>
      <c r="AC368" s="3"/>
      <c r="AD368" s="3"/>
    </row>
    <row r="369" spans="1:30" x14ac:dyDescent="0.2">
      <c r="A369">
        <v>367</v>
      </c>
      <c r="B369" s="61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3"/>
      <c r="AC369" s="3"/>
      <c r="AD369" s="3"/>
    </row>
    <row r="370" spans="1:30" x14ac:dyDescent="0.2">
      <c r="A370">
        <v>368</v>
      </c>
      <c r="B370" s="61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3"/>
      <c r="AC370" s="3"/>
      <c r="AD370" s="3"/>
    </row>
    <row r="371" spans="1:30" x14ac:dyDescent="0.2">
      <c r="A371">
        <v>369</v>
      </c>
      <c r="B371" s="61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3"/>
      <c r="AC371" s="3"/>
      <c r="AD371" s="3"/>
    </row>
    <row r="372" spans="1:30" x14ac:dyDescent="0.2">
      <c r="A372">
        <v>370</v>
      </c>
      <c r="B372" s="61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3"/>
      <c r="AC372" s="3"/>
      <c r="AD372" s="3"/>
    </row>
    <row r="373" spans="1:30" x14ac:dyDescent="0.2">
      <c r="A373">
        <v>371</v>
      </c>
      <c r="B373" s="61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3"/>
      <c r="AC373" s="3"/>
      <c r="AD373" s="3"/>
    </row>
    <row r="374" spans="1:30" x14ac:dyDescent="0.2">
      <c r="A374">
        <v>372</v>
      </c>
      <c r="B374" s="61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3"/>
      <c r="AC374" s="3"/>
      <c r="AD374" s="3"/>
    </row>
    <row r="375" spans="1:30" x14ac:dyDescent="0.2">
      <c r="A375">
        <v>373</v>
      </c>
      <c r="B375" s="61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3"/>
      <c r="AC375" s="3"/>
      <c r="AD375" s="3"/>
    </row>
    <row r="376" spans="1:30" x14ac:dyDescent="0.2">
      <c r="A376">
        <v>374</v>
      </c>
      <c r="B376" s="61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3"/>
      <c r="AC376" s="3"/>
      <c r="AD376" s="3"/>
    </row>
    <row r="377" spans="1:30" x14ac:dyDescent="0.2">
      <c r="A377">
        <v>375</v>
      </c>
      <c r="B377" s="61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3"/>
      <c r="AC377" s="3"/>
      <c r="AD377" s="3"/>
    </row>
    <row r="378" spans="1:30" x14ac:dyDescent="0.2">
      <c r="A378">
        <v>376</v>
      </c>
      <c r="B378" s="61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3"/>
      <c r="AC378" s="3"/>
      <c r="AD378" s="3"/>
    </row>
    <row r="379" spans="1:30" x14ac:dyDescent="0.2">
      <c r="A379">
        <v>377</v>
      </c>
      <c r="B379" s="61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3"/>
      <c r="AC379" s="3"/>
      <c r="AD379" s="3"/>
    </row>
    <row r="380" spans="1:30" x14ac:dyDescent="0.2">
      <c r="A380">
        <v>378</v>
      </c>
      <c r="B380" s="61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3"/>
      <c r="AC380" s="3"/>
      <c r="AD380" s="3"/>
    </row>
    <row r="381" spans="1:30" x14ac:dyDescent="0.2">
      <c r="A381">
        <v>379</v>
      </c>
      <c r="B381" s="61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3"/>
      <c r="AC381" s="3"/>
      <c r="AD381" s="3"/>
    </row>
    <row r="382" spans="1:30" x14ac:dyDescent="0.2">
      <c r="A382">
        <v>380</v>
      </c>
      <c r="B382" s="61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3"/>
      <c r="AC382" s="3"/>
      <c r="AD382" s="3"/>
    </row>
    <row r="383" spans="1:30" x14ac:dyDescent="0.2">
      <c r="A383">
        <v>381</v>
      </c>
      <c r="B383" s="61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3"/>
      <c r="AC383" s="3"/>
      <c r="AD383" s="3"/>
    </row>
    <row r="384" spans="1:30" x14ac:dyDescent="0.2">
      <c r="A384">
        <v>382</v>
      </c>
      <c r="B384" s="61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3"/>
      <c r="AC384" s="3"/>
      <c r="AD384" s="3"/>
    </row>
    <row r="385" spans="1:30" x14ac:dyDescent="0.2">
      <c r="A385">
        <v>383</v>
      </c>
      <c r="B385" s="61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3"/>
      <c r="AC385" s="3"/>
      <c r="AD385" s="3"/>
    </row>
    <row r="386" spans="1:30" x14ac:dyDescent="0.2">
      <c r="A386">
        <v>384</v>
      </c>
      <c r="B386" s="61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3"/>
      <c r="AC386" s="3"/>
      <c r="AD386" s="3"/>
    </row>
    <row r="387" spans="1:30" x14ac:dyDescent="0.2">
      <c r="A387">
        <v>385</v>
      </c>
      <c r="B387" s="61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3"/>
      <c r="AC387" s="3"/>
      <c r="AD387" s="3"/>
    </row>
    <row r="388" spans="1:30" x14ac:dyDescent="0.2">
      <c r="A388">
        <v>386</v>
      </c>
      <c r="B388" s="61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3"/>
      <c r="AC388" s="3"/>
      <c r="AD388" s="3"/>
    </row>
    <row r="389" spans="1:30" x14ac:dyDescent="0.2">
      <c r="A389">
        <v>387</v>
      </c>
      <c r="B389" s="61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3"/>
      <c r="AC389" s="3"/>
      <c r="AD389" s="3"/>
    </row>
    <row r="390" spans="1:30" x14ac:dyDescent="0.2">
      <c r="A390">
        <v>388</v>
      </c>
      <c r="B390" s="61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3"/>
      <c r="AC390" s="3"/>
      <c r="AD390" s="3"/>
    </row>
    <row r="391" spans="1:30" x14ac:dyDescent="0.2">
      <c r="A391">
        <v>389</v>
      </c>
      <c r="B391" s="61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3"/>
      <c r="AC391" s="3"/>
      <c r="AD391" s="3"/>
    </row>
    <row r="392" spans="1:30" x14ac:dyDescent="0.2">
      <c r="A392">
        <v>390</v>
      </c>
      <c r="B392" s="61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3"/>
      <c r="AC392" s="3"/>
      <c r="AD392" s="3"/>
    </row>
    <row r="393" spans="1:30" x14ac:dyDescent="0.2">
      <c r="A393">
        <v>391</v>
      </c>
      <c r="B393" s="61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3"/>
      <c r="AC393" s="3"/>
      <c r="AD393" s="3"/>
    </row>
    <row r="394" spans="1:30" x14ac:dyDescent="0.2">
      <c r="A394">
        <v>392</v>
      </c>
      <c r="B394" s="61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3"/>
      <c r="AC394" s="3"/>
      <c r="AD394" s="3"/>
    </row>
    <row r="395" spans="1:30" x14ac:dyDescent="0.2">
      <c r="A395">
        <v>393</v>
      </c>
      <c r="B395" s="61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3"/>
      <c r="AC395" s="3"/>
      <c r="AD395" s="3"/>
    </row>
    <row r="396" spans="1:30" x14ac:dyDescent="0.2">
      <c r="A396">
        <v>394</v>
      </c>
      <c r="B396" s="61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3"/>
      <c r="AC396" s="3"/>
      <c r="AD396" s="3"/>
    </row>
    <row r="397" spans="1:30" x14ac:dyDescent="0.2">
      <c r="A397">
        <v>395</v>
      </c>
      <c r="B397" s="61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3"/>
      <c r="AC397" s="3"/>
      <c r="AD397" s="3"/>
    </row>
    <row r="398" spans="1:30" x14ac:dyDescent="0.2">
      <c r="A398">
        <v>396</v>
      </c>
      <c r="B398" s="61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3"/>
      <c r="AC398" s="3"/>
      <c r="AD398" s="3"/>
    </row>
    <row r="399" spans="1:30" x14ac:dyDescent="0.2">
      <c r="A399">
        <v>397</v>
      </c>
      <c r="B399" s="61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3"/>
      <c r="AC399" s="3"/>
      <c r="AD399" s="3"/>
    </row>
    <row r="400" spans="1:30" x14ac:dyDescent="0.2">
      <c r="A400">
        <v>398</v>
      </c>
      <c r="B400" s="61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3"/>
      <c r="AC400" s="3"/>
      <c r="AD400" s="3"/>
    </row>
    <row r="401" spans="1:30" x14ac:dyDescent="0.2">
      <c r="A401">
        <v>399</v>
      </c>
      <c r="B401" s="61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3"/>
      <c r="AC401" s="3"/>
      <c r="AD401" s="3"/>
    </row>
    <row r="402" spans="1:30" x14ac:dyDescent="0.2">
      <c r="A402">
        <v>400</v>
      </c>
      <c r="B402" s="61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3"/>
      <c r="AC402" s="3"/>
      <c r="AD402" s="3"/>
    </row>
    <row r="404" spans="1:30" x14ac:dyDescent="0.2">
      <c r="AB404" s="3"/>
      <c r="AC404" s="3"/>
      <c r="AD404" s="3"/>
    </row>
    <row r="405" spans="1:30" x14ac:dyDescent="0.2">
      <c r="B405" s="61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3"/>
      <c r="AC405" s="3"/>
      <c r="AD405" s="3"/>
    </row>
    <row r="406" spans="1:30" x14ac:dyDescent="0.2">
      <c r="B406" s="61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3"/>
      <c r="AC406" s="3"/>
      <c r="AD406" s="3"/>
    </row>
    <row r="407" spans="1:30" x14ac:dyDescent="0.2">
      <c r="B407" s="61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3"/>
      <c r="AC407" s="3"/>
      <c r="AD407" s="3"/>
    </row>
    <row r="408" spans="1:30" x14ac:dyDescent="0.2">
      <c r="B408" s="61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3"/>
      <c r="AC408" s="3"/>
      <c r="AD408" s="3"/>
    </row>
    <row r="409" spans="1:30" x14ac:dyDescent="0.2">
      <c r="B409" s="61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3"/>
      <c r="AC409" s="3"/>
      <c r="AD409" s="3"/>
    </row>
    <row r="410" spans="1:30" x14ac:dyDescent="0.2">
      <c r="B410" s="61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3"/>
      <c r="AC410" s="3"/>
      <c r="AD410" s="3"/>
    </row>
    <row r="411" spans="1:30" x14ac:dyDescent="0.2">
      <c r="B411" s="61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3"/>
      <c r="AC411" s="3"/>
      <c r="AD411" s="3"/>
    </row>
    <row r="412" spans="1:30" x14ac:dyDescent="0.2">
      <c r="B412" s="61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3"/>
      <c r="AC412" s="3"/>
      <c r="AD412" s="3"/>
    </row>
    <row r="413" spans="1:30" x14ac:dyDescent="0.2">
      <c r="B413" s="61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3"/>
      <c r="AC413" s="3"/>
      <c r="AD413" s="3"/>
    </row>
    <row r="414" spans="1:30" x14ac:dyDescent="0.2">
      <c r="B414" s="61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3"/>
      <c r="AC414" s="3"/>
      <c r="AD414" s="3"/>
    </row>
    <row r="415" spans="1:30" x14ac:dyDescent="0.2">
      <c r="B415" s="61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3"/>
      <c r="AC415" s="3"/>
      <c r="AD415" s="3"/>
    </row>
    <row r="416" spans="1:30" x14ac:dyDescent="0.2">
      <c r="B416" s="61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3"/>
      <c r="AC416" s="3"/>
      <c r="AD416" s="3"/>
    </row>
    <row r="417" spans="2:30" x14ac:dyDescent="0.2">
      <c r="B417" s="61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3"/>
      <c r="AC417" s="3"/>
      <c r="AD417" s="3"/>
    </row>
    <row r="418" spans="2:30" x14ac:dyDescent="0.2">
      <c r="B418" s="61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3"/>
      <c r="AC418" s="3"/>
      <c r="AD418" s="3"/>
    </row>
    <row r="419" spans="2:30" x14ac:dyDescent="0.2">
      <c r="B419" s="61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3"/>
      <c r="AC419" s="3"/>
      <c r="AD419" s="3"/>
    </row>
    <row r="420" spans="2:30" x14ac:dyDescent="0.2">
      <c r="B420" s="61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3"/>
      <c r="AC420" s="3"/>
      <c r="AD420" s="3"/>
    </row>
    <row r="421" spans="2:30" x14ac:dyDescent="0.2">
      <c r="B421" s="61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3"/>
      <c r="AC421" s="3"/>
      <c r="AD421" s="3"/>
    </row>
    <row r="422" spans="2:30" x14ac:dyDescent="0.2">
      <c r="B422" s="61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3"/>
      <c r="AC422" s="3"/>
      <c r="AD422" s="3"/>
    </row>
    <row r="423" spans="2:30" x14ac:dyDescent="0.2">
      <c r="B423" s="61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3"/>
      <c r="AC423" s="3"/>
      <c r="AD423" s="3"/>
    </row>
    <row r="424" spans="2:30" x14ac:dyDescent="0.2">
      <c r="B424" s="61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3"/>
      <c r="AC424" s="3"/>
      <c r="AD424" s="3"/>
    </row>
    <row r="425" spans="2:30" x14ac:dyDescent="0.2">
      <c r="B425" s="61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3"/>
      <c r="AC425" s="3"/>
      <c r="AD425" s="3"/>
    </row>
    <row r="426" spans="2:30" x14ac:dyDescent="0.2">
      <c r="B426" s="61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3"/>
      <c r="AC426" s="3"/>
      <c r="AD426" s="3"/>
    </row>
    <row r="427" spans="2:30" x14ac:dyDescent="0.2">
      <c r="B427" s="61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3"/>
      <c r="AC427" s="3"/>
      <c r="AD427" s="3"/>
    </row>
    <row r="428" spans="2:30" x14ac:dyDescent="0.2">
      <c r="B428" s="61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3"/>
      <c r="AC428" s="3"/>
      <c r="AD428" s="3"/>
    </row>
    <row r="429" spans="2:30" x14ac:dyDescent="0.2">
      <c r="B429" s="61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3"/>
      <c r="AC429" s="3"/>
      <c r="AD429" s="3"/>
    </row>
    <row r="430" spans="2:30" x14ac:dyDescent="0.2">
      <c r="B430" s="61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3"/>
      <c r="AC430" s="3"/>
      <c r="AD430" s="3"/>
    </row>
    <row r="431" spans="2:30" x14ac:dyDescent="0.2">
      <c r="B431" s="61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3"/>
      <c r="AC431" s="3"/>
      <c r="AD431" s="3"/>
    </row>
    <row r="432" spans="2:30" x14ac:dyDescent="0.2">
      <c r="B432" s="61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3"/>
      <c r="AC432" s="3"/>
      <c r="AD432" s="3"/>
    </row>
    <row r="433" spans="2:30" x14ac:dyDescent="0.2">
      <c r="B433" s="61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3"/>
      <c r="AC433" s="3"/>
      <c r="AD433" s="3"/>
    </row>
    <row r="434" spans="2:30" x14ac:dyDescent="0.2">
      <c r="B434" s="61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3"/>
      <c r="AC434" s="3"/>
      <c r="AD434" s="3"/>
    </row>
    <row r="435" spans="2:30" x14ac:dyDescent="0.2">
      <c r="B435" s="61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3"/>
      <c r="AC435" s="3"/>
      <c r="AD435" s="3"/>
    </row>
    <row r="436" spans="2:30" x14ac:dyDescent="0.2">
      <c r="B436" s="61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3"/>
      <c r="AC436" s="3"/>
      <c r="AD436" s="3"/>
    </row>
    <row r="437" spans="2:30" x14ac:dyDescent="0.2">
      <c r="B437" s="61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3"/>
      <c r="AC437" s="3"/>
      <c r="AD437" s="3"/>
    </row>
    <row r="438" spans="2:30" x14ac:dyDescent="0.2">
      <c r="B438" s="61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3"/>
      <c r="AC438" s="3"/>
      <c r="AD438" s="3"/>
    </row>
    <row r="439" spans="2:30" x14ac:dyDescent="0.2">
      <c r="B439" s="61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3"/>
      <c r="AC439" s="3"/>
      <c r="AD439" s="3"/>
    </row>
    <row r="440" spans="2:30" x14ac:dyDescent="0.2">
      <c r="B440" s="61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3"/>
      <c r="AC440" s="3"/>
      <c r="AD440" s="3"/>
    </row>
    <row r="441" spans="2:30" x14ac:dyDescent="0.2">
      <c r="B441" s="61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3"/>
      <c r="AC441" s="3"/>
      <c r="AD441" s="3"/>
    </row>
    <row r="442" spans="2:30" x14ac:dyDescent="0.2">
      <c r="B442" s="61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3"/>
      <c r="AC442" s="3"/>
      <c r="AD442" s="3"/>
    </row>
    <row r="443" spans="2:30" x14ac:dyDescent="0.2">
      <c r="B443" s="61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3"/>
      <c r="AC443" s="3"/>
      <c r="AD443" s="3"/>
    </row>
    <row r="444" spans="2:30" x14ac:dyDescent="0.2">
      <c r="B444" s="61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3"/>
      <c r="AC444" s="3"/>
      <c r="AD444" s="3"/>
    </row>
    <row r="445" spans="2:30" x14ac:dyDescent="0.2">
      <c r="B445" s="61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3"/>
      <c r="AC445" s="3"/>
      <c r="AD445" s="3"/>
    </row>
    <row r="446" spans="2:30" x14ac:dyDescent="0.2">
      <c r="B446" s="61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3"/>
      <c r="AC446" s="3"/>
      <c r="AD446" s="3"/>
    </row>
    <row r="447" spans="2:30" x14ac:dyDescent="0.2">
      <c r="B447" s="61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3"/>
      <c r="AC447" s="3"/>
      <c r="AD447" s="3"/>
    </row>
    <row r="448" spans="2:30" x14ac:dyDescent="0.2">
      <c r="B448" s="61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3"/>
      <c r="AC448" s="3"/>
      <c r="AD448" s="3"/>
    </row>
    <row r="449" spans="2:30" x14ac:dyDescent="0.2">
      <c r="B449" s="61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3"/>
      <c r="AC449" s="3"/>
      <c r="AD449" s="3"/>
    </row>
    <row r="450" spans="2:30" x14ac:dyDescent="0.2">
      <c r="B450" s="61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3"/>
      <c r="AC450" s="3"/>
      <c r="AD450" s="3"/>
    </row>
    <row r="451" spans="2:30" x14ac:dyDescent="0.2">
      <c r="B451" s="61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3"/>
      <c r="AC451" s="3"/>
      <c r="AD451" s="3"/>
    </row>
    <row r="452" spans="2:30" x14ac:dyDescent="0.2">
      <c r="B452" s="61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3"/>
      <c r="AC452" s="3"/>
      <c r="AD452" s="3"/>
    </row>
    <row r="453" spans="2:30" x14ac:dyDescent="0.2">
      <c r="B453" s="61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3"/>
      <c r="AC453" s="3"/>
      <c r="AD453" s="3"/>
    </row>
    <row r="454" spans="2:30" x14ac:dyDescent="0.2">
      <c r="B454" s="61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3"/>
      <c r="AC454" s="3"/>
      <c r="AD454" s="3"/>
    </row>
    <row r="455" spans="2:30" x14ac:dyDescent="0.2">
      <c r="B455" s="61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3"/>
      <c r="AC455" s="3"/>
      <c r="AD455" s="3"/>
    </row>
    <row r="456" spans="2:30" x14ac:dyDescent="0.2">
      <c r="B456" s="61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3"/>
      <c r="AC456" s="3"/>
      <c r="AD456" s="3"/>
    </row>
    <row r="457" spans="2:30" x14ac:dyDescent="0.2">
      <c r="B457" s="61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3"/>
      <c r="AC457" s="3"/>
      <c r="AD457" s="3"/>
    </row>
    <row r="458" spans="2:30" x14ac:dyDescent="0.2">
      <c r="B458" s="61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3"/>
      <c r="AC458" s="3"/>
      <c r="AD458" s="3"/>
    </row>
    <row r="459" spans="2:30" x14ac:dyDescent="0.2">
      <c r="B459" s="61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3"/>
      <c r="AC459" s="3"/>
      <c r="AD459" s="3"/>
    </row>
    <row r="460" spans="2:30" x14ac:dyDescent="0.2">
      <c r="B460" s="61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3"/>
      <c r="AC460" s="3"/>
      <c r="AD460" s="3"/>
    </row>
    <row r="461" spans="2:30" x14ac:dyDescent="0.2">
      <c r="B461" s="61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3"/>
      <c r="AC461" s="3"/>
      <c r="AD461" s="3"/>
    </row>
    <row r="462" spans="2:30" x14ac:dyDescent="0.2">
      <c r="B462" s="61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3"/>
      <c r="AC462" s="3"/>
      <c r="AD462" s="3"/>
    </row>
    <row r="463" spans="2:30" x14ac:dyDescent="0.2">
      <c r="B463" s="61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3"/>
      <c r="AC463" s="3"/>
      <c r="AD463" s="3"/>
    </row>
    <row r="464" spans="2:30" x14ac:dyDescent="0.2">
      <c r="B464" s="61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3"/>
      <c r="AC464" s="3"/>
      <c r="AD464" s="3"/>
    </row>
    <row r="465" spans="2:30" x14ac:dyDescent="0.2">
      <c r="B465" s="61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3"/>
      <c r="AC465" s="3"/>
      <c r="AD465" s="3"/>
    </row>
    <row r="466" spans="2:30" x14ac:dyDescent="0.2">
      <c r="B466" s="61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3"/>
      <c r="AC466" s="3"/>
      <c r="AD466" s="3"/>
    </row>
    <row r="467" spans="2:30" x14ac:dyDescent="0.2">
      <c r="B467" s="61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3"/>
      <c r="AC467" s="3"/>
      <c r="AD467" s="3"/>
    </row>
    <row r="468" spans="2:30" x14ac:dyDescent="0.2">
      <c r="B468" s="61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3"/>
      <c r="AC468" s="3"/>
      <c r="AD468" s="3"/>
    </row>
    <row r="469" spans="2:30" x14ac:dyDescent="0.2">
      <c r="B469" s="61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3"/>
      <c r="AC469" s="3"/>
      <c r="AD469" s="3"/>
    </row>
    <row r="470" spans="2:30" x14ac:dyDescent="0.2">
      <c r="B470" s="61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3"/>
      <c r="AC470" s="3"/>
      <c r="AD470" s="3"/>
    </row>
    <row r="471" spans="2:30" x14ac:dyDescent="0.2">
      <c r="B471" s="61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3"/>
      <c r="AC471" s="3"/>
      <c r="AD471" s="3"/>
    </row>
    <row r="472" spans="2:30" x14ac:dyDescent="0.2">
      <c r="B472" s="61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3"/>
      <c r="AC472" s="3"/>
      <c r="AD472" s="3"/>
    </row>
    <row r="473" spans="2:30" x14ac:dyDescent="0.2">
      <c r="B473" s="61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3"/>
      <c r="AC473" s="3"/>
      <c r="AD473" s="3"/>
    </row>
    <row r="474" spans="2:30" x14ac:dyDescent="0.2">
      <c r="B474" s="61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3"/>
      <c r="AC474" s="3"/>
      <c r="AD474" s="3"/>
    </row>
    <row r="475" spans="2:30" x14ac:dyDescent="0.2">
      <c r="B475" s="61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3"/>
      <c r="AC475" s="3"/>
      <c r="AD475" s="3"/>
    </row>
    <row r="476" spans="2:30" x14ac:dyDescent="0.2">
      <c r="B476" s="61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3"/>
      <c r="AC476" s="3"/>
      <c r="AD476" s="3"/>
    </row>
    <row r="477" spans="2:30" x14ac:dyDescent="0.2">
      <c r="B477" s="61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3"/>
      <c r="AC477" s="3"/>
      <c r="AD477" s="3"/>
    </row>
    <row r="478" spans="2:30" x14ac:dyDescent="0.2">
      <c r="B478" s="61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3"/>
      <c r="AC478" s="3"/>
      <c r="AD478" s="3"/>
    </row>
    <row r="479" spans="2:30" x14ac:dyDescent="0.2">
      <c r="B479" s="61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3"/>
      <c r="AC479" s="3"/>
      <c r="AD479" s="3"/>
    </row>
    <row r="480" spans="2:30" x14ac:dyDescent="0.2">
      <c r="B480" s="61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3"/>
      <c r="AC480" s="3"/>
      <c r="AD480" s="3"/>
    </row>
    <row r="481" spans="2:30" x14ac:dyDescent="0.2">
      <c r="B481" s="61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3"/>
      <c r="AC481" s="3"/>
      <c r="AD481" s="3"/>
    </row>
    <row r="482" spans="2:30" x14ac:dyDescent="0.2">
      <c r="B482" s="61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3"/>
      <c r="AC482" s="3"/>
      <c r="AD482" s="3"/>
    </row>
    <row r="483" spans="2:30" x14ac:dyDescent="0.2">
      <c r="B483" s="61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3"/>
      <c r="AC483" s="3"/>
      <c r="AD483" s="3"/>
    </row>
    <row r="484" spans="2:30" x14ac:dyDescent="0.2">
      <c r="B484" s="61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3"/>
      <c r="AC484" s="3"/>
      <c r="AD484" s="3"/>
    </row>
    <row r="485" spans="2:30" x14ac:dyDescent="0.2">
      <c r="B485" s="61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3"/>
      <c r="AC485" s="3"/>
      <c r="AD485" s="3"/>
    </row>
    <row r="486" spans="2:30" x14ac:dyDescent="0.2">
      <c r="B486" s="61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3"/>
      <c r="AC486" s="3"/>
      <c r="AD486" s="3"/>
    </row>
    <row r="487" spans="2:30" x14ac:dyDescent="0.2">
      <c r="B487" s="61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3"/>
      <c r="AC487" s="3"/>
      <c r="AD487" s="3"/>
    </row>
    <row r="488" spans="2:30" x14ac:dyDescent="0.2">
      <c r="B488" s="61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3"/>
      <c r="AC488" s="3"/>
      <c r="AD488" s="3"/>
    </row>
    <row r="489" spans="2:30" x14ac:dyDescent="0.2">
      <c r="B489" s="61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3"/>
      <c r="AC489" s="3"/>
      <c r="AD489" s="3"/>
    </row>
    <row r="490" spans="2:30" x14ac:dyDescent="0.2">
      <c r="B490" s="61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3"/>
      <c r="AC490" s="3"/>
      <c r="AD490" s="3"/>
    </row>
    <row r="491" spans="2:30" x14ac:dyDescent="0.2">
      <c r="B491" s="61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3"/>
      <c r="AC491" s="3"/>
      <c r="AD491" s="3"/>
    </row>
    <row r="492" spans="2:30" x14ac:dyDescent="0.2">
      <c r="B492" s="61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3"/>
      <c r="AC492" s="3"/>
      <c r="AD492" s="3"/>
    </row>
    <row r="493" spans="2:30" x14ac:dyDescent="0.2">
      <c r="B493" s="61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3"/>
      <c r="AC493" s="3"/>
      <c r="AD493" s="3"/>
    </row>
    <row r="494" spans="2:30" x14ac:dyDescent="0.2">
      <c r="B494" s="61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3"/>
      <c r="AC494" s="3"/>
      <c r="AD494" s="3"/>
    </row>
    <row r="495" spans="2:30" x14ac:dyDescent="0.2">
      <c r="B495" s="61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3"/>
      <c r="AC495" s="3"/>
      <c r="AD495" s="3"/>
    </row>
    <row r="496" spans="2:30" x14ac:dyDescent="0.2">
      <c r="B496" s="61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3"/>
      <c r="AC496" s="3"/>
      <c r="AD496" s="3"/>
    </row>
    <row r="497" spans="2:30" x14ac:dyDescent="0.2">
      <c r="B497" s="61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3"/>
      <c r="AC497" s="3"/>
      <c r="AD497" s="3"/>
    </row>
    <row r="498" spans="2:30" x14ac:dyDescent="0.2">
      <c r="B498" s="61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3"/>
      <c r="AC498" s="3"/>
      <c r="AD498" s="3"/>
    </row>
    <row r="499" spans="2:30" x14ac:dyDescent="0.2">
      <c r="B499" s="61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3"/>
      <c r="AC499" s="3"/>
      <c r="AD499" s="3"/>
    </row>
    <row r="500" spans="2:30" x14ac:dyDescent="0.2">
      <c r="B500" s="61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3"/>
      <c r="AC500" s="3"/>
      <c r="AD500" s="3"/>
    </row>
    <row r="501" spans="2:30" x14ac:dyDescent="0.2">
      <c r="B501" s="61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3"/>
      <c r="AC501" s="3"/>
      <c r="AD501" s="3"/>
    </row>
    <row r="502" spans="2:30" x14ac:dyDescent="0.2">
      <c r="B502" s="61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3"/>
      <c r="AC502" s="3"/>
      <c r="AD502" s="3"/>
    </row>
    <row r="503" spans="2:30" x14ac:dyDescent="0.2">
      <c r="B503" s="61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3"/>
      <c r="AC503" s="3"/>
      <c r="AD503" s="3"/>
    </row>
    <row r="504" spans="2:30" x14ac:dyDescent="0.2">
      <c r="B504" s="61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3"/>
      <c r="AC504" s="3"/>
      <c r="AD504" s="3"/>
    </row>
    <row r="505" spans="2:30" x14ac:dyDescent="0.2">
      <c r="B505" s="61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3"/>
      <c r="AC505" s="3"/>
      <c r="AD505" s="3"/>
    </row>
    <row r="506" spans="2:30" x14ac:dyDescent="0.2">
      <c r="B506" s="61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3"/>
      <c r="AC506" s="3"/>
      <c r="AD506" s="3"/>
    </row>
    <row r="507" spans="2:30" x14ac:dyDescent="0.2">
      <c r="B507" s="61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3"/>
      <c r="AC507" s="3"/>
      <c r="AD507" s="3"/>
    </row>
    <row r="508" spans="2:30" x14ac:dyDescent="0.2">
      <c r="B508" s="61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3"/>
      <c r="AC508" s="3"/>
      <c r="AD508" s="3"/>
    </row>
    <row r="509" spans="2:30" x14ac:dyDescent="0.2">
      <c r="B509" s="61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3"/>
      <c r="AC509" s="3"/>
      <c r="AD509" s="3"/>
    </row>
    <row r="510" spans="2:30" x14ac:dyDescent="0.2">
      <c r="B510" s="61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3"/>
      <c r="AC510" s="3"/>
      <c r="AD510" s="3"/>
    </row>
    <row r="511" spans="2:30" x14ac:dyDescent="0.2">
      <c r="B511" s="61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3"/>
      <c r="AC511" s="3"/>
      <c r="AD511" s="3"/>
    </row>
    <row r="512" spans="2:30" x14ac:dyDescent="0.2">
      <c r="B512" s="61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3"/>
      <c r="AC512" s="3"/>
      <c r="AD512" s="3"/>
    </row>
    <row r="513" spans="2:30" x14ac:dyDescent="0.2">
      <c r="B513" s="61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3"/>
      <c r="AC513" s="3"/>
      <c r="AD513" s="3"/>
    </row>
    <row r="514" spans="2:30" x14ac:dyDescent="0.2">
      <c r="B514" s="61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3"/>
      <c r="AC514" s="3"/>
      <c r="AD514" s="3"/>
    </row>
    <row r="515" spans="2:30" x14ac:dyDescent="0.2">
      <c r="B515" s="61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3"/>
      <c r="AC515" s="3"/>
      <c r="AD515" s="3"/>
    </row>
    <row r="516" spans="2:30" x14ac:dyDescent="0.2">
      <c r="B516" s="61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3"/>
      <c r="AC516" s="3"/>
      <c r="AD516" s="3"/>
    </row>
    <row r="517" spans="2:30" x14ac:dyDescent="0.2">
      <c r="B517" s="61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3"/>
      <c r="AC517" s="3"/>
      <c r="AD517" s="3"/>
    </row>
    <row r="518" spans="2:30" x14ac:dyDescent="0.2">
      <c r="B518" s="61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3"/>
      <c r="AC518" s="3"/>
      <c r="AD518" s="3"/>
    </row>
    <row r="519" spans="2:30" x14ac:dyDescent="0.2">
      <c r="B519" s="61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3"/>
      <c r="AC519" s="3"/>
      <c r="AD519" s="3"/>
    </row>
    <row r="520" spans="2:30" x14ac:dyDescent="0.2">
      <c r="B520" s="61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3"/>
      <c r="AC520" s="3"/>
      <c r="AD520" s="3"/>
    </row>
    <row r="521" spans="2:30" x14ac:dyDescent="0.2">
      <c r="B521" s="61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3"/>
      <c r="AC521" s="3"/>
      <c r="AD521" s="3"/>
    </row>
    <row r="522" spans="2:30" x14ac:dyDescent="0.2">
      <c r="B522" s="61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3"/>
      <c r="AC522" s="3"/>
      <c r="AD522" s="3"/>
    </row>
    <row r="523" spans="2:30" x14ac:dyDescent="0.2">
      <c r="B523" s="61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3"/>
      <c r="AC523" s="3"/>
      <c r="AD523" s="3"/>
    </row>
    <row r="524" spans="2:30" x14ac:dyDescent="0.2">
      <c r="B524" s="61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3"/>
      <c r="AC524" s="3"/>
      <c r="AD524" s="3"/>
    </row>
    <row r="525" spans="2:30" x14ac:dyDescent="0.2">
      <c r="B525" s="61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3"/>
      <c r="AC525" s="3"/>
      <c r="AD525" s="3"/>
    </row>
    <row r="526" spans="2:30" x14ac:dyDescent="0.2">
      <c r="B526" s="61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3"/>
      <c r="AC526" s="3"/>
      <c r="AD526" s="3"/>
    </row>
    <row r="527" spans="2:30" x14ac:dyDescent="0.2">
      <c r="B527" s="61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3"/>
      <c r="AC527" s="3"/>
      <c r="AD527" s="3"/>
    </row>
    <row r="528" spans="2:30" x14ac:dyDescent="0.2">
      <c r="B528" s="61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3"/>
      <c r="AC528" s="3"/>
      <c r="AD528" s="3"/>
    </row>
    <row r="529" spans="2:30" x14ac:dyDescent="0.2">
      <c r="B529" s="61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3"/>
      <c r="AC529" s="3"/>
      <c r="AD529" s="3"/>
    </row>
    <row r="530" spans="2:30" x14ac:dyDescent="0.2">
      <c r="B530" s="61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3"/>
      <c r="AC530" s="3"/>
      <c r="AD530" s="3"/>
    </row>
    <row r="531" spans="2:30" x14ac:dyDescent="0.2">
      <c r="B531" s="61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3"/>
      <c r="AC531" s="3"/>
      <c r="AD531" s="3"/>
    </row>
    <row r="532" spans="2:30" x14ac:dyDescent="0.2">
      <c r="B532" s="61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3"/>
      <c r="AC532" s="3"/>
      <c r="AD532" s="3"/>
    </row>
    <row r="533" spans="2:30" x14ac:dyDescent="0.2">
      <c r="B533" s="61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3"/>
      <c r="AC533" s="3"/>
      <c r="AD533" s="3"/>
    </row>
    <row r="534" spans="2:30" x14ac:dyDescent="0.2">
      <c r="B534" s="61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3"/>
      <c r="AC534" s="3"/>
      <c r="AD534" s="3"/>
    </row>
    <row r="535" spans="2:30" x14ac:dyDescent="0.2">
      <c r="B535" s="61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3"/>
      <c r="AC535" s="3"/>
      <c r="AD535" s="3"/>
    </row>
    <row r="536" spans="2:30" x14ac:dyDescent="0.2">
      <c r="B536" s="61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3"/>
      <c r="AC536" s="3"/>
      <c r="AD536" s="3"/>
    </row>
    <row r="537" spans="2:30" x14ac:dyDescent="0.2">
      <c r="B537" s="61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3"/>
      <c r="AC537" s="3"/>
      <c r="AD537" s="3"/>
    </row>
    <row r="538" spans="2:30" x14ac:dyDescent="0.2">
      <c r="B538" s="61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3"/>
      <c r="AC538" s="3"/>
      <c r="AD538" s="3"/>
    </row>
    <row r="539" spans="2:30" x14ac:dyDescent="0.2">
      <c r="B539" s="61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3"/>
      <c r="AC539" s="3"/>
      <c r="AD539" s="3"/>
    </row>
    <row r="540" spans="2:30" x14ac:dyDescent="0.2">
      <c r="B540" s="61"/>
      <c r="C540" s="74"/>
      <c r="D540" s="74"/>
      <c r="E540" s="74"/>
      <c r="F540" s="74"/>
      <c r="G540" s="74"/>
      <c r="H540" s="74"/>
      <c r="I540" s="74"/>
      <c r="J540" s="74"/>
      <c r="K540" s="74"/>
      <c r="L540" s="74"/>
      <c r="M540" s="74"/>
      <c r="N540" s="74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  <c r="AA540" s="74"/>
      <c r="AB540" s="3"/>
      <c r="AC540" s="3"/>
      <c r="AD540" s="3"/>
    </row>
    <row r="541" spans="2:30" x14ac:dyDescent="0.2">
      <c r="B541" s="61"/>
      <c r="C541" s="74"/>
      <c r="D541" s="74"/>
      <c r="E541" s="74"/>
      <c r="F541" s="74"/>
      <c r="G541" s="74"/>
      <c r="H541" s="74"/>
      <c r="I541" s="74"/>
      <c r="J541" s="74"/>
      <c r="K541" s="74"/>
      <c r="L541" s="74"/>
      <c r="M541" s="74"/>
      <c r="N541" s="74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  <c r="AA541" s="74"/>
      <c r="AB541" s="3"/>
      <c r="AC541" s="3"/>
      <c r="AD541" s="3"/>
    </row>
    <row r="542" spans="2:30" x14ac:dyDescent="0.2">
      <c r="B542" s="61"/>
      <c r="C542" s="74"/>
      <c r="D542" s="74"/>
      <c r="E542" s="74"/>
      <c r="F542" s="74"/>
      <c r="G542" s="74"/>
      <c r="H542" s="74"/>
      <c r="I542" s="74"/>
      <c r="J542" s="74"/>
      <c r="K542" s="74"/>
      <c r="L542" s="74"/>
      <c r="M542" s="74"/>
      <c r="N542" s="74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  <c r="AA542" s="74"/>
      <c r="AB542" s="3"/>
      <c r="AC542" s="3"/>
      <c r="AD542" s="3"/>
    </row>
    <row r="543" spans="2:30" x14ac:dyDescent="0.2">
      <c r="B543" s="61"/>
      <c r="C543" s="74"/>
      <c r="D543" s="74"/>
      <c r="E543" s="74"/>
      <c r="F543" s="74"/>
      <c r="G543" s="74"/>
      <c r="H543" s="74"/>
      <c r="I543" s="74"/>
      <c r="J543" s="74"/>
      <c r="K543" s="74"/>
      <c r="L543" s="74"/>
      <c r="M543" s="74"/>
      <c r="N543" s="74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  <c r="AA543" s="74"/>
      <c r="AB543" s="3"/>
      <c r="AC543" s="3"/>
      <c r="AD543" s="3"/>
    </row>
    <row r="544" spans="2:30" x14ac:dyDescent="0.2">
      <c r="B544" s="61"/>
      <c r="C544" s="74"/>
      <c r="D544" s="74"/>
      <c r="E544" s="74"/>
      <c r="F544" s="74"/>
      <c r="G544" s="74"/>
      <c r="H544" s="74"/>
      <c r="I544" s="74"/>
      <c r="J544" s="74"/>
      <c r="K544" s="74"/>
      <c r="L544" s="74"/>
      <c r="M544" s="74"/>
      <c r="N544" s="74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  <c r="AA544" s="74"/>
      <c r="AB544" s="3"/>
      <c r="AC544" s="3"/>
      <c r="AD544" s="3"/>
    </row>
    <row r="545" spans="2:30" x14ac:dyDescent="0.2">
      <c r="B545" s="61"/>
      <c r="C545" s="74"/>
      <c r="D545" s="74"/>
      <c r="E545" s="74"/>
      <c r="F545" s="74"/>
      <c r="G545" s="74"/>
      <c r="H545" s="74"/>
      <c r="I545" s="74"/>
      <c r="J545" s="74"/>
      <c r="K545" s="74"/>
      <c r="L545" s="74"/>
      <c r="M545" s="74"/>
      <c r="N545" s="74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  <c r="AA545" s="74"/>
      <c r="AB545" s="3"/>
      <c r="AC545" s="3"/>
      <c r="AD545" s="3"/>
    </row>
    <row r="546" spans="2:30" x14ac:dyDescent="0.2">
      <c r="B546" s="61"/>
      <c r="C546" s="74"/>
      <c r="D546" s="74"/>
      <c r="E546" s="74"/>
      <c r="F546" s="74"/>
      <c r="G546" s="74"/>
      <c r="H546" s="74"/>
      <c r="I546" s="74"/>
      <c r="J546" s="74"/>
      <c r="K546" s="74"/>
      <c r="L546" s="74"/>
      <c r="M546" s="74"/>
      <c r="N546" s="74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  <c r="AA546" s="74"/>
      <c r="AB546" s="3"/>
      <c r="AC546" s="3"/>
      <c r="AD546" s="3"/>
    </row>
    <row r="547" spans="2:30" x14ac:dyDescent="0.2">
      <c r="B547" s="61"/>
      <c r="C547" s="74"/>
      <c r="D547" s="74"/>
      <c r="E547" s="74"/>
      <c r="F547" s="74"/>
      <c r="G547" s="74"/>
      <c r="H547" s="74"/>
      <c r="I547" s="74"/>
      <c r="J547" s="74"/>
      <c r="K547" s="74"/>
      <c r="L547" s="74"/>
      <c r="M547" s="74"/>
      <c r="N547" s="74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  <c r="AA547" s="74"/>
      <c r="AB547" s="3"/>
      <c r="AC547" s="3"/>
      <c r="AD547" s="3"/>
    </row>
    <row r="548" spans="2:30" x14ac:dyDescent="0.2">
      <c r="B548" s="61"/>
      <c r="C548" s="74"/>
      <c r="D548" s="74"/>
      <c r="E548" s="74"/>
      <c r="F548" s="74"/>
      <c r="G548" s="74"/>
      <c r="H548" s="74"/>
      <c r="I548" s="74"/>
      <c r="J548" s="74"/>
      <c r="K548" s="74"/>
      <c r="L548" s="74"/>
      <c r="M548" s="74"/>
      <c r="N548" s="74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  <c r="AA548" s="74"/>
      <c r="AB548" s="3"/>
      <c r="AC548" s="3"/>
      <c r="AD548" s="3"/>
    </row>
    <row r="549" spans="2:30" x14ac:dyDescent="0.2">
      <c r="B549" s="61"/>
      <c r="C549" s="74"/>
      <c r="D549" s="74"/>
      <c r="E549" s="74"/>
      <c r="F549" s="74"/>
      <c r="G549" s="74"/>
      <c r="H549" s="74"/>
      <c r="I549" s="74"/>
      <c r="J549" s="74"/>
      <c r="K549" s="74"/>
      <c r="L549" s="74"/>
      <c r="M549" s="74"/>
      <c r="N549" s="74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  <c r="AA549" s="74"/>
      <c r="AB549" s="3"/>
      <c r="AC549" s="3"/>
      <c r="AD549" s="3"/>
    </row>
    <row r="550" spans="2:30" x14ac:dyDescent="0.2">
      <c r="B550" s="61"/>
      <c r="C550" s="74"/>
      <c r="D550" s="74"/>
      <c r="E550" s="74"/>
      <c r="F550" s="74"/>
      <c r="G550" s="74"/>
      <c r="H550" s="74"/>
      <c r="I550" s="74"/>
      <c r="J550" s="74"/>
      <c r="K550" s="74"/>
      <c r="L550" s="74"/>
      <c r="M550" s="74"/>
      <c r="N550" s="74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  <c r="AA550" s="74"/>
      <c r="AB550" s="3"/>
      <c r="AC550" s="3"/>
      <c r="AD550" s="3"/>
    </row>
    <row r="551" spans="2:30" x14ac:dyDescent="0.2">
      <c r="B551" s="61"/>
      <c r="C551" s="74"/>
      <c r="D551" s="74"/>
      <c r="E551" s="74"/>
      <c r="F551" s="74"/>
      <c r="G551" s="74"/>
      <c r="H551" s="74"/>
      <c r="I551" s="74"/>
      <c r="J551" s="74"/>
      <c r="K551" s="74"/>
      <c r="L551" s="74"/>
      <c r="M551" s="74"/>
      <c r="N551" s="74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  <c r="AA551" s="74"/>
      <c r="AB551" s="3"/>
      <c r="AC551" s="3"/>
      <c r="AD551" s="3"/>
    </row>
    <row r="552" spans="2:30" x14ac:dyDescent="0.2">
      <c r="B552" s="61"/>
      <c r="C552" s="74"/>
      <c r="D552" s="74"/>
      <c r="E552" s="74"/>
      <c r="F552" s="74"/>
      <c r="G552" s="74"/>
      <c r="H552" s="74"/>
      <c r="I552" s="74"/>
      <c r="J552" s="74"/>
      <c r="K552" s="74"/>
      <c r="L552" s="74"/>
      <c r="M552" s="74"/>
      <c r="N552" s="74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  <c r="AA552" s="74"/>
      <c r="AB552" s="3"/>
      <c r="AC552" s="3"/>
      <c r="AD552" s="3"/>
    </row>
    <row r="553" spans="2:30" x14ac:dyDescent="0.2">
      <c r="B553" s="61"/>
      <c r="C553" s="74"/>
      <c r="D553" s="74"/>
      <c r="E553" s="74"/>
      <c r="F553" s="74"/>
      <c r="G553" s="74"/>
      <c r="H553" s="74"/>
      <c r="I553" s="74"/>
      <c r="J553" s="74"/>
      <c r="K553" s="74"/>
      <c r="L553" s="74"/>
      <c r="M553" s="74"/>
      <c r="N553" s="74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  <c r="AA553" s="74"/>
      <c r="AB553" s="3"/>
      <c r="AC553" s="3"/>
      <c r="AD553" s="3"/>
    </row>
    <row r="554" spans="2:30" x14ac:dyDescent="0.2">
      <c r="B554" s="61"/>
      <c r="C554" s="74"/>
      <c r="D554" s="74"/>
      <c r="E554" s="74"/>
      <c r="F554" s="74"/>
      <c r="G554" s="74"/>
      <c r="H554" s="74"/>
      <c r="I554" s="74"/>
      <c r="J554" s="74"/>
      <c r="K554" s="74"/>
      <c r="L554" s="74"/>
      <c r="M554" s="74"/>
      <c r="N554" s="74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  <c r="AA554" s="74"/>
      <c r="AB554" s="3"/>
      <c r="AC554" s="3"/>
      <c r="AD554" s="3"/>
    </row>
    <row r="555" spans="2:30" x14ac:dyDescent="0.2">
      <c r="B555" s="61"/>
      <c r="C555" s="74"/>
      <c r="D555" s="74"/>
      <c r="E555" s="74"/>
      <c r="F555" s="74"/>
      <c r="G555" s="74"/>
      <c r="H555" s="74"/>
      <c r="I555" s="74"/>
      <c r="J555" s="74"/>
      <c r="K555" s="74"/>
      <c r="L555" s="74"/>
      <c r="M555" s="74"/>
      <c r="N555" s="74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  <c r="AA555" s="74"/>
      <c r="AB555" s="3"/>
      <c r="AC555" s="3"/>
      <c r="AD555" s="3"/>
    </row>
    <row r="556" spans="2:30" x14ac:dyDescent="0.2">
      <c r="B556" s="61"/>
      <c r="C556" s="74"/>
      <c r="D556" s="74"/>
      <c r="E556" s="74"/>
      <c r="F556" s="74"/>
      <c r="G556" s="74"/>
      <c r="H556" s="74"/>
      <c r="I556" s="74"/>
      <c r="J556" s="74"/>
      <c r="K556" s="74"/>
      <c r="L556" s="74"/>
      <c r="M556" s="74"/>
      <c r="N556" s="74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  <c r="AA556" s="74"/>
      <c r="AB556" s="3"/>
      <c r="AC556" s="3"/>
      <c r="AD556" s="3"/>
    </row>
    <row r="557" spans="2:30" x14ac:dyDescent="0.2">
      <c r="B557" s="61"/>
      <c r="C557" s="74"/>
      <c r="D557" s="74"/>
      <c r="E557" s="74"/>
      <c r="F557" s="74"/>
      <c r="G557" s="74"/>
      <c r="H557" s="74"/>
      <c r="I557" s="74"/>
      <c r="J557" s="74"/>
      <c r="K557" s="74"/>
      <c r="L557" s="74"/>
      <c r="M557" s="74"/>
      <c r="N557" s="74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  <c r="AA557" s="74"/>
      <c r="AB557" s="3"/>
      <c r="AC557" s="3"/>
      <c r="AD557" s="3"/>
    </row>
    <row r="558" spans="2:30" x14ac:dyDescent="0.2">
      <c r="B558" s="61"/>
      <c r="C558" s="74"/>
      <c r="D558" s="74"/>
      <c r="E558" s="74"/>
      <c r="F558" s="74"/>
      <c r="G558" s="74"/>
      <c r="H558" s="74"/>
      <c r="I558" s="74"/>
      <c r="J558" s="74"/>
      <c r="K558" s="74"/>
      <c r="L558" s="74"/>
      <c r="M558" s="74"/>
      <c r="N558" s="74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  <c r="AA558" s="74"/>
      <c r="AB558" s="3"/>
      <c r="AC558" s="3"/>
      <c r="AD558" s="3"/>
    </row>
    <row r="559" spans="2:30" x14ac:dyDescent="0.2">
      <c r="B559" s="61"/>
      <c r="C559" s="74"/>
      <c r="D559" s="74"/>
      <c r="E559" s="74"/>
      <c r="F559" s="74"/>
      <c r="G559" s="74"/>
      <c r="H559" s="74"/>
      <c r="I559" s="74"/>
      <c r="J559" s="74"/>
      <c r="K559" s="74"/>
      <c r="L559" s="74"/>
      <c r="M559" s="74"/>
      <c r="N559" s="74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  <c r="AA559" s="74"/>
      <c r="AB559" s="3"/>
      <c r="AC559" s="3"/>
      <c r="AD559" s="3"/>
    </row>
    <row r="560" spans="2:30" x14ac:dyDescent="0.2">
      <c r="B560" s="61"/>
      <c r="C560" s="74"/>
      <c r="D560" s="74"/>
      <c r="E560" s="74"/>
      <c r="F560" s="74"/>
      <c r="G560" s="74"/>
      <c r="H560" s="74"/>
      <c r="I560" s="74"/>
      <c r="J560" s="74"/>
      <c r="K560" s="74"/>
      <c r="L560" s="74"/>
      <c r="M560" s="74"/>
      <c r="N560" s="74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  <c r="AA560" s="74"/>
      <c r="AB560" s="3"/>
      <c r="AC560" s="3"/>
      <c r="AD560" s="3"/>
    </row>
    <row r="561" spans="2:30" x14ac:dyDescent="0.2">
      <c r="B561" s="61"/>
      <c r="C561" s="74"/>
      <c r="D561" s="74"/>
      <c r="E561" s="74"/>
      <c r="F561" s="74"/>
      <c r="G561" s="74"/>
      <c r="H561" s="74"/>
      <c r="I561" s="74"/>
      <c r="J561" s="74"/>
      <c r="K561" s="74"/>
      <c r="L561" s="74"/>
      <c r="M561" s="74"/>
      <c r="N561" s="74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  <c r="AA561" s="74"/>
      <c r="AB561" s="3"/>
      <c r="AC561" s="3"/>
      <c r="AD561" s="3"/>
    </row>
    <row r="562" spans="2:30" x14ac:dyDescent="0.2">
      <c r="B562" s="61"/>
      <c r="C562" s="74"/>
      <c r="D562" s="74"/>
      <c r="E562" s="74"/>
      <c r="F562" s="74"/>
      <c r="G562" s="74"/>
      <c r="H562" s="74"/>
      <c r="I562" s="74"/>
      <c r="J562" s="74"/>
      <c r="K562" s="74"/>
      <c r="L562" s="74"/>
      <c r="M562" s="74"/>
      <c r="N562" s="74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  <c r="AA562" s="74"/>
      <c r="AB562" s="3"/>
      <c r="AC562" s="3"/>
      <c r="AD562" s="3"/>
    </row>
    <row r="563" spans="2:30" x14ac:dyDescent="0.2">
      <c r="B563" s="61"/>
      <c r="C563" s="74"/>
      <c r="D563" s="74"/>
      <c r="E563" s="74"/>
      <c r="F563" s="74"/>
      <c r="G563" s="74"/>
      <c r="H563" s="74"/>
      <c r="I563" s="74"/>
      <c r="J563" s="74"/>
      <c r="K563" s="74"/>
      <c r="L563" s="74"/>
      <c r="M563" s="74"/>
      <c r="N563" s="74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  <c r="AA563" s="74"/>
      <c r="AB563" s="3"/>
      <c r="AC563" s="3"/>
      <c r="AD563" s="3"/>
    </row>
    <row r="564" spans="2:30" x14ac:dyDescent="0.2">
      <c r="B564" s="61"/>
      <c r="C564" s="74"/>
      <c r="D564" s="74"/>
      <c r="E564" s="74"/>
      <c r="F564" s="74"/>
      <c r="G564" s="74"/>
      <c r="H564" s="74"/>
      <c r="I564" s="74"/>
      <c r="J564" s="74"/>
      <c r="K564" s="74"/>
      <c r="L564" s="74"/>
      <c r="M564" s="74"/>
      <c r="N564" s="74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  <c r="AA564" s="74"/>
      <c r="AB564" s="3"/>
      <c r="AC564" s="3"/>
      <c r="AD564" s="3"/>
    </row>
    <row r="565" spans="2:30" x14ac:dyDescent="0.2">
      <c r="B565" s="61"/>
      <c r="C565" s="74"/>
      <c r="D565" s="74"/>
      <c r="E565" s="74"/>
      <c r="F565" s="74"/>
      <c r="G565" s="74"/>
      <c r="H565" s="74"/>
      <c r="I565" s="74"/>
      <c r="J565" s="74"/>
      <c r="K565" s="74"/>
      <c r="L565" s="74"/>
      <c r="M565" s="74"/>
      <c r="N565" s="74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  <c r="AA565" s="74"/>
      <c r="AB565" s="3"/>
      <c r="AC565" s="3"/>
      <c r="AD565" s="3"/>
    </row>
    <row r="566" spans="2:30" x14ac:dyDescent="0.2">
      <c r="B566" s="61"/>
      <c r="C566" s="74"/>
      <c r="D566" s="74"/>
      <c r="E566" s="74"/>
      <c r="F566" s="74"/>
      <c r="G566" s="74"/>
      <c r="H566" s="74"/>
      <c r="I566" s="74"/>
      <c r="J566" s="74"/>
      <c r="K566" s="74"/>
      <c r="L566" s="74"/>
      <c r="M566" s="74"/>
      <c r="N566" s="74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  <c r="AA566" s="74"/>
      <c r="AB566" s="3"/>
      <c r="AC566" s="3"/>
      <c r="AD566" s="3"/>
    </row>
    <row r="567" spans="2:30" x14ac:dyDescent="0.2">
      <c r="B567" s="61"/>
      <c r="C567" s="74"/>
      <c r="D567" s="74"/>
      <c r="E567" s="74"/>
      <c r="F567" s="74"/>
      <c r="G567" s="74"/>
      <c r="H567" s="74"/>
      <c r="I567" s="74"/>
      <c r="J567" s="74"/>
      <c r="K567" s="74"/>
      <c r="L567" s="74"/>
      <c r="M567" s="74"/>
      <c r="N567" s="74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  <c r="AA567" s="74"/>
      <c r="AB567" s="3"/>
      <c r="AC567" s="3"/>
      <c r="AD567" s="3"/>
    </row>
    <row r="568" spans="2:30" x14ac:dyDescent="0.2">
      <c r="B568" s="61"/>
      <c r="C568" s="74"/>
      <c r="D568" s="74"/>
      <c r="E568" s="74"/>
      <c r="F568" s="74"/>
      <c r="G568" s="74"/>
      <c r="H568" s="74"/>
      <c r="I568" s="74"/>
      <c r="J568" s="74"/>
      <c r="K568" s="74"/>
      <c r="L568" s="74"/>
      <c r="M568" s="74"/>
      <c r="N568" s="74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  <c r="AA568" s="74"/>
      <c r="AB568" s="3"/>
      <c r="AC568" s="3"/>
      <c r="AD568" s="3"/>
    </row>
    <row r="569" spans="2:30" x14ac:dyDescent="0.2">
      <c r="B569" s="61"/>
      <c r="C569" s="74"/>
      <c r="D569" s="74"/>
      <c r="E569" s="74"/>
      <c r="F569" s="74"/>
      <c r="G569" s="74"/>
      <c r="H569" s="74"/>
      <c r="I569" s="74"/>
      <c r="J569" s="74"/>
      <c r="K569" s="74"/>
      <c r="L569" s="74"/>
      <c r="M569" s="74"/>
      <c r="N569" s="74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  <c r="AA569" s="74"/>
      <c r="AB569" s="3"/>
      <c r="AC569" s="3"/>
      <c r="AD569" s="3"/>
    </row>
    <row r="570" spans="2:30" x14ac:dyDescent="0.2">
      <c r="B570" s="61"/>
      <c r="C570" s="74"/>
      <c r="D570" s="74"/>
      <c r="E570" s="74"/>
      <c r="F570" s="74"/>
      <c r="G570" s="74"/>
      <c r="H570" s="74"/>
      <c r="I570" s="74"/>
      <c r="J570" s="74"/>
      <c r="K570" s="74"/>
      <c r="L570" s="74"/>
      <c r="M570" s="74"/>
      <c r="N570" s="74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  <c r="AA570" s="74"/>
      <c r="AB570" s="3"/>
      <c r="AC570" s="3"/>
      <c r="AD570" s="3"/>
    </row>
    <row r="571" spans="2:30" x14ac:dyDescent="0.2">
      <c r="B571" s="61"/>
      <c r="C571" s="74"/>
      <c r="D571" s="74"/>
      <c r="E571" s="74"/>
      <c r="F571" s="74"/>
      <c r="G571" s="74"/>
      <c r="H571" s="74"/>
      <c r="I571" s="74"/>
      <c r="J571" s="74"/>
      <c r="K571" s="74"/>
      <c r="L571" s="74"/>
      <c r="M571" s="74"/>
      <c r="N571" s="74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  <c r="AA571" s="74"/>
      <c r="AB571" s="3"/>
      <c r="AC571" s="3"/>
      <c r="AD571" s="3"/>
    </row>
    <row r="572" spans="2:30" x14ac:dyDescent="0.2">
      <c r="B572" s="61"/>
      <c r="C572" s="74"/>
      <c r="D572" s="74"/>
      <c r="E572" s="74"/>
      <c r="F572" s="74"/>
      <c r="G572" s="74"/>
      <c r="H572" s="74"/>
      <c r="I572" s="74"/>
      <c r="J572" s="74"/>
      <c r="K572" s="74"/>
      <c r="L572" s="74"/>
      <c r="M572" s="74"/>
      <c r="N572" s="74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  <c r="AA572" s="74"/>
      <c r="AB572" s="3"/>
      <c r="AC572" s="3"/>
      <c r="AD572" s="3"/>
    </row>
    <row r="573" spans="2:30" x14ac:dyDescent="0.2">
      <c r="B573" s="61"/>
      <c r="C573" s="74"/>
      <c r="D573" s="74"/>
      <c r="E573" s="74"/>
      <c r="F573" s="74"/>
      <c r="G573" s="74"/>
      <c r="H573" s="74"/>
      <c r="I573" s="74"/>
      <c r="J573" s="74"/>
      <c r="K573" s="74"/>
      <c r="L573" s="74"/>
      <c r="M573" s="74"/>
      <c r="N573" s="74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  <c r="AA573" s="74"/>
      <c r="AB573" s="3"/>
      <c r="AC573" s="3"/>
      <c r="AD573" s="3"/>
    </row>
    <row r="574" spans="2:30" x14ac:dyDescent="0.2">
      <c r="B574" s="61"/>
      <c r="C574" s="74"/>
      <c r="D574" s="74"/>
      <c r="E574" s="74"/>
      <c r="F574" s="74"/>
      <c r="G574" s="74"/>
      <c r="H574" s="74"/>
      <c r="I574" s="74"/>
      <c r="J574" s="74"/>
      <c r="K574" s="74"/>
      <c r="L574" s="74"/>
      <c r="M574" s="74"/>
      <c r="N574" s="74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  <c r="AA574" s="74"/>
      <c r="AB574" s="3"/>
      <c r="AC574" s="3"/>
      <c r="AD574" s="3"/>
    </row>
    <row r="575" spans="2:30" x14ac:dyDescent="0.2">
      <c r="B575" s="61"/>
      <c r="C575" s="74"/>
      <c r="D575" s="74"/>
      <c r="E575" s="74"/>
      <c r="F575" s="74"/>
      <c r="G575" s="74"/>
      <c r="H575" s="74"/>
      <c r="I575" s="74"/>
      <c r="J575" s="74"/>
      <c r="K575" s="74"/>
      <c r="L575" s="74"/>
      <c r="M575" s="74"/>
      <c r="N575" s="74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  <c r="AA575" s="74"/>
      <c r="AB575" s="3"/>
      <c r="AC575" s="3"/>
      <c r="AD575" s="3"/>
    </row>
    <row r="576" spans="2:30" x14ac:dyDescent="0.2">
      <c r="B576" s="61"/>
      <c r="C576" s="74"/>
      <c r="D576" s="74"/>
      <c r="E576" s="74"/>
      <c r="F576" s="74"/>
      <c r="G576" s="74"/>
      <c r="H576" s="74"/>
      <c r="I576" s="74"/>
      <c r="J576" s="74"/>
      <c r="K576" s="74"/>
      <c r="L576" s="74"/>
      <c r="M576" s="74"/>
      <c r="N576" s="74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  <c r="AA576" s="74"/>
      <c r="AB576" s="3"/>
      <c r="AC576" s="3"/>
      <c r="AD576" s="3"/>
    </row>
    <row r="577" spans="2:30" x14ac:dyDescent="0.2">
      <c r="B577" s="61"/>
      <c r="C577" s="74"/>
      <c r="D577" s="74"/>
      <c r="E577" s="74"/>
      <c r="F577" s="74"/>
      <c r="G577" s="74"/>
      <c r="H577" s="74"/>
      <c r="I577" s="74"/>
      <c r="J577" s="74"/>
      <c r="K577" s="74"/>
      <c r="L577" s="74"/>
      <c r="M577" s="74"/>
      <c r="N577" s="74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  <c r="AA577" s="74"/>
      <c r="AB577" s="3"/>
      <c r="AC577" s="3"/>
      <c r="AD577" s="3"/>
    </row>
    <row r="578" spans="2:30" x14ac:dyDescent="0.2">
      <c r="B578" s="61"/>
      <c r="C578" s="74"/>
      <c r="D578" s="74"/>
      <c r="E578" s="74"/>
      <c r="F578" s="74"/>
      <c r="G578" s="74"/>
      <c r="H578" s="74"/>
      <c r="I578" s="74"/>
      <c r="J578" s="74"/>
      <c r="K578" s="74"/>
      <c r="L578" s="74"/>
      <c r="M578" s="74"/>
      <c r="N578" s="74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  <c r="AA578" s="74"/>
      <c r="AB578" s="3"/>
      <c r="AC578" s="3"/>
      <c r="AD578" s="3"/>
    </row>
    <row r="579" spans="2:30" x14ac:dyDescent="0.2">
      <c r="B579" s="61"/>
      <c r="C579" s="74"/>
      <c r="D579" s="74"/>
      <c r="E579" s="74"/>
      <c r="F579" s="74"/>
      <c r="G579" s="74"/>
      <c r="H579" s="74"/>
      <c r="I579" s="74"/>
      <c r="J579" s="74"/>
      <c r="K579" s="74"/>
      <c r="L579" s="74"/>
      <c r="M579" s="74"/>
      <c r="N579" s="74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  <c r="AA579" s="74"/>
      <c r="AB579" s="3"/>
      <c r="AC579" s="3"/>
      <c r="AD579" s="3"/>
    </row>
    <row r="580" spans="2:30" x14ac:dyDescent="0.2">
      <c r="B580" s="61"/>
      <c r="C580" s="74"/>
      <c r="D580" s="74"/>
      <c r="E580" s="74"/>
      <c r="F580" s="74"/>
      <c r="G580" s="74"/>
      <c r="H580" s="74"/>
      <c r="I580" s="74"/>
      <c r="J580" s="74"/>
      <c r="K580" s="74"/>
      <c r="L580" s="74"/>
      <c r="M580" s="74"/>
      <c r="N580" s="74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  <c r="AA580" s="74"/>
      <c r="AB580" s="3"/>
      <c r="AC580" s="3"/>
      <c r="AD580" s="3"/>
    </row>
    <row r="581" spans="2:30" x14ac:dyDescent="0.2">
      <c r="B581" s="61"/>
      <c r="C581" s="74"/>
      <c r="D581" s="74"/>
      <c r="E581" s="74"/>
      <c r="F581" s="74"/>
      <c r="G581" s="74"/>
      <c r="H581" s="74"/>
      <c r="I581" s="74"/>
      <c r="J581" s="74"/>
      <c r="K581" s="74"/>
      <c r="L581" s="74"/>
      <c r="M581" s="74"/>
      <c r="N581" s="74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  <c r="AA581" s="74"/>
      <c r="AB581" s="3"/>
      <c r="AC581" s="3"/>
      <c r="AD581" s="3"/>
    </row>
    <row r="582" spans="2:30" x14ac:dyDescent="0.2">
      <c r="B582" s="61"/>
      <c r="C582" s="74"/>
      <c r="D582" s="74"/>
      <c r="E582" s="74"/>
      <c r="F582" s="74"/>
      <c r="G582" s="74"/>
      <c r="H582" s="74"/>
      <c r="I582" s="74"/>
      <c r="J582" s="74"/>
      <c r="K582" s="74"/>
      <c r="L582" s="74"/>
      <c r="M582" s="74"/>
      <c r="N582" s="74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  <c r="AA582" s="74"/>
      <c r="AB582" s="3"/>
      <c r="AC582" s="3"/>
      <c r="AD582" s="3"/>
    </row>
    <row r="583" spans="2:30" x14ac:dyDescent="0.2">
      <c r="B583" s="61"/>
      <c r="C583" s="74"/>
      <c r="D583" s="74"/>
      <c r="E583" s="74"/>
      <c r="F583" s="74"/>
      <c r="G583" s="74"/>
      <c r="H583" s="74"/>
      <c r="I583" s="74"/>
      <c r="J583" s="74"/>
      <c r="K583" s="74"/>
      <c r="L583" s="74"/>
      <c r="M583" s="74"/>
      <c r="N583" s="74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  <c r="AA583" s="74"/>
      <c r="AB583" s="3"/>
      <c r="AC583" s="3"/>
      <c r="AD583" s="3"/>
    </row>
    <row r="584" spans="2:30" x14ac:dyDescent="0.2">
      <c r="B584" s="61"/>
      <c r="C584" s="74"/>
      <c r="D584" s="74"/>
      <c r="E584" s="74"/>
      <c r="F584" s="74"/>
      <c r="G584" s="74"/>
      <c r="H584" s="74"/>
      <c r="I584" s="74"/>
      <c r="J584" s="74"/>
      <c r="K584" s="74"/>
      <c r="L584" s="74"/>
      <c r="M584" s="74"/>
      <c r="N584" s="74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  <c r="AA584" s="74"/>
      <c r="AB584" s="3"/>
      <c r="AC584" s="3"/>
      <c r="AD584" s="3"/>
    </row>
    <row r="585" spans="2:30" x14ac:dyDescent="0.2">
      <c r="B585" s="61"/>
      <c r="C585" s="74"/>
      <c r="D585" s="74"/>
      <c r="E585" s="74"/>
      <c r="F585" s="74"/>
      <c r="G585" s="74"/>
      <c r="H585" s="74"/>
      <c r="I585" s="74"/>
      <c r="J585" s="74"/>
      <c r="K585" s="74"/>
      <c r="L585" s="74"/>
      <c r="M585" s="74"/>
      <c r="N585" s="74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  <c r="AA585" s="74"/>
      <c r="AB585" s="3"/>
      <c r="AC585" s="3"/>
      <c r="AD585" s="3"/>
    </row>
    <row r="586" spans="2:30" x14ac:dyDescent="0.2">
      <c r="B586" s="61"/>
      <c r="C586" s="74"/>
      <c r="D586" s="74"/>
      <c r="E586" s="74"/>
      <c r="F586" s="74"/>
      <c r="G586" s="74"/>
      <c r="H586" s="74"/>
      <c r="I586" s="74"/>
      <c r="J586" s="74"/>
      <c r="K586" s="74"/>
      <c r="L586" s="74"/>
      <c r="M586" s="74"/>
      <c r="N586" s="74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  <c r="AA586" s="74"/>
      <c r="AB586" s="3"/>
      <c r="AC586" s="3"/>
      <c r="AD586" s="3"/>
    </row>
    <row r="587" spans="2:30" x14ac:dyDescent="0.2">
      <c r="B587" s="61"/>
      <c r="C587" s="74"/>
      <c r="D587" s="74"/>
      <c r="E587" s="74"/>
      <c r="F587" s="74"/>
      <c r="G587" s="74"/>
      <c r="H587" s="74"/>
      <c r="I587" s="74"/>
      <c r="J587" s="74"/>
      <c r="K587" s="74"/>
      <c r="L587" s="74"/>
      <c r="M587" s="74"/>
      <c r="N587" s="74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  <c r="AA587" s="74"/>
      <c r="AB587" s="3"/>
      <c r="AC587" s="3"/>
      <c r="AD587" s="3"/>
    </row>
    <row r="588" spans="2:30" x14ac:dyDescent="0.2">
      <c r="B588" s="61"/>
      <c r="C588" s="74"/>
      <c r="D588" s="74"/>
      <c r="E588" s="74"/>
      <c r="F588" s="74"/>
      <c r="G588" s="74"/>
      <c r="H588" s="74"/>
      <c r="I588" s="74"/>
      <c r="J588" s="74"/>
      <c r="K588" s="74"/>
      <c r="L588" s="74"/>
      <c r="M588" s="74"/>
      <c r="N588" s="74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  <c r="AA588" s="74"/>
      <c r="AB588" s="3"/>
      <c r="AC588" s="3"/>
      <c r="AD588" s="3"/>
    </row>
    <row r="589" spans="2:30" x14ac:dyDescent="0.2">
      <c r="B589" s="61"/>
      <c r="C589" s="74"/>
      <c r="D589" s="74"/>
      <c r="E589" s="74"/>
      <c r="F589" s="74"/>
      <c r="G589" s="74"/>
      <c r="H589" s="74"/>
      <c r="I589" s="74"/>
      <c r="J589" s="74"/>
      <c r="K589" s="74"/>
      <c r="L589" s="74"/>
      <c r="M589" s="74"/>
      <c r="N589" s="74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  <c r="AA589" s="74"/>
      <c r="AB589" s="3"/>
      <c r="AC589" s="3"/>
      <c r="AD589" s="3"/>
    </row>
    <row r="590" spans="2:30" x14ac:dyDescent="0.2">
      <c r="B590" s="61"/>
      <c r="C590" s="74"/>
      <c r="D590" s="74"/>
      <c r="E590" s="74"/>
      <c r="F590" s="74"/>
      <c r="G590" s="74"/>
      <c r="H590" s="74"/>
      <c r="I590" s="74"/>
      <c r="J590" s="74"/>
      <c r="K590" s="74"/>
      <c r="L590" s="74"/>
      <c r="M590" s="74"/>
      <c r="N590" s="74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  <c r="AA590" s="74"/>
      <c r="AB590" s="3"/>
      <c r="AC590" s="3"/>
      <c r="AD590" s="3"/>
    </row>
    <row r="591" spans="2:30" x14ac:dyDescent="0.2">
      <c r="B591" s="61"/>
      <c r="C591" s="74"/>
      <c r="D591" s="74"/>
      <c r="E591" s="74"/>
      <c r="F591" s="74"/>
      <c r="G591" s="74"/>
      <c r="H591" s="74"/>
      <c r="I591" s="74"/>
      <c r="J591" s="74"/>
      <c r="K591" s="74"/>
      <c r="L591" s="74"/>
      <c r="M591" s="74"/>
      <c r="N591" s="74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  <c r="AA591" s="74"/>
      <c r="AB591" s="3"/>
      <c r="AC591" s="3"/>
      <c r="AD591" s="3"/>
    </row>
    <row r="592" spans="2:30" x14ac:dyDescent="0.2">
      <c r="B592" s="61"/>
      <c r="C592" s="74"/>
      <c r="D592" s="74"/>
      <c r="E592" s="74"/>
      <c r="F592" s="74"/>
      <c r="G592" s="74"/>
      <c r="H592" s="74"/>
      <c r="I592" s="74"/>
      <c r="J592" s="74"/>
      <c r="K592" s="74"/>
      <c r="L592" s="74"/>
      <c r="M592" s="74"/>
      <c r="N592" s="74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  <c r="AA592" s="74"/>
      <c r="AB592" s="3"/>
      <c r="AC592" s="3"/>
      <c r="AD592" s="3"/>
    </row>
    <row r="593" spans="2:30" x14ac:dyDescent="0.2">
      <c r="B593" s="61"/>
      <c r="C593" s="74"/>
      <c r="D593" s="74"/>
      <c r="E593" s="74"/>
      <c r="F593" s="74"/>
      <c r="G593" s="74"/>
      <c r="H593" s="74"/>
      <c r="I593" s="74"/>
      <c r="J593" s="74"/>
      <c r="K593" s="74"/>
      <c r="L593" s="74"/>
      <c r="M593" s="74"/>
      <c r="N593" s="74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  <c r="AA593" s="74"/>
      <c r="AB593" s="3"/>
      <c r="AC593" s="3"/>
      <c r="AD593" s="3"/>
    </row>
    <row r="594" spans="2:30" x14ac:dyDescent="0.2">
      <c r="B594" s="61"/>
      <c r="C594" s="74"/>
      <c r="D594" s="74"/>
      <c r="E594" s="74"/>
      <c r="F594" s="74"/>
      <c r="G594" s="74"/>
      <c r="H594" s="74"/>
      <c r="I594" s="74"/>
      <c r="J594" s="74"/>
      <c r="K594" s="74"/>
      <c r="L594" s="74"/>
      <c r="M594" s="74"/>
      <c r="N594" s="74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  <c r="AA594" s="74"/>
      <c r="AB594" s="3"/>
      <c r="AC594" s="3"/>
      <c r="AD594" s="3"/>
    </row>
    <row r="595" spans="2:30" x14ac:dyDescent="0.2">
      <c r="B595" s="61"/>
      <c r="C595" s="74"/>
      <c r="D595" s="74"/>
      <c r="E595" s="74"/>
      <c r="F595" s="74"/>
      <c r="G595" s="74"/>
      <c r="H595" s="74"/>
      <c r="I595" s="74"/>
      <c r="J595" s="74"/>
      <c r="K595" s="74"/>
      <c r="L595" s="74"/>
      <c r="M595" s="74"/>
      <c r="N595" s="74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  <c r="AA595" s="74"/>
      <c r="AB595" s="3"/>
      <c r="AC595" s="3"/>
      <c r="AD595" s="3"/>
    </row>
    <row r="596" spans="2:30" x14ac:dyDescent="0.2">
      <c r="B596" s="61"/>
      <c r="C596" s="74"/>
      <c r="D596" s="74"/>
      <c r="E596" s="74"/>
      <c r="F596" s="74"/>
      <c r="G596" s="74"/>
      <c r="H596" s="74"/>
      <c r="I596" s="74"/>
      <c r="J596" s="74"/>
      <c r="K596" s="74"/>
      <c r="L596" s="74"/>
      <c r="M596" s="74"/>
      <c r="N596" s="74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  <c r="AA596" s="74"/>
      <c r="AB596" s="3"/>
      <c r="AC596" s="3"/>
      <c r="AD596" s="3"/>
    </row>
    <row r="597" spans="2:30" x14ac:dyDescent="0.2">
      <c r="B597" s="61"/>
      <c r="C597" s="74"/>
      <c r="D597" s="74"/>
      <c r="E597" s="74"/>
      <c r="F597" s="74"/>
      <c r="G597" s="74"/>
      <c r="H597" s="74"/>
      <c r="I597" s="74"/>
      <c r="J597" s="74"/>
      <c r="K597" s="74"/>
      <c r="L597" s="74"/>
      <c r="M597" s="74"/>
      <c r="N597" s="74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  <c r="AA597" s="74"/>
      <c r="AB597" s="3"/>
      <c r="AC597" s="3"/>
      <c r="AD597" s="3"/>
    </row>
    <row r="598" spans="2:30" x14ac:dyDescent="0.2">
      <c r="B598" s="61"/>
      <c r="C598" s="74"/>
      <c r="D598" s="74"/>
      <c r="E598" s="74"/>
      <c r="F598" s="74"/>
      <c r="G598" s="74"/>
      <c r="H598" s="74"/>
      <c r="I598" s="74"/>
      <c r="J598" s="74"/>
      <c r="K598" s="74"/>
      <c r="L598" s="74"/>
      <c r="M598" s="74"/>
      <c r="N598" s="74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  <c r="AA598" s="74"/>
      <c r="AB598" s="3"/>
      <c r="AC598" s="3"/>
      <c r="AD598" s="3"/>
    </row>
    <row r="599" spans="2:30" x14ac:dyDescent="0.2">
      <c r="B599" s="61"/>
      <c r="C599" s="74"/>
      <c r="D599" s="74"/>
      <c r="E599" s="74"/>
      <c r="F599" s="74"/>
      <c r="G599" s="74"/>
      <c r="H599" s="74"/>
      <c r="I599" s="74"/>
      <c r="J599" s="74"/>
      <c r="K599" s="74"/>
      <c r="L599" s="74"/>
      <c r="M599" s="74"/>
      <c r="N599" s="74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  <c r="AA599" s="74"/>
      <c r="AB599" s="3"/>
      <c r="AC599" s="3"/>
      <c r="AD599" s="3"/>
    </row>
    <row r="600" spans="2:30" x14ac:dyDescent="0.2">
      <c r="B600" s="61"/>
      <c r="C600" s="74"/>
      <c r="D600" s="74"/>
      <c r="E600" s="74"/>
      <c r="F600" s="74"/>
      <c r="G600" s="74"/>
      <c r="H600" s="74"/>
      <c r="I600" s="74"/>
      <c r="J600" s="74"/>
      <c r="K600" s="74"/>
      <c r="L600" s="74"/>
      <c r="M600" s="74"/>
      <c r="N600" s="74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  <c r="AA600" s="74"/>
      <c r="AB600" s="3"/>
      <c r="AC600" s="3"/>
      <c r="AD600" s="3"/>
    </row>
    <row r="601" spans="2:30" x14ac:dyDescent="0.2">
      <c r="B601" s="61"/>
      <c r="C601" s="74"/>
      <c r="D601" s="74"/>
      <c r="E601" s="74"/>
      <c r="F601" s="74"/>
      <c r="G601" s="74"/>
      <c r="H601" s="74"/>
      <c r="I601" s="74"/>
      <c r="J601" s="74"/>
      <c r="K601" s="74"/>
      <c r="L601" s="74"/>
      <c r="M601" s="74"/>
      <c r="N601" s="74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  <c r="AA601" s="74"/>
      <c r="AB601" s="3"/>
      <c r="AC601" s="3"/>
      <c r="AD601" s="3"/>
    </row>
    <row r="602" spans="2:30" x14ac:dyDescent="0.2">
      <c r="B602" s="61"/>
      <c r="C602" s="74"/>
      <c r="D602" s="74"/>
      <c r="E602" s="74"/>
      <c r="F602" s="74"/>
      <c r="G602" s="74"/>
      <c r="H602" s="74"/>
      <c r="I602" s="74"/>
      <c r="J602" s="74"/>
      <c r="K602" s="74"/>
      <c r="L602" s="74"/>
      <c r="M602" s="74"/>
      <c r="N602" s="74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  <c r="AA602" s="74"/>
      <c r="AB602" s="3"/>
      <c r="AC602" s="3"/>
      <c r="AD602" s="3"/>
    </row>
    <row r="603" spans="2:30" x14ac:dyDescent="0.2">
      <c r="B603" s="61"/>
      <c r="C603" s="74"/>
      <c r="D603" s="74"/>
      <c r="E603" s="74"/>
      <c r="F603" s="74"/>
      <c r="G603" s="74"/>
      <c r="H603" s="74"/>
      <c r="I603" s="74"/>
      <c r="J603" s="74"/>
      <c r="K603" s="74"/>
      <c r="L603" s="74"/>
      <c r="M603" s="74"/>
      <c r="N603" s="74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  <c r="AA603" s="74"/>
      <c r="AB603" s="3"/>
      <c r="AC603" s="3"/>
      <c r="AD603" s="3"/>
    </row>
    <row r="604" spans="2:30" x14ac:dyDescent="0.2">
      <c r="B604" s="61"/>
      <c r="C604" s="74"/>
      <c r="D604" s="74"/>
      <c r="E604" s="74"/>
      <c r="F604" s="74"/>
      <c r="G604" s="74"/>
      <c r="H604" s="74"/>
      <c r="I604" s="74"/>
      <c r="J604" s="74"/>
      <c r="K604" s="74"/>
      <c r="L604" s="74"/>
      <c r="M604" s="74"/>
      <c r="N604" s="74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  <c r="AA604" s="74"/>
      <c r="AB604" s="3"/>
      <c r="AC604" s="3"/>
      <c r="AD604" s="3"/>
    </row>
    <row r="605" spans="2:30" x14ac:dyDescent="0.2">
      <c r="B605" s="61"/>
      <c r="C605" s="74"/>
      <c r="D605" s="74"/>
      <c r="E605" s="74"/>
      <c r="F605" s="74"/>
      <c r="G605" s="74"/>
      <c r="H605" s="74"/>
      <c r="I605" s="74"/>
      <c r="J605" s="74"/>
      <c r="K605" s="74"/>
      <c r="L605" s="74"/>
      <c r="M605" s="74"/>
      <c r="N605" s="74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  <c r="AA605" s="74"/>
      <c r="AB605" s="3"/>
      <c r="AC605" s="3"/>
      <c r="AD605" s="3"/>
    </row>
    <row r="606" spans="2:30" x14ac:dyDescent="0.2">
      <c r="B606" s="61"/>
      <c r="C606" s="74"/>
      <c r="D606" s="74"/>
      <c r="E606" s="74"/>
      <c r="F606" s="74"/>
      <c r="G606" s="74"/>
      <c r="H606" s="74"/>
      <c r="I606" s="74"/>
      <c r="J606" s="74"/>
      <c r="K606" s="74"/>
      <c r="L606" s="74"/>
      <c r="M606" s="74"/>
      <c r="N606" s="74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  <c r="AA606" s="74"/>
      <c r="AB606" s="3"/>
      <c r="AC606" s="3"/>
      <c r="AD606" s="3"/>
    </row>
    <row r="607" spans="2:30" x14ac:dyDescent="0.2">
      <c r="B607" s="61"/>
      <c r="C607" s="74"/>
      <c r="D607" s="74"/>
      <c r="E607" s="74"/>
      <c r="F607" s="74"/>
      <c r="G607" s="74"/>
      <c r="H607" s="74"/>
      <c r="I607" s="74"/>
      <c r="J607" s="74"/>
      <c r="K607" s="74"/>
      <c r="L607" s="74"/>
      <c r="M607" s="74"/>
      <c r="N607" s="74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  <c r="AA607" s="74"/>
      <c r="AB607" s="3"/>
      <c r="AC607" s="3"/>
      <c r="AD607" s="3"/>
    </row>
    <row r="608" spans="2:30" x14ac:dyDescent="0.2">
      <c r="B608" s="61"/>
      <c r="C608" s="74"/>
      <c r="D608" s="74"/>
      <c r="E608" s="74"/>
      <c r="F608" s="74"/>
      <c r="G608" s="74"/>
      <c r="H608" s="74"/>
      <c r="I608" s="74"/>
      <c r="J608" s="74"/>
      <c r="K608" s="74"/>
      <c r="L608" s="74"/>
      <c r="M608" s="74"/>
      <c r="N608" s="74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  <c r="AA608" s="74"/>
      <c r="AB608" s="3"/>
      <c r="AC608" s="3"/>
      <c r="AD608" s="3"/>
    </row>
    <row r="609" spans="2:30" x14ac:dyDescent="0.2">
      <c r="B609" s="61"/>
      <c r="C609" s="74"/>
      <c r="D609" s="74"/>
      <c r="E609" s="74"/>
      <c r="F609" s="74"/>
      <c r="G609" s="74"/>
      <c r="H609" s="74"/>
      <c r="I609" s="74"/>
      <c r="J609" s="74"/>
      <c r="K609" s="74"/>
      <c r="L609" s="74"/>
      <c r="M609" s="74"/>
      <c r="N609" s="74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  <c r="AA609" s="74"/>
      <c r="AB609" s="3"/>
      <c r="AC609" s="3"/>
      <c r="AD609" s="3"/>
    </row>
    <row r="610" spans="2:30" x14ac:dyDescent="0.2">
      <c r="B610" s="61"/>
      <c r="C610" s="74"/>
      <c r="D610" s="74"/>
      <c r="E610" s="74"/>
      <c r="F610" s="74"/>
      <c r="G610" s="74"/>
      <c r="H610" s="74"/>
      <c r="I610" s="74"/>
      <c r="J610" s="74"/>
      <c r="K610" s="74"/>
      <c r="L610" s="74"/>
      <c r="M610" s="74"/>
      <c r="N610" s="74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  <c r="AA610" s="74"/>
      <c r="AB610" s="3"/>
      <c r="AC610" s="3"/>
      <c r="AD610" s="3"/>
    </row>
    <row r="611" spans="2:30" x14ac:dyDescent="0.2">
      <c r="B611" s="61"/>
      <c r="C611" s="74"/>
      <c r="D611" s="74"/>
      <c r="E611" s="74"/>
      <c r="F611" s="74"/>
      <c r="G611" s="74"/>
      <c r="H611" s="74"/>
      <c r="I611" s="74"/>
      <c r="J611" s="74"/>
      <c r="K611" s="74"/>
      <c r="L611" s="74"/>
      <c r="M611" s="74"/>
      <c r="N611" s="74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  <c r="AA611" s="74"/>
      <c r="AB611" s="3"/>
      <c r="AC611" s="3"/>
      <c r="AD611" s="3"/>
    </row>
    <row r="612" spans="2:30" x14ac:dyDescent="0.2">
      <c r="B612" s="61"/>
      <c r="C612" s="74"/>
      <c r="D612" s="74"/>
      <c r="E612" s="74"/>
      <c r="F612" s="74"/>
      <c r="G612" s="74"/>
      <c r="H612" s="74"/>
      <c r="I612" s="74"/>
      <c r="J612" s="74"/>
      <c r="K612" s="74"/>
      <c r="L612" s="74"/>
      <c r="M612" s="74"/>
      <c r="N612" s="74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  <c r="AA612" s="74"/>
      <c r="AB612" s="3"/>
      <c r="AC612" s="3"/>
      <c r="AD612" s="3"/>
    </row>
    <row r="613" spans="2:30" x14ac:dyDescent="0.2">
      <c r="B613" s="61"/>
      <c r="C613" s="74"/>
      <c r="D613" s="74"/>
      <c r="E613" s="74"/>
      <c r="F613" s="74"/>
      <c r="G613" s="74"/>
      <c r="H613" s="74"/>
      <c r="I613" s="74"/>
      <c r="J613" s="74"/>
      <c r="K613" s="74"/>
      <c r="L613" s="74"/>
      <c r="M613" s="74"/>
      <c r="N613" s="74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  <c r="AA613" s="74"/>
      <c r="AB613" s="3"/>
      <c r="AC613" s="3"/>
      <c r="AD613" s="3"/>
    </row>
    <row r="614" spans="2:30" x14ac:dyDescent="0.2">
      <c r="B614" s="61"/>
      <c r="C614" s="74"/>
      <c r="D614" s="74"/>
      <c r="E614" s="74"/>
      <c r="F614" s="74"/>
      <c r="G614" s="74"/>
      <c r="H614" s="74"/>
      <c r="I614" s="74"/>
      <c r="J614" s="74"/>
      <c r="K614" s="74"/>
      <c r="L614" s="74"/>
      <c r="M614" s="74"/>
      <c r="N614" s="74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  <c r="AA614" s="74"/>
      <c r="AB614" s="3"/>
      <c r="AC614" s="3"/>
      <c r="AD614" s="3"/>
    </row>
    <row r="615" spans="2:30" x14ac:dyDescent="0.2">
      <c r="B615" s="61"/>
      <c r="C615" s="74"/>
      <c r="D615" s="74"/>
      <c r="E615" s="74"/>
      <c r="F615" s="74"/>
      <c r="G615" s="74"/>
      <c r="H615" s="74"/>
      <c r="I615" s="74"/>
      <c r="J615" s="74"/>
      <c r="K615" s="74"/>
      <c r="L615" s="74"/>
      <c r="M615" s="74"/>
      <c r="N615" s="74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  <c r="AA615" s="74"/>
      <c r="AB615" s="3"/>
      <c r="AC615" s="3"/>
      <c r="AD615" s="3"/>
    </row>
    <row r="616" spans="2:30" x14ac:dyDescent="0.2">
      <c r="B616" s="61"/>
      <c r="C616" s="74"/>
      <c r="D616" s="74"/>
      <c r="E616" s="74"/>
      <c r="F616" s="74"/>
      <c r="G616" s="74"/>
      <c r="H616" s="74"/>
      <c r="I616" s="74"/>
      <c r="J616" s="74"/>
      <c r="K616" s="74"/>
      <c r="L616" s="74"/>
      <c r="M616" s="74"/>
      <c r="N616" s="74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  <c r="AA616" s="74"/>
      <c r="AB616" s="3"/>
      <c r="AC616" s="3"/>
      <c r="AD616" s="3"/>
    </row>
    <row r="617" spans="2:30" x14ac:dyDescent="0.2">
      <c r="B617" s="61"/>
      <c r="C617" s="74"/>
      <c r="D617" s="74"/>
      <c r="E617" s="74"/>
      <c r="F617" s="74"/>
      <c r="G617" s="74"/>
      <c r="H617" s="74"/>
      <c r="I617" s="74"/>
      <c r="J617" s="74"/>
      <c r="K617" s="74"/>
      <c r="L617" s="74"/>
      <c r="M617" s="74"/>
      <c r="N617" s="74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  <c r="AA617" s="74"/>
      <c r="AB617" s="3"/>
      <c r="AC617" s="3"/>
      <c r="AD617" s="3"/>
    </row>
    <row r="618" spans="2:30" x14ac:dyDescent="0.2">
      <c r="B618" s="61"/>
      <c r="C618" s="74"/>
      <c r="D618" s="74"/>
      <c r="E618" s="74"/>
      <c r="F618" s="74"/>
      <c r="G618" s="74"/>
      <c r="H618" s="74"/>
      <c r="I618" s="74"/>
      <c r="J618" s="74"/>
      <c r="K618" s="74"/>
      <c r="L618" s="74"/>
      <c r="M618" s="74"/>
      <c r="N618" s="74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  <c r="AA618" s="74"/>
      <c r="AB618" s="3"/>
      <c r="AC618" s="3"/>
      <c r="AD618" s="3"/>
    </row>
    <row r="619" spans="2:30" x14ac:dyDescent="0.2">
      <c r="B619" s="61"/>
      <c r="C619" s="74"/>
      <c r="D619" s="74"/>
      <c r="E619" s="74"/>
      <c r="F619" s="74"/>
      <c r="G619" s="74"/>
      <c r="H619" s="74"/>
      <c r="I619" s="74"/>
      <c r="J619" s="74"/>
      <c r="K619" s="74"/>
      <c r="L619" s="74"/>
      <c r="M619" s="74"/>
      <c r="N619" s="74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  <c r="AA619" s="74"/>
      <c r="AB619" s="3"/>
      <c r="AC619" s="3"/>
      <c r="AD619" s="3"/>
    </row>
    <row r="620" spans="2:30" x14ac:dyDescent="0.2">
      <c r="B620" s="61"/>
      <c r="C620" s="74"/>
      <c r="D620" s="74"/>
      <c r="E620" s="74"/>
      <c r="F620" s="74"/>
      <c r="G620" s="74"/>
      <c r="H620" s="74"/>
      <c r="I620" s="74"/>
      <c r="J620" s="74"/>
      <c r="K620" s="74"/>
      <c r="L620" s="74"/>
      <c r="M620" s="74"/>
      <c r="N620" s="74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  <c r="AA620" s="74"/>
      <c r="AB620" s="3"/>
      <c r="AC620" s="3"/>
      <c r="AD620" s="3"/>
    </row>
    <row r="621" spans="2:30" x14ac:dyDescent="0.2">
      <c r="B621" s="61"/>
      <c r="C621" s="74"/>
      <c r="D621" s="74"/>
      <c r="E621" s="74"/>
      <c r="F621" s="74"/>
      <c r="G621" s="74"/>
      <c r="H621" s="74"/>
      <c r="I621" s="74"/>
      <c r="J621" s="74"/>
      <c r="K621" s="74"/>
      <c r="L621" s="74"/>
      <c r="M621" s="74"/>
      <c r="N621" s="74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  <c r="AA621" s="74"/>
      <c r="AB621" s="3"/>
      <c r="AC621" s="3"/>
      <c r="AD621" s="3"/>
    </row>
    <row r="622" spans="2:30" x14ac:dyDescent="0.2">
      <c r="B622" s="61"/>
      <c r="C622" s="74"/>
      <c r="D622" s="74"/>
      <c r="E622" s="74"/>
      <c r="F622" s="74"/>
      <c r="G622" s="74"/>
      <c r="H622" s="74"/>
      <c r="I622" s="74"/>
      <c r="J622" s="74"/>
      <c r="K622" s="74"/>
      <c r="L622" s="74"/>
      <c r="M622" s="74"/>
      <c r="N622" s="74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  <c r="AA622" s="74"/>
      <c r="AB622" s="3"/>
      <c r="AC622" s="3"/>
      <c r="AD622" s="3"/>
    </row>
    <row r="623" spans="2:30" x14ac:dyDescent="0.2">
      <c r="B623" s="61"/>
      <c r="C623" s="74"/>
      <c r="D623" s="74"/>
      <c r="E623" s="74"/>
      <c r="F623" s="74"/>
      <c r="G623" s="74"/>
      <c r="H623" s="74"/>
      <c r="I623" s="74"/>
      <c r="J623" s="74"/>
      <c r="K623" s="74"/>
      <c r="L623" s="74"/>
      <c r="M623" s="74"/>
      <c r="N623" s="74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  <c r="AA623" s="74"/>
      <c r="AB623" s="3"/>
      <c r="AC623" s="3"/>
      <c r="AD623" s="3"/>
    </row>
    <row r="624" spans="2:30" x14ac:dyDescent="0.2">
      <c r="B624" s="61"/>
      <c r="C624" s="74"/>
      <c r="D624" s="74"/>
      <c r="E624" s="74"/>
      <c r="F624" s="74"/>
      <c r="G624" s="74"/>
      <c r="H624" s="74"/>
      <c r="I624" s="74"/>
      <c r="J624" s="74"/>
      <c r="K624" s="74"/>
      <c r="L624" s="74"/>
      <c r="M624" s="74"/>
      <c r="N624" s="74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  <c r="AA624" s="74"/>
      <c r="AB624" s="3"/>
      <c r="AC624" s="3"/>
      <c r="AD624" s="3"/>
    </row>
    <row r="625" spans="2:30" x14ac:dyDescent="0.2">
      <c r="B625" s="61"/>
      <c r="C625" s="74"/>
      <c r="D625" s="74"/>
      <c r="E625" s="74"/>
      <c r="F625" s="74"/>
      <c r="G625" s="74"/>
      <c r="H625" s="74"/>
      <c r="I625" s="74"/>
      <c r="J625" s="74"/>
      <c r="K625" s="74"/>
      <c r="L625" s="74"/>
      <c r="M625" s="74"/>
      <c r="N625" s="74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  <c r="AA625" s="74"/>
      <c r="AB625" s="3"/>
      <c r="AC625" s="3"/>
      <c r="AD625" s="3"/>
    </row>
    <row r="626" spans="2:30" x14ac:dyDescent="0.2">
      <c r="B626" s="61"/>
      <c r="C626" s="74"/>
      <c r="D626" s="74"/>
      <c r="E626" s="74"/>
      <c r="F626" s="74"/>
      <c r="G626" s="74"/>
      <c r="H626" s="74"/>
      <c r="I626" s="74"/>
      <c r="J626" s="74"/>
      <c r="K626" s="74"/>
      <c r="L626" s="74"/>
      <c r="M626" s="74"/>
      <c r="N626" s="74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  <c r="AA626" s="74"/>
      <c r="AB626" s="3"/>
      <c r="AC626" s="3"/>
      <c r="AD626" s="3"/>
    </row>
    <row r="627" spans="2:30" x14ac:dyDescent="0.2">
      <c r="B627" s="61"/>
      <c r="C627" s="74"/>
      <c r="D627" s="74"/>
      <c r="E627" s="74"/>
      <c r="F627" s="74"/>
      <c r="G627" s="74"/>
      <c r="H627" s="74"/>
      <c r="I627" s="74"/>
      <c r="J627" s="74"/>
      <c r="K627" s="74"/>
      <c r="L627" s="74"/>
      <c r="M627" s="74"/>
      <c r="N627" s="74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  <c r="AA627" s="74"/>
      <c r="AB627" s="3"/>
      <c r="AC627" s="3"/>
      <c r="AD627" s="3"/>
    </row>
    <row r="628" spans="2:30" x14ac:dyDescent="0.2">
      <c r="B628" s="61"/>
      <c r="C628" s="74"/>
      <c r="D628" s="74"/>
      <c r="E628" s="74"/>
      <c r="F628" s="74"/>
      <c r="G628" s="74"/>
      <c r="H628" s="74"/>
      <c r="I628" s="74"/>
      <c r="J628" s="74"/>
      <c r="K628" s="74"/>
      <c r="L628" s="74"/>
      <c r="M628" s="74"/>
      <c r="N628" s="74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  <c r="AA628" s="74"/>
      <c r="AB628" s="3"/>
      <c r="AC628" s="3"/>
      <c r="AD628" s="3"/>
    </row>
    <row r="629" spans="2:30" x14ac:dyDescent="0.2">
      <c r="B629" s="61"/>
      <c r="C629" s="74"/>
      <c r="D629" s="74"/>
      <c r="E629" s="74"/>
      <c r="F629" s="74"/>
      <c r="G629" s="74"/>
      <c r="H629" s="74"/>
      <c r="I629" s="74"/>
      <c r="J629" s="74"/>
      <c r="K629" s="74"/>
      <c r="L629" s="74"/>
      <c r="M629" s="74"/>
      <c r="N629" s="74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  <c r="AA629" s="74"/>
      <c r="AB629" s="3"/>
      <c r="AC629" s="3"/>
      <c r="AD629" s="3"/>
    </row>
    <row r="630" spans="2:30" x14ac:dyDescent="0.2">
      <c r="B630" s="61"/>
      <c r="C630" s="74"/>
      <c r="D630" s="74"/>
      <c r="E630" s="74"/>
      <c r="F630" s="74"/>
      <c r="G630" s="74"/>
      <c r="H630" s="74"/>
      <c r="I630" s="74"/>
      <c r="J630" s="74"/>
      <c r="K630" s="74"/>
      <c r="L630" s="74"/>
      <c r="M630" s="74"/>
      <c r="N630" s="74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  <c r="AA630" s="74"/>
      <c r="AB630" s="3"/>
      <c r="AC630" s="3"/>
      <c r="AD630" s="3"/>
    </row>
    <row r="631" spans="2:30" x14ac:dyDescent="0.2">
      <c r="B631" s="61"/>
      <c r="C631" s="74"/>
      <c r="D631" s="74"/>
      <c r="E631" s="74"/>
      <c r="F631" s="74"/>
      <c r="G631" s="74"/>
      <c r="H631" s="74"/>
      <c r="I631" s="74"/>
      <c r="J631" s="74"/>
      <c r="K631" s="74"/>
      <c r="L631" s="74"/>
      <c r="M631" s="74"/>
      <c r="N631" s="74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  <c r="AA631" s="74"/>
      <c r="AB631" s="3"/>
      <c r="AC631" s="3"/>
      <c r="AD631" s="3"/>
    </row>
    <row r="632" spans="2:30" x14ac:dyDescent="0.2">
      <c r="B632" s="61"/>
      <c r="C632" s="74"/>
      <c r="D632" s="74"/>
      <c r="E632" s="74"/>
      <c r="F632" s="74"/>
      <c r="G632" s="74"/>
      <c r="H632" s="74"/>
      <c r="I632" s="74"/>
      <c r="J632" s="74"/>
      <c r="K632" s="74"/>
      <c r="L632" s="74"/>
      <c r="M632" s="74"/>
      <c r="N632" s="74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  <c r="AA632" s="74"/>
      <c r="AB632" s="3"/>
      <c r="AC632" s="3"/>
      <c r="AD632" s="3"/>
    </row>
    <row r="633" spans="2:30" x14ac:dyDescent="0.2">
      <c r="B633" s="61"/>
      <c r="C633" s="74"/>
      <c r="D633" s="74"/>
      <c r="E633" s="74"/>
      <c r="F633" s="74"/>
      <c r="G633" s="74"/>
      <c r="H633" s="74"/>
      <c r="I633" s="74"/>
      <c r="J633" s="74"/>
      <c r="K633" s="74"/>
      <c r="L633" s="74"/>
      <c r="M633" s="74"/>
      <c r="N633" s="74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  <c r="AA633" s="74"/>
      <c r="AB633" s="3"/>
      <c r="AC633" s="3"/>
      <c r="AD633" s="3"/>
    </row>
    <row r="634" spans="2:30" x14ac:dyDescent="0.2">
      <c r="B634" s="61"/>
      <c r="C634" s="74"/>
      <c r="D634" s="74"/>
      <c r="E634" s="74"/>
      <c r="F634" s="74"/>
      <c r="G634" s="74"/>
      <c r="H634" s="74"/>
      <c r="I634" s="74"/>
      <c r="J634" s="74"/>
      <c r="K634" s="74"/>
      <c r="L634" s="74"/>
      <c r="M634" s="74"/>
      <c r="N634" s="74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  <c r="AA634" s="74"/>
      <c r="AB634" s="3"/>
      <c r="AC634" s="3"/>
      <c r="AD634" s="3"/>
    </row>
    <row r="635" spans="2:30" x14ac:dyDescent="0.2">
      <c r="B635" s="61"/>
      <c r="C635" s="74"/>
      <c r="D635" s="74"/>
      <c r="E635" s="74"/>
      <c r="F635" s="74"/>
      <c r="G635" s="74"/>
      <c r="H635" s="74"/>
      <c r="I635" s="74"/>
      <c r="J635" s="74"/>
      <c r="K635" s="74"/>
      <c r="L635" s="74"/>
      <c r="M635" s="74"/>
      <c r="N635" s="74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  <c r="AA635" s="74"/>
      <c r="AB635" s="3"/>
      <c r="AC635" s="3"/>
      <c r="AD635" s="3"/>
    </row>
    <row r="636" spans="2:30" x14ac:dyDescent="0.2">
      <c r="B636" s="61"/>
      <c r="C636" s="74"/>
      <c r="D636" s="74"/>
      <c r="E636" s="74"/>
      <c r="F636" s="74"/>
      <c r="G636" s="74"/>
      <c r="H636" s="74"/>
      <c r="I636" s="74"/>
      <c r="J636" s="74"/>
      <c r="K636" s="74"/>
      <c r="L636" s="74"/>
      <c r="M636" s="74"/>
      <c r="N636" s="74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  <c r="AA636" s="74"/>
      <c r="AB636" s="3"/>
      <c r="AC636" s="3"/>
      <c r="AD636" s="3"/>
    </row>
    <row r="637" spans="2:30" x14ac:dyDescent="0.2">
      <c r="B637" s="61"/>
      <c r="C637" s="74"/>
      <c r="D637" s="74"/>
      <c r="E637" s="74"/>
      <c r="F637" s="74"/>
      <c r="G637" s="74"/>
      <c r="H637" s="74"/>
      <c r="I637" s="74"/>
      <c r="J637" s="74"/>
      <c r="K637" s="74"/>
      <c r="L637" s="74"/>
      <c r="M637" s="74"/>
      <c r="N637" s="74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  <c r="AA637" s="74"/>
      <c r="AB637" s="3"/>
      <c r="AC637" s="3"/>
      <c r="AD637" s="3"/>
    </row>
    <row r="638" spans="2:30" x14ac:dyDescent="0.2">
      <c r="B638" s="61"/>
      <c r="C638" s="74"/>
      <c r="D638" s="74"/>
      <c r="E638" s="74"/>
      <c r="F638" s="74"/>
      <c r="G638" s="74"/>
      <c r="H638" s="74"/>
      <c r="I638" s="74"/>
      <c r="J638" s="74"/>
      <c r="K638" s="74"/>
      <c r="L638" s="74"/>
      <c r="M638" s="74"/>
      <c r="N638" s="74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  <c r="AA638" s="74"/>
      <c r="AB638" s="3"/>
      <c r="AC638" s="3"/>
      <c r="AD638" s="3"/>
    </row>
    <row r="639" spans="2:30" x14ac:dyDescent="0.2">
      <c r="B639" s="61"/>
      <c r="C639" s="74"/>
      <c r="D639" s="74"/>
      <c r="E639" s="74"/>
      <c r="F639" s="74"/>
      <c r="G639" s="74"/>
      <c r="H639" s="74"/>
      <c r="I639" s="74"/>
      <c r="J639" s="74"/>
      <c r="K639" s="74"/>
      <c r="L639" s="74"/>
      <c r="M639" s="74"/>
      <c r="N639" s="74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  <c r="AA639" s="74"/>
      <c r="AB639" s="3"/>
      <c r="AC639" s="3"/>
      <c r="AD639" s="3"/>
    </row>
    <row r="640" spans="2:30" x14ac:dyDescent="0.2">
      <c r="B640" s="61"/>
      <c r="C640" s="74"/>
      <c r="D640" s="74"/>
      <c r="E640" s="74"/>
      <c r="F640" s="74"/>
      <c r="G640" s="74"/>
      <c r="H640" s="74"/>
      <c r="I640" s="74"/>
      <c r="J640" s="74"/>
      <c r="K640" s="74"/>
      <c r="L640" s="74"/>
      <c r="M640" s="74"/>
      <c r="N640" s="74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  <c r="AA640" s="74"/>
      <c r="AB640" s="3"/>
      <c r="AC640" s="3"/>
      <c r="AD640" s="3"/>
    </row>
    <row r="641" spans="2:30" x14ac:dyDescent="0.2">
      <c r="B641" s="61"/>
      <c r="C641" s="74"/>
      <c r="D641" s="74"/>
      <c r="E641" s="74"/>
      <c r="F641" s="74"/>
      <c r="G641" s="74"/>
      <c r="H641" s="74"/>
      <c r="I641" s="74"/>
      <c r="J641" s="74"/>
      <c r="K641" s="74"/>
      <c r="L641" s="74"/>
      <c r="M641" s="74"/>
      <c r="N641" s="74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  <c r="AA641" s="74"/>
      <c r="AB641" s="3"/>
      <c r="AC641" s="3"/>
      <c r="AD641" s="3"/>
    </row>
    <row r="642" spans="2:30" x14ac:dyDescent="0.2">
      <c r="B642" s="61"/>
      <c r="C642" s="74"/>
      <c r="D642" s="74"/>
      <c r="E642" s="74"/>
      <c r="F642" s="74"/>
      <c r="G642" s="74"/>
      <c r="H642" s="74"/>
      <c r="I642" s="74"/>
      <c r="J642" s="74"/>
      <c r="K642" s="74"/>
      <c r="L642" s="74"/>
      <c r="M642" s="74"/>
      <c r="N642" s="74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  <c r="AA642" s="74"/>
      <c r="AB642" s="3"/>
      <c r="AC642" s="3"/>
      <c r="AD642" s="3"/>
    </row>
    <row r="643" spans="2:30" x14ac:dyDescent="0.2">
      <c r="B643" s="61"/>
      <c r="C643" s="74"/>
      <c r="D643" s="74"/>
      <c r="E643" s="74"/>
      <c r="F643" s="74"/>
      <c r="G643" s="74"/>
      <c r="H643" s="74"/>
      <c r="I643" s="74"/>
      <c r="J643" s="74"/>
      <c r="K643" s="74"/>
      <c r="L643" s="74"/>
      <c r="M643" s="74"/>
      <c r="N643" s="74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  <c r="AA643" s="74"/>
      <c r="AB643" s="3"/>
      <c r="AC643" s="3"/>
      <c r="AD643" s="3"/>
    </row>
    <row r="644" spans="2:30" x14ac:dyDescent="0.2">
      <c r="B644" s="61"/>
      <c r="C644" s="74"/>
      <c r="D644" s="74"/>
      <c r="E644" s="74"/>
      <c r="F644" s="74"/>
      <c r="G644" s="74"/>
      <c r="H644" s="74"/>
      <c r="I644" s="74"/>
      <c r="J644" s="74"/>
      <c r="K644" s="74"/>
      <c r="L644" s="74"/>
      <c r="M644" s="74"/>
      <c r="N644" s="74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  <c r="AA644" s="74"/>
      <c r="AB644" s="3"/>
      <c r="AC644" s="3"/>
      <c r="AD644" s="3"/>
    </row>
    <row r="645" spans="2:30" x14ac:dyDescent="0.2">
      <c r="B645" s="61"/>
      <c r="C645" s="74"/>
      <c r="D645" s="74"/>
      <c r="E645" s="74"/>
      <c r="F645" s="74"/>
      <c r="G645" s="74"/>
      <c r="H645" s="74"/>
      <c r="I645" s="74"/>
      <c r="J645" s="74"/>
      <c r="K645" s="74"/>
      <c r="L645" s="74"/>
      <c r="M645" s="74"/>
      <c r="N645" s="74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  <c r="AA645" s="74"/>
      <c r="AB645" s="3"/>
      <c r="AC645" s="3"/>
      <c r="AD645" s="3"/>
    </row>
    <row r="646" spans="2:30" x14ac:dyDescent="0.2">
      <c r="B646" s="61"/>
      <c r="C646" s="74"/>
      <c r="D646" s="74"/>
      <c r="E646" s="74"/>
      <c r="F646" s="74"/>
      <c r="G646" s="74"/>
      <c r="H646" s="74"/>
      <c r="I646" s="74"/>
      <c r="J646" s="74"/>
      <c r="K646" s="74"/>
      <c r="L646" s="74"/>
      <c r="M646" s="74"/>
      <c r="N646" s="74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  <c r="AA646" s="74"/>
      <c r="AB646" s="3"/>
      <c r="AC646" s="3"/>
      <c r="AD646" s="3"/>
    </row>
    <row r="647" spans="2:30" x14ac:dyDescent="0.2">
      <c r="B647" s="61"/>
      <c r="C647" s="74"/>
      <c r="D647" s="74"/>
      <c r="E647" s="74"/>
      <c r="F647" s="74"/>
      <c r="G647" s="74"/>
      <c r="H647" s="74"/>
      <c r="I647" s="74"/>
      <c r="J647" s="74"/>
      <c r="K647" s="74"/>
      <c r="L647" s="74"/>
      <c r="M647" s="74"/>
      <c r="N647" s="74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  <c r="AA647" s="74"/>
      <c r="AB647" s="3"/>
      <c r="AC647" s="3"/>
      <c r="AD647" s="3"/>
    </row>
    <row r="648" spans="2:30" x14ac:dyDescent="0.2">
      <c r="B648" s="61"/>
      <c r="C648" s="74"/>
      <c r="D648" s="74"/>
      <c r="E648" s="74"/>
      <c r="F648" s="74"/>
      <c r="G648" s="74"/>
      <c r="H648" s="74"/>
      <c r="I648" s="74"/>
      <c r="J648" s="74"/>
      <c r="K648" s="74"/>
      <c r="L648" s="74"/>
      <c r="M648" s="74"/>
      <c r="N648" s="74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  <c r="AA648" s="74"/>
      <c r="AB648" s="3"/>
      <c r="AC648" s="3"/>
      <c r="AD648" s="3"/>
    </row>
    <row r="649" spans="2:30" x14ac:dyDescent="0.2">
      <c r="B649" s="61"/>
      <c r="C649" s="74"/>
      <c r="D649" s="74"/>
      <c r="E649" s="74"/>
      <c r="F649" s="74"/>
      <c r="G649" s="74"/>
      <c r="H649" s="74"/>
      <c r="I649" s="74"/>
      <c r="J649" s="74"/>
      <c r="K649" s="74"/>
      <c r="L649" s="74"/>
      <c r="M649" s="74"/>
      <c r="N649" s="74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  <c r="AA649" s="74"/>
      <c r="AB649" s="3"/>
      <c r="AC649" s="3"/>
      <c r="AD649" s="3"/>
    </row>
    <row r="650" spans="2:30" x14ac:dyDescent="0.2">
      <c r="B650" s="61"/>
      <c r="C650" s="74"/>
      <c r="D650" s="74"/>
      <c r="E650" s="74"/>
      <c r="F650" s="74"/>
      <c r="G650" s="74"/>
      <c r="H650" s="74"/>
      <c r="I650" s="74"/>
      <c r="J650" s="74"/>
      <c r="K650" s="74"/>
      <c r="L650" s="74"/>
      <c r="M650" s="74"/>
      <c r="N650" s="74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  <c r="AA650" s="74"/>
      <c r="AB650" s="3"/>
      <c r="AC650" s="3"/>
      <c r="AD650" s="3"/>
    </row>
    <row r="651" spans="2:30" x14ac:dyDescent="0.2">
      <c r="B651" s="61"/>
      <c r="C651" s="74"/>
      <c r="D651" s="74"/>
      <c r="E651" s="74"/>
      <c r="F651" s="74"/>
      <c r="G651" s="74"/>
      <c r="H651" s="74"/>
      <c r="I651" s="74"/>
      <c r="J651" s="74"/>
      <c r="K651" s="74"/>
      <c r="L651" s="74"/>
      <c r="M651" s="74"/>
      <c r="N651" s="74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  <c r="AA651" s="74"/>
      <c r="AB651" s="3"/>
      <c r="AC651" s="3"/>
      <c r="AD651" s="3"/>
    </row>
    <row r="652" spans="2:30" x14ac:dyDescent="0.2">
      <c r="B652" s="61"/>
      <c r="C652" s="74"/>
      <c r="D652" s="74"/>
      <c r="E652" s="74"/>
      <c r="F652" s="74"/>
      <c r="G652" s="74"/>
      <c r="H652" s="74"/>
      <c r="I652" s="74"/>
      <c r="J652" s="74"/>
      <c r="K652" s="74"/>
      <c r="L652" s="74"/>
      <c r="M652" s="74"/>
      <c r="N652" s="74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  <c r="AA652" s="74"/>
      <c r="AB652" s="3"/>
      <c r="AC652" s="3"/>
      <c r="AD652" s="3"/>
    </row>
    <row r="653" spans="2:30" x14ac:dyDescent="0.2">
      <c r="B653" s="61"/>
      <c r="C653" s="74"/>
      <c r="D653" s="74"/>
      <c r="E653" s="74"/>
      <c r="F653" s="74"/>
      <c r="G653" s="74"/>
      <c r="H653" s="74"/>
      <c r="I653" s="74"/>
      <c r="J653" s="74"/>
      <c r="K653" s="74"/>
      <c r="L653" s="74"/>
      <c r="M653" s="74"/>
      <c r="N653" s="74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  <c r="AA653" s="74"/>
      <c r="AB653" s="3"/>
      <c r="AC653" s="3"/>
      <c r="AD653" s="3"/>
    </row>
    <row r="654" spans="2:30" x14ac:dyDescent="0.2">
      <c r="B654" s="61"/>
      <c r="C654" s="74"/>
      <c r="D654" s="74"/>
      <c r="E654" s="74"/>
      <c r="F654" s="74"/>
      <c r="G654" s="74"/>
      <c r="H654" s="74"/>
      <c r="I654" s="74"/>
      <c r="J654" s="74"/>
      <c r="K654" s="74"/>
      <c r="L654" s="74"/>
      <c r="M654" s="74"/>
      <c r="N654" s="74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  <c r="AA654" s="74"/>
      <c r="AB654" s="3"/>
      <c r="AC654" s="3"/>
      <c r="AD654" s="3"/>
    </row>
    <row r="655" spans="2:30" x14ac:dyDescent="0.2">
      <c r="B655" s="61"/>
      <c r="C655" s="74"/>
      <c r="D655" s="74"/>
      <c r="E655" s="74"/>
      <c r="F655" s="74"/>
      <c r="G655" s="74"/>
      <c r="H655" s="74"/>
      <c r="I655" s="74"/>
      <c r="J655" s="74"/>
      <c r="K655" s="74"/>
      <c r="L655" s="74"/>
      <c r="M655" s="74"/>
      <c r="N655" s="74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  <c r="AA655" s="74"/>
      <c r="AB655" s="3"/>
      <c r="AC655" s="3"/>
      <c r="AD655" s="3"/>
    </row>
    <row r="656" spans="2:30" x14ac:dyDescent="0.2">
      <c r="B656" s="61"/>
      <c r="C656" s="74"/>
      <c r="D656" s="74"/>
      <c r="E656" s="74"/>
      <c r="F656" s="74"/>
      <c r="G656" s="74"/>
      <c r="H656" s="74"/>
      <c r="I656" s="74"/>
      <c r="J656" s="74"/>
      <c r="K656" s="74"/>
      <c r="L656" s="74"/>
      <c r="M656" s="74"/>
      <c r="N656" s="74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  <c r="AA656" s="74"/>
      <c r="AB656" s="3"/>
      <c r="AC656" s="3"/>
      <c r="AD656" s="3"/>
    </row>
    <row r="657" spans="2:30" x14ac:dyDescent="0.2">
      <c r="B657" s="61"/>
      <c r="C657" s="74"/>
      <c r="D657" s="74"/>
      <c r="E657" s="74"/>
      <c r="F657" s="74"/>
      <c r="G657" s="74"/>
      <c r="H657" s="74"/>
      <c r="I657" s="74"/>
      <c r="J657" s="74"/>
      <c r="K657" s="74"/>
      <c r="L657" s="74"/>
      <c r="M657" s="74"/>
      <c r="N657" s="74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  <c r="AA657" s="74"/>
      <c r="AB657" s="3"/>
      <c r="AC657" s="3"/>
      <c r="AD657" s="3"/>
    </row>
    <row r="658" spans="2:30" x14ac:dyDescent="0.2">
      <c r="B658" s="61"/>
      <c r="C658" s="74"/>
      <c r="D658" s="74"/>
      <c r="E658" s="74"/>
      <c r="F658" s="74"/>
      <c r="G658" s="74"/>
      <c r="H658" s="74"/>
      <c r="I658" s="74"/>
      <c r="J658" s="74"/>
      <c r="K658" s="74"/>
      <c r="L658" s="74"/>
      <c r="M658" s="74"/>
      <c r="N658" s="74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  <c r="AA658" s="74"/>
      <c r="AB658" s="3"/>
      <c r="AC658" s="3"/>
      <c r="AD658" s="3"/>
    </row>
    <row r="659" spans="2:30" x14ac:dyDescent="0.2">
      <c r="B659" s="61"/>
      <c r="C659" s="74"/>
      <c r="D659" s="74"/>
      <c r="E659" s="74"/>
      <c r="F659" s="74"/>
      <c r="G659" s="74"/>
      <c r="H659" s="74"/>
      <c r="I659" s="74"/>
      <c r="J659" s="74"/>
      <c r="K659" s="74"/>
      <c r="L659" s="74"/>
      <c r="M659" s="74"/>
      <c r="N659" s="74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  <c r="AA659" s="74"/>
      <c r="AB659" s="3"/>
      <c r="AC659" s="3"/>
      <c r="AD659" s="3"/>
    </row>
    <row r="660" spans="2:30" x14ac:dyDescent="0.2">
      <c r="B660" s="61"/>
      <c r="C660" s="74"/>
      <c r="D660" s="74"/>
      <c r="E660" s="74"/>
      <c r="F660" s="74"/>
      <c r="G660" s="74"/>
      <c r="H660" s="74"/>
      <c r="I660" s="74"/>
      <c r="J660" s="74"/>
      <c r="K660" s="74"/>
      <c r="L660" s="74"/>
      <c r="M660" s="74"/>
      <c r="N660" s="74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  <c r="AA660" s="74"/>
      <c r="AB660" s="3"/>
      <c r="AC660" s="3"/>
      <c r="AD660" s="3"/>
    </row>
    <row r="661" spans="2:30" x14ac:dyDescent="0.2">
      <c r="B661" s="61"/>
      <c r="C661" s="74"/>
      <c r="D661" s="74"/>
      <c r="E661" s="74"/>
      <c r="F661" s="74"/>
      <c r="G661" s="74"/>
      <c r="H661" s="74"/>
      <c r="I661" s="74"/>
      <c r="J661" s="74"/>
      <c r="K661" s="74"/>
      <c r="L661" s="74"/>
      <c r="M661" s="74"/>
      <c r="N661" s="74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  <c r="AA661" s="74"/>
      <c r="AB661" s="3"/>
      <c r="AC661" s="3"/>
      <c r="AD661" s="3"/>
    </row>
    <row r="662" spans="2:30" x14ac:dyDescent="0.2">
      <c r="B662" s="61"/>
      <c r="C662" s="74"/>
      <c r="D662" s="74"/>
      <c r="E662" s="74"/>
      <c r="F662" s="74"/>
      <c r="G662" s="74"/>
      <c r="H662" s="74"/>
      <c r="I662" s="74"/>
      <c r="J662" s="74"/>
      <c r="K662" s="74"/>
      <c r="L662" s="74"/>
      <c r="M662" s="74"/>
      <c r="N662" s="74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  <c r="AA662" s="74"/>
      <c r="AB662" s="3"/>
      <c r="AC662" s="3"/>
      <c r="AD662" s="3"/>
    </row>
    <row r="663" spans="2:30" x14ac:dyDescent="0.2">
      <c r="B663" s="61"/>
      <c r="C663" s="74"/>
      <c r="D663" s="74"/>
      <c r="E663" s="74"/>
      <c r="F663" s="74"/>
      <c r="G663" s="74"/>
      <c r="H663" s="74"/>
      <c r="I663" s="74"/>
      <c r="J663" s="74"/>
      <c r="K663" s="74"/>
      <c r="L663" s="74"/>
      <c r="M663" s="74"/>
      <c r="N663" s="74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  <c r="AA663" s="74"/>
      <c r="AB663" s="3"/>
      <c r="AC663" s="3"/>
      <c r="AD663" s="3"/>
    </row>
    <row r="664" spans="2:30" x14ac:dyDescent="0.2">
      <c r="B664" s="61"/>
      <c r="C664" s="74"/>
      <c r="D664" s="74"/>
      <c r="E664" s="74"/>
      <c r="F664" s="74"/>
      <c r="G664" s="74"/>
      <c r="H664" s="74"/>
      <c r="I664" s="74"/>
      <c r="J664" s="74"/>
      <c r="K664" s="74"/>
      <c r="L664" s="74"/>
      <c r="M664" s="74"/>
      <c r="N664" s="74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  <c r="AA664" s="74"/>
      <c r="AB664" s="3"/>
      <c r="AC664" s="3"/>
      <c r="AD664" s="3"/>
    </row>
    <row r="665" spans="2:30" x14ac:dyDescent="0.2">
      <c r="B665" s="61"/>
      <c r="C665" s="74"/>
      <c r="D665" s="74"/>
      <c r="E665" s="74"/>
      <c r="F665" s="74"/>
      <c r="G665" s="74"/>
      <c r="H665" s="74"/>
      <c r="I665" s="74"/>
      <c r="J665" s="74"/>
      <c r="K665" s="74"/>
      <c r="L665" s="74"/>
      <c r="M665" s="74"/>
      <c r="N665" s="74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  <c r="AA665" s="74"/>
      <c r="AB665" s="3"/>
      <c r="AC665" s="3"/>
      <c r="AD665" s="3"/>
    </row>
    <row r="666" spans="2:30" x14ac:dyDescent="0.2">
      <c r="B666" s="61"/>
      <c r="C666" s="74"/>
      <c r="D666" s="74"/>
      <c r="E666" s="74"/>
      <c r="F666" s="74"/>
      <c r="G666" s="74"/>
      <c r="H666" s="74"/>
      <c r="I666" s="74"/>
      <c r="J666" s="74"/>
      <c r="K666" s="74"/>
      <c r="L666" s="74"/>
      <c r="M666" s="74"/>
      <c r="N666" s="74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  <c r="AA666" s="74"/>
      <c r="AB666" s="3"/>
      <c r="AC666" s="3"/>
      <c r="AD666" s="3"/>
    </row>
    <row r="667" spans="2:30" x14ac:dyDescent="0.2">
      <c r="B667" s="61"/>
      <c r="C667" s="74"/>
      <c r="D667" s="74"/>
      <c r="E667" s="74"/>
      <c r="F667" s="74"/>
      <c r="G667" s="74"/>
      <c r="H667" s="74"/>
      <c r="I667" s="74"/>
      <c r="J667" s="74"/>
      <c r="K667" s="74"/>
      <c r="L667" s="74"/>
      <c r="M667" s="74"/>
      <c r="N667" s="74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  <c r="AA667" s="74"/>
      <c r="AB667" s="3"/>
      <c r="AC667" s="3"/>
      <c r="AD667" s="3"/>
    </row>
    <row r="668" spans="2:30" x14ac:dyDescent="0.2">
      <c r="B668" s="61"/>
      <c r="C668" s="74"/>
      <c r="D668" s="74"/>
      <c r="E668" s="74"/>
      <c r="F668" s="74"/>
      <c r="G668" s="74"/>
      <c r="H668" s="74"/>
      <c r="I668" s="74"/>
      <c r="J668" s="74"/>
      <c r="K668" s="74"/>
      <c r="L668" s="74"/>
      <c r="M668" s="74"/>
      <c r="N668" s="74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  <c r="AA668" s="74"/>
      <c r="AB668" s="3"/>
      <c r="AC668" s="3"/>
      <c r="AD668" s="3"/>
    </row>
    <row r="669" spans="2:30" x14ac:dyDescent="0.2">
      <c r="B669" s="61"/>
      <c r="C669" s="74"/>
      <c r="D669" s="74"/>
      <c r="E669" s="74"/>
      <c r="F669" s="74"/>
      <c r="G669" s="74"/>
      <c r="H669" s="74"/>
      <c r="I669" s="74"/>
      <c r="J669" s="74"/>
      <c r="K669" s="74"/>
      <c r="L669" s="74"/>
      <c r="M669" s="74"/>
      <c r="N669" s="74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  <c r="AA669" s="74"/>
      <c r="AB669" s="3"/>
      <c r="AC669" s="3"/>
      <c r="AD669" s="3"/>
    </row>
    <row r="670" spans="2:30" x14ac:dyDescent="0.2">
      <c r="B670" s="61"/>
      <c r="C670" s="74"/>
      <c r="D670" s="74"/>
      <c r="E670" s="74"/>
      <c r="F670" s="74"/>
      <c r="G670" s="74"/>
      <c r="H670" s="74"/>
      <c r="I670" s="74"/>
      <c r="J670" s="74"/>
      <c r="K670" s="74"/>
      <c r="L670" s="74"/>
      <c r="M670" s="74"/>
      <c r="N670" s="74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  <c r="AA670" s="74"/>
      <c r="AB670" s="3"/>
      <c r="AC670" s="3"/>
      <c r="AD670" s="3"/>
    </row>
    <row r="671" spans="2:30" x14ac:dyDescent="0.2">
      <c r="B671" s="61"/>
      <c r="C671" s="74"/>
      <c r="D671" s="74"/>
      <c r="E671" s="74"/>
      <c r="F671" s="74"/>
      <c r="G671" s="74"/>
      <c r="H671" s="74"/>
      <c r="I671" s="74"/>
      <c r="J671" s="74"/>
      <c r="K671" s="74"/>
      <c r="L671" s="74"/>
      <c r="M671" s="74"/>
      <c r="N671" s="74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  <c r="AA671" s="74"/>
      <c r="AB671" s="3"/>
      <c r="AC671" s="3"/>
      <c r="AD671" s="3"/>
    </row>
    <row r="672" spans="2:30" x14ac:dyDescent="0.2">
      <c r="B672" s="61"/>
      <c r="C672" s="74"/>
      <c r="D672" s="74"/>
      <c r="E672" s="74"/>
      <c r="F672" s="74"/>
      <c r="G672" s="74"/>
      <c r="H672" s="74"/>
      <c r="I672" s="74"/>
      <c r="J672" s="74"/>
      <c r="K672" s="74"/>
      <c r="L672" s="74"/>
      <c r="M672" s="74"/>
      <c r="N672" s="74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  <c r="AA672" s="74"/>
      <c r="AB672" s="3"/>
      <c r="AC672" s="3"/>
      <c r="AD672" s="3"/>
    </row>
    <row r="673" spans="2:30" x14ac:dyDescent="0.2">
      <c r="B673" s="61"/>
      <c r="C673" s="74"/>
      <c r="D673" s="74"/>
      <c r="E673" s="74"/>
      <c r="F673" s="74"/>
      <c r="G673" s="74"/>
      <c r="H673" s="74"/>
      <c r="I673" s="74"/>
      <c r="J673" s="74"/>
      <c r="K673" s="74"/>
      <c r="L673" s="74"/>
      <c r="M673" s="74"/>
      <c r="N673" s="74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  <c r="AA673" s="74"/>
      <c r="AB673" s="3"/>
      <c r="AC673" s="3"/>
      <c r="AD673" s="3"/>
    </row>
    <row r="674" spans="2:30" x14ac:dyDescent="0.2">
      <c r="B674" s="61"/>
      <c r="C674" s="74"/>
      <c r="D674" s="74"/>
      <c r="E674" s="74"/>
      <c r="F674" s="74"/>
      <c r="G674" s="74"/>
      <c r="H674" s="74"/>
      <c r="I674" s="74"/>
      <c r="J674" s="74"/>
      <c r="K674" s="74"/>
      <c r="L674" s="74"/>
      <c r="M674" s="74"/>
      <c r="N674" s="74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  <c r="AA674" s="74"/>
      <c r="AB674" s="3"/>
      <c r="AC674" s="3"/>
      <c r="AD674" s="3"/>
    </row>
    <row r="675" spans="2:30" x14ac:dyDescent="0.2">
      <c r="B675" s="61"/>
      <c r="C675" s="74"/>
      <c r="D675" s="74"/>
      <c r="E675" s="74"/>
      <c r="F675" s="74"/>
      <c r="G675" s="74"/>
      <c r="H675" s="74"/>
      <c r="I675" s="74"/>
      <c r="J675" s="74"/>
      <c r="K675" s="74"/>
      <c r="L675" s="74"/>
      <c r="M675" s="74"/>
      <c r="N675" s="74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  <c r="AA675" s="74"/>
      <c r="AB675" s="3"/>
      <c r="AC675" s="3"/>
      <c r="AD675" s="3"/>
    </row>
    <row r="676" spans="2:30" x14ac:dyDescent="0.2">
      <c r="B676" s="61"/>
      <c r="C676" s="74"/>
      <c r="D676" s="74"/>
      <c r="E676" s="74"/>
      <c r="F676" s="74"/>
      <c r="G676" s="74"/>
      <c r="H676" s="74"/>
      <c r="I676" s="74"/>
      <c r="J676" s="74"/>
      <c r="K676" s="74"/>
      <c r="L676" s="74"/>
      <c r="M676" s="74"/>
      <c r="N676" s="74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  <c r="AA676" s="74"/>
      <c r="AB676" s="3"/>
      <c r="AC676" s="3"/>
      <c r="AD676" s="3"/>
    </row>
    <row r="677" spans="2:30" x14ac:dyDescent="0.2">
      <c r="B677" s="61"/>
      <c r="C677" s="74"/>
      <c r="D677" s="74"/>
      <c r="E677" s="74"/>
      <c r="F677" s="74"/>
      <c r="G677" s="74"/>
      <c r="H677" s="74"/>
      <c r="I677" s="74"/>
      <c r="J677" s="74"/>
      <c r="K677" s="74"/>
      <c r="L677" s="74"/>
      <c r="M677" s="74"/>
      <c r="N677" s="74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  <c r="AA677" s="74"/>
      <c r="AB677" s="3"/>
      <c r="AC677" s="3"/>
      <c r="AD677" s="3"/>
    </row>
    <row r="678" spans="2:30" x14ac:dyDescent="0.2">
      <c r="B678" s="61"/>
      <c r="C678" s="74"/>
      <c r="D678" s="74"/>
      <c r="E678" s="74"/>
      <c r="F678" s="74"/>
      <c r="G678" s="74"/>
      <c r="H678" s="74"/>
      <c r="I678" s="74"/>
      <c r="J678" s="74"/>
      <c r="K678" s="74"/>
      <c r="L678" s="74"/>
      <c r="M678" s="74"/>
      <c r="N678" s="74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  <c r="AA678" s="74"/>
      <c r="AB678" s="3"/>
      <c r="AC678" s="3"/>
      <c r="AD678" s="3"/>
    </row>
    <row r="679" spans="2:30" x14ac:dyDescent="0.2">
      <c r="B679" s="61"/>
      <c r="C679" s="74"/>
      <c r="D679" s="74"/>
      <c r="E679" s="74"/>
      <c r="F679" s="74"/>
      <c r="G679" s="74"/>
      <c r="H679" s="74"/>
      <c r="I679" s="74"/>
      <c r="J679" s="74"/>
      <c r="K679" s="74"/>
      <c r="L679" s="74"/>
      <c r="M679" s="74"/>
      <c r="N679" s="74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  <c r="AA679" s="74"/>
      <c r="AB679" s="3"/>
      <c r="AC679" s="3"/>
      <c r="AD679" s="3"/>
    </row>
    <row r="680" spans="2:30" x14ac:dyDescent="0.2">
      <c r="B680" s="61"/>
      <c r="C680" s="74"/>
      <c r="D680" s="74"/>
      <c r="E680" s="74"/>
      <c r="F680" s="74"/>
      <c r="G680" s="74"/>
      <c r="H680" s="74"/>
      <c r="I680" s="74"/>
      <c r="J680" s="74"/>
      <c r="K680" s="74"/>
      <c r="L680" s="74"/>
      <c r="M680" s="74"/>
      <c r="N680" s="74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  <c r="AA680" s="74"/>
      <c r="AB680" s="3"/>
      <c r="AC680" s="3"/>
      <c r="AD680" s="3"/>
    </row>
    <row r="681" spans="2:30" x14ac:dyDescent="0.2">
      <c r="B681" s="61"/>
      <c r="C681" s="74"/>
      <c r="D681" s="74"/>
      <c r="E681" s="74"/>
      <c r="F681" s="74"/>
      <c r="G681" s="74"/>
      <c r="H681" s="74"/>
      <c r="I681" s="74"/>
      <c r="J681" s="74"/>
      <c r="K681" s="74"/>
      <c r="L681" s="74"/>
      <c r="M681" s="74"/>
      <c r="N681" s="74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  <c r="AA681" s="74"/>
      <c r="AB681" s="3"/>
      <c r="AC681" s="3"/>
      <c r="AD681" s="3"/>
    </row>
    <row r="682" spans="2:30" x14ac:dyDescent="0.2">
      <c r="B682" s="61"/>
      <c r="C682" s="74"/>
      <c r="D682" s="74"/>
      <c r="E682" s="74"/>
      <c r="F682" s="74"/>
      <c r="G682" s="74"/>
      <c r="H682" s="74"/>
      <c r="I682" s="74"/>
      <c r="J682" s="74"/>
      <c r="K682" s="74"/>
      <c r="L682" s="74"/>
      <c r="M682" s="74"/>
      <c r="N682" s="74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  <c r="AA682" s="74"/>
      <c r="AB682" s="3"/>
      <c r="AC682" s="3"/>
      <c r="AD682" s="3"/>
    </row>
    <row r="683" spans="2:30" x14ac:dyDescent="0.2">
      <c r="B683" s="61"/>
      <c r="C683" s="74"/>
      <c r="D683" s="74"/>
      <c r="E683" s="74"/>
      <c r="F683" s="74"/>
      <c r="G683" s="74"/>
      <c r="H683" s="74"/>
      <c r="I683" s="74"/>
      <c r="J683" s="74"/>
      <c r="K683" s="74"/>
      <c r="L683" s="74"/>
      <c r="M683" s="74"/>
      <c r="N683" s="74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  <c r="AA683" s="74"/>
      <c r="AB683" s="3"/>
      <c r="AC683" s="3"/>
      <c r="AD683" s="3"/>
    </row>
    <row r="684" spans="2:30" x14ac:dyDescent="0.2">
      <c r="B684" s="61"/>
      <c r="C684" s="74"/>
      <c r="D684" s="74"/>
      <c r="E684" s="74"/>
      <c r="F684" s="74"/>
      <c r="G684" s="74"/>
      <c r="H684" s="74"/>
      <c r="I684" s="74"/>
      <c r="J684" s="74"/>
      <c r="K684" s="74"/>
      <c r="L684" s="74"/>
      <c r="M684" s="74"/>
      <c r="N684" s="74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  <c r="AA684" s="74"/>
      <c r="AB684" s="3"/>
      <c r="AC684" s="3"/>
      <c r="AD684" s="3"/>
    </row>
    <row r="685" spans="2:30" x14ac:dyDescent="0.2">
      <c r="B685" s="61"/>
      <c r="C685" s="74"/>
      <c r="D685" s="74"/>
      <c r="E685" s="74"/>
      <c r="F685" s="74"/>
      <c r="G685" s="74"/>
      <c r="H685" s="74"/>
      <c r="I685" s="74"/>
      <c r="J685" s="74"/>
      <c r="K685" s="74"/>
      <c r="L685" s="74"/>
      <c r="M685" s="74"/>
      <c r="N685" s="74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  <c r="AA685" s="74"/>
      <c r="AB685" s="3"/>
      <c r="AC685" s="3"/>
      <c r="AD685" s="3"/>
    </row>
    <row r="686" spans="2:30" x14ac:dyDescent="0.2">
      <c r="B686" s="61"/>
      <c r="C686" s="74"/>
      <c r="D686" s="74"/>
      <c r="E686" s="74"/>
      <c r="F686" s="74"/>
      <c r="G686" s="74"/>
      <c r="H686" s="74"/>
      <c r="I686" s="74"/>
      <c r="J686" s="74"/>
      <c r="K686" s="74"/>
      <c r="L686" s="74"/>
      <c r="M686" s="74"/>
      <c r="N686" s="74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  <c r="AA686" s="74"/>
      <c r="AB686" s="3"/>
      <c r="AC686" s="3"/>
      <c r="AD686" s="3"/>
    </row>
    <row r="687" spans="2:30" x14ac:dyDescent="0.2">
      <c r="B687" s="61"/>
      <c r="C687" s="74"/>
      <c r="D687" s="74"/>
      <c r="E687" s="74"/>
      <c r="F687" s="74"/>
      <c r="G687" s="74"/>
      <c r="H687" s="74"/>
      <c r="I687" s="74"/>
      <c r="J687" s="74"/>
      <c r="K687" s="74"/>
      <c r="L687" s="74"/>
      <c r="M687" s="74"/>
      <c r="N687" s="74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  <c r="AA687" s="74"/>
      <c r="AB687" s="3"/>
      <c r="AC687" s="3"/>
      <c r="AD687" s="3"/>
    </row>
    <row r="688" spans="2:30" x14ac:dyDescent="0.2">
      <c r="B688" s="61"/>
      <c r="C688" s="74"/>
      <c r="D688" s="74"/>
      <c r="E688" s="74"/>
      <c r="F688" s="74"/>
      <c r="G688" s="74"/>
      <c r="H688" s="74"/>
      <c r="I688" s="74"/>
      <c r="J688" s="74"/>
      <c r="K688" s="74"/>
      <c r="L688" s="74"/>
      <c r="M688" s="74"/>
      <c r="N688" s="74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  <c r="AA688" s="74"/>
      <c r="AB688" s="3"/>
      <c r="AC688" s="3"/>
      <c r="AD688" s="3"/>
    </row>
    <row r="689" spans="2:30" x14ac:dyDescent="0.2">
      <c r="B689" s="61"/>
      <c r="C689" s="74"/>
      <c r="D689" s="74"/>
      <c r="E689" s="74"/>
      <c r="F689" s="74"/>
      <c r="G689" s="74"/>
      <c r="H689" s="74"/>
      <c r="I689" s="74"/>
      <c r="J689" s="74"/>
      <c r="K689" s="74"/>
      <c r="L689" s="74"/>
      <c r="M689" s="74"/>
      <c r="N689" s="74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  <c r="AA689" s="74"/>
      <c r="AB689" s="3"/>
      <c r="AC689" s="3"/>
      <c r="AD689" s="3"/>
    </row>
    <row r="690" spans="2:30" x14ac:dyDescent="0.2">
      <c r="B690" s="61"/>
      <c r="C690" s="74"/>
      <c r="D690" s="74"/>
      <c r="E690" s="74"/>
      <c r="F690" s="74"/>
      <c r="G690" s="74"/>
      <c r="H690" s="74"/>
      <c r="I690" s="74"/>
      <c r="J690" s="74"/>
      <c r="K690" s="74"/>
      <c r="L690" s="74"/>
      <c r="M690" s="74"/>
      <c r="N690" s="74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  <c r="AA690" s="74"/>
      <c r="AB690" s="3"/>
      <c r="AC690" s="3"/>
      <c r="AD690" s="3"/>
    </row>
    <row r="691" spans="2:30" x14ac:dyDescent="0.2">
      <c r="B691" s="61"/>
      <c r="C691" s="74"/>
      <c r="D691" s="74"/>
      <c r="E691" s="74"/>
      <c r="F691" s="74"/>
      <c r="G691" s="74"/>
      <c r="H691" s="74"/>
      <c r="I691" s="74"/>
      <c r="J691" s="74"/>
      <c r="K691" s="74"/>
      <c r="L691" s="74"/>
      <c r="M691" s="74"/>
      <c r="N691" s="74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B691" s="3"/>
      <c r="AC691" s="3"/>
      <c r="AD691" s="3"/>
    </row>
    <row r="692" spans="2:30" x14ac:dyDescent="0.2">
      <c r="B692" s="61"/>
      <c r="C692" s="74"/>
      <c r="D692" s="74"/>
      <c r="E692" s="74"/>
      <c r="F692" s="74"/>
      <c r="G692" s="74"/>
      <c r="H692" s="74"/>
      <c r="I692" s="74"/>
      <c r="J692" s="74"/>
      <c r="K692" s="74"/>
      <c r="L692" s="74"/>
      <c r="M692" s="74"/>
      <c r="N692" s="74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  <c r="AA692" s="74"/>
      <c r="AB692" s="3"/>
      <c r="AC692" s="3"/>
      <c r="AD692" s="3"/>
    </row>
    <row r="693" spans="2:30" x14ac:dyDescent="0.2">
      <c r="B693" s="61"/>
      <c r="C693" s="74"/>
      <c r="D693" s="74"/>
      <c r="E693" s="74"/>
      <c r="F693" s="74"/>
      <c r="G693" s="74"/>
      <c r="H693" s="74"/>
      <c r="I693" s="74"/>
      <c r="J693" s="74"/>
      <c r="K693" s="74"/>
      <c r="L693" s="74"/>
      <c r="M693" s="74"/>
      <c r="N693" s="74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  <c r="AA693" s="74"/>
      <c r="AB693" s="3"/>
      <c r="AC693" s="3"/>
      <c r="AD693" s="3"/>
    </row>
    <row r="694" spans="2:30" x14ac:dyDescent="0.2">
      <c r="B694" s="61"/>
      <c r="C694" s="74"/>
      <c r="D694" s="74"/>
      <c r="E694" s="74"/>
      <c r="F694" s="74"/>
      <c r="G694" s="74"/>
      <c r="H694" s="74"/>
      <c r="I694" s="74"/>
      <c r="J694" s="74"/>
      <c r="K694" s="74"/>
      <c r="L694" s="74"/>
      <c r="M694" s="74"/>
      <c r="N694" s="74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  <c r="AA694" s="74"/>
      <c r="AB694" s="3"/>
      <c r="AC694" s="3"/>
      <c r="AD694" s="3"/>
    </row>
    <row r="695" spans="2:30" x14ac:dyDescent="0.2">
      <c r="B695" s="61"/>
      <c r="C695" s="74"/>
      <c r="D695" s="74"/>
      <c r="E695" s="74"/>
      <c r="F695" s="74"/>
      <c r="G695" s="74"/>
      <c r="H695" s="74"/>
      <c r="I695" s="74"/>
      <c r="J695" s="74"/>
      <c r="K695" s="74"/>
      <c r="L695" s="74"/>
      <c r="M695" s="74"/>
      <c r="N695" s="74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B695" s="3"/>
      <c r="AC695" s="3"/>
      <c r="AD695" s="3"/>
    </row>
    <row r="696" spans="2:30" x14ac:dyDescent="0.2">
      <c r="B696" s="61"/>
      <c r="C696" s="74"/>
      <c r="D696" s="74"/>
      <c r="E696" s="74"/>
      <c r="F696" s="74"/>
      <c r="G696" s="74"/>
      <c r="H696" s="74"/>
      <c r="I696" s="74"/>
      <c r="J696" s="74"/>
      <c r="K696" s="74"/>
      <c r="L696" s="74"/>
      <c r="M696" s="74"/>
      <c r="N696" s="74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  <c r="AA696" s="74"/>
      <c r="AB696" s="3"/>
      <c r="AC696" s="3"/>
      <c r="AD696" s="3"/>
    </row>
    <row r="697" spans="2:30" x14ac:dyDescent="0.2">
      <c r="B697" s="61"/>
      <c r="C697" s="74"/>
      <c r="D697" s="74"/>
      <c r="E697" s="74"/>
      <c r="F697" s="74"/>
      <c r="G697" s="74"/>
      <c r="H697" s="74"/>
      <c r="I697" s="74"/>
      <c r="J697" s="74"/>
      <c r="K697" s="74"/>
      <c r="L697" s="74"/>
      <c r="M697" s="74"/>
      <c r="N697" s="74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  <c r="AA697" s="74"/>
      <c r="AB697" s="3"/>
      <c r="AC697" s="3"/>
      <c r="AD697" s="3"/>
    </row>
    <row r="698" spans="2:30" x14ac:dyDescent="0.2">
      <c r="B698" s="61"/>
      <c r="C698" s="74"/>
      <c r="D698" s="74"/>
      <c r="E698" s="74"/>
      <c r="F698" s="74"/>
      <c r="G698" s="74"/>
      <c r="H698" s="74"/>
      <c r="I698" s="74"/>
      <c r="J698" s="74"/>
      <c r="K698" s="74"/>
      <c r="L698" s="74"/>
      <c r="M698" s="74"/>
      <c r="N698" s="74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  <c r="AA698" s="74"/>
      <c r="AB698" s="3"/>
      <c r="AC698" s="3"/>
      <c r="AD698" s="3"/>
    </row>
    <row r="699" spans="2:30" x14ac:dyDescent="0.2">
      <c r="B699" s="61"/>
      <c r="C699" s="74"/>
      <c r="D699" s="74"/>
      <c r="E699" s="74"/>
      <c r="F699" s="74"/>
      <c r="G699" s="74"/>
      <c r="H699" s="74"/>
      <c r="I699" s="74"/>
      <c r="J699" s="74"/>
      <c r="K699" s="74"/>
      <c r="L699" s="74"/>
      <c r="M699" s="74"/>
      <c r="N699" s="74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  <c r="AA699" s="74"/>
      <c r="AB699" s="3"/>
      <c r="AC699" s="3"/>
      <c r="AD699" s="3"/>
    </row>
    <row r="700" spans="2:30" x14ac:dyDescent="0.2">
      <c r="B700" s="61"/>
      <c r="C700" s="74"/>
      <c r="D700" s="74"/>
      <c r="E700" s="74"/>
      <c r="F700" s="74"/>
      <c r="G700" s="74"/>
      <c r="H700" s="74"/>
      <c r="I700" s="74"/>
      <c r="J700" s="74"/>
      <c r="K700" s="74"/>
      <c r="L700" s="74"/>
      <c r="M700" s="74"/>
      <c r="N700" s="74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  <c r="AA700" s="74"/>
      <c r="AB700" s="3"/>
      <c r="AC700" s="3"/>
      <c r="AD700" s="3"/>
    </row>
    <row r="701" spans="2:30" x14ac:dyDescent="0.2">
      <c r="B701" s="61"/>
      <c r="C701" s="74"/>
      <c r="D701" s="74"/>
      <c r="E701" s="74"/>
      <c r="F701" s="74"/>
      <c r="G701" s="74"/>
      <c r="H701" s="74"/>
      <c r="I701" s="74"/>
      <c r="J701" s="74"/>
      <c r="K701" s="74"/>
      <c r="L701" s="74"/>
      <c r="M701" s="74"/>
      <c r="N701" s="74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  <c r="AA701" s="74"/>
      <c r="AB701" s="3"/>
      <c r="AC701" s="3"/>
      <c r="AD701" s="3"/>
    </row>
    <row r="702" spans="2:30" x14ac:dyDescent="0.2">
      <c r="B702" s="61"/>
      <c r="C702" s="74"/>
      <c r="D702" s="74"/>
      <c r="E702" s="74"/>
      <c r="F702" s="74"/>
      <c r="G702" s="74"/>
      <c r="H702" s="74"/>
      <c r="I702" s="74"/>
      <c r="J702" s="74"/>
      <c r="K702" s="74"/>
      <c r="L702" s="74"/>
      <c r="M702" s="74"/>
      <c r="N702" s="74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  <c r="AA702" s="74"/>
      <c r="AB702" s="3"/>
      <c r="AC702" s="3"/>
      <c r="AD702" s="3"/>
    </row>
    <row r="703" spans="2:30" x14ac:dyDescent="0.2">
      <c r="B703" s="61"/>
      <c r="C703" s="74"/>
      <c r="D703" s="74"/>
      <c r="E703" s="74"/>
      <c r="F703" s="74"/>
      <c r="G703" s="74"/>
      <c r="H703" s="74"/>
      <c r="I703" s="74"/>
      <c r="J703" s="74"/>
      <c r="K703" s="74"/>
      <c r="L703" s="74"/>
      <c r="M703" s="74"/>
      <c r="N703" s="74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  <c r="AA703" s="74"/>
      <c r="AB703" s="3"/>
      <c r="AC703" s="3"/>
      <c r="AD703" s="3"/>
    </row>
    <row r="704" spans="2:30" x14ac:dyDescent="0.2">
      <c r="B704" s="61"/>
      <c r="C704" s="74"/>
      <c r="D704" s="74"/>
      <c r="E704" s="74"/>
      <c r="F704" s="74"/>
      <c r="G704" s="74"/>
      <c r="H704" s="74"/>
      <c r="I704" s="74"/>
      <c r="J704" s="74"/>
      <c r="K704" s="74"/>
      <c r="L704" s="74"/>
      <c r="M704" s="74"/>
      <c r="N704" s="74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  <c r="AA704" s="74"/>
      <c r="AB704" s="3"/>
      <c r="AC704" s="3"/>
      <c r="AD704" s="3"/>
    </row>
    <row r="705" spans="2:30" x14ac:dyDescent="0.2">
      <c r="B705" s="61"/>
      <c r="C705" s="74"/>
      <c r="D705" s="74"/>
      <c r="E705" s="74"/>
      <c r="F705" s="74"/>
      <c r="G705" s="74"/>
      <c r="H705" s="74"/>
      <c r="I705" s="74"/>
      <c r="J705" s="74"/>
      <c r="K705" s="74"/>
      <c r="L705" s="74"/>
      <c r="M705" s="74"/>
      <c r="N705" s="74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  <c r="AA705" s="74"/>
      <c r="AB705" s="3"/>
      <c r="AC705" s="3"/>
      <c r="AD705" s="3"/>
    </row>
    <row r="706" spans="2:30" x14ac:dyDescent="0.2">
      <c r="B706" s="61"/>
      <c r="C706" s="74"/>
      <c r="D706" s="74"/>
      <c r="E706" s="74"/>
      <c r="F706" s="74"/>
      <c r="G706" s="74"/>
      <c r="H706" s="74"/>
      <c r="I706" s="74"/>
      <c r="J706" s="74"/>
      <c r="K706" s="74"/>
      <c r="L706" s="74"/>
      <c r="M706" s="74"/>
      <c r="N706" s="74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  <c r="AA706" s="74"/>
      <c r="AB706" s="3"/>
      <c r="AC706" s="3"/>
      <c r="AD706" s="3"/>
    </row>
    <row r="707" spans="2:30" x14ac:dyDescent="0.2">
      <c r="B707" s="61"/>
      <c r="C707" s="74"/>
      <c r="D707" s="74"/>
      <c r="E707" s="74"/>
      <c r="F707" s="74"/>
      <c r="G707" s="74"/>
      <c r="H707" s="74"/>
      <c r="I707" s="74"/>
      <c r="J707" s="74"/>
      <c r="K707" s="74"/>
      <c r="L707" s="74"/>
      <c r="M707" s="74"/>
      <c r="N707" s="74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  <c r="AA707" s="74"/>
      <c r="AB707" s="3"/>
      <c r="AC707" s="3"/>
      <c r="AD707" s="3"/>
    </row>
    <row r="708" spans="2:30" x14ac:dyDescent="0.2">
      <c r="B708" s="61"/>
      <c r="C708" s="74"/>
      <c r="D708" s="74"/>
      <c r="E708" s="74"/>
      <c r="F708" s="74"/>
      <c r="G708" s="74"/>
      <c r="H708" s="74"/>
      <c r="I708" s="74"/>
      <c r="J708" s="74"/>
      <c r="K708" s="74"/>
      <c r="L708" s="74"/>
      <c r="M708" s="74"/>
      <c r="N708" s="74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  <c r="AA708" s="74"/>
      <c r="AB708" s="3"/>
      <c r="AC708" s="3"/>
      <c r="AD708" s="3"/>
    </row>
    <row r="709" spans="2:30" x14ac:dyDescent="0.2">
      <c r="B709" s="61"/>
      <c r="C709" s="74"/>
      <c r="D709" s="74"/>
      <c r="E709" s="74"/>
      <c r="F709" s="74"/>
      <c r="G709" s="74"/>
      <c r="H709" s="74"/>
      <c r="I709" s="74"/>
      <c r="J709" s="74"/>
      <c r="K709" s="74"/>
      <c r="L709" s="74"/>
      <c r="M709" s="74"/>
      <c r="N709" s="74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  <c r="AA709" s="74"/>
      <c r="AB709" s="3"/>
      <c r="AC709" s="3"/>
      <c r="AD709" s="3"/>
    </row>
    <row r="710" spans="2:30" x14ac:dyDescent="0.2">
      <c r="B710" s="61"/>
      <c r="C710" s="74"/>
      <c r="D710" s="74"/>
      <c r="E710" s="74"/>
      <c r="F710" s="74"/>
      <c r="G710" s="74"/>
      <c r="H710" s="74"/>
      <c r="I710" s="74"/>
      <c r="J710" s="74"/>
      <c r="K710" s="74"/>
      <c r="L710" s="74"/>
      <c r="M710" s="74"/>
      <c r="N710" s="74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  <c r="AA710" s="74"/>
      <c r="AB710" s="3"/>
      <c r="AC710" s="3"/>
      <c r="AD710" s="3"/>
    </row>
    <row r="711" spans="2:30" x14ac:dyDescent="0.2">
      <c r="B711" s="61"/>
      <c r="C711" s="74"/>
      <c r="D711" s="74"/>
      <c r="E711" s="74"/>
      <c r="F711" s="74"/>
      <c r="G711" s="74"/>
      <c r="H711" s="74"/>
      <c r="I711" s="74"/>
      <c r="J711" s="74"/>
      <c r="K711" s="74"/>
      <c r="L711" s="74"/>
      <c r="M711" s="74"/>
      <c r="N711" s="74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  <c r="AA711" s="74"/>
      <c r="AB711" s="3"/>
      <c r="AC711" s="3"/>
      <c r="AD711" s="3"/>
    </row>
    <row r="712" spans="2:30" x14ac:dyDescent="0.2">
      <c r="B712" s="61"/>
      <c r="C712" s="74"/>
      <c r="D712" s="74"/>
      <c r="E712" s="74"/>
      <c r="F712" s="74"/>
      <c r="G712" s="74"/>
      <c r="H712" s="74"/>
      <c r="I712" s="74"/>
      <c r="J712" s="74"/>
      <c r="K712" s="74"/>
      <c r="L712" s="74"/>
      <c r="M712" s="74"/>
      <c r="N712" s="74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  <c r="AA712" s="74"/>
      <c r="AB712" s="3"/>
      <c r="AC712" s="3"/>
      <c r="AD712" s="3"/>
    </row>
    <row r="713" spans="2:30" x14ac:dyDescent="0.2">
      <c r="B713" s="61"/>
      <c r="C713" s="74"/>
      <c r="D713" s="74"/>
      <c r="E713" s="74"/>
      <c r="F713" s="74"/>
      <c r="G713" s="74"/>
      <c r="H713" s="74"/>
      <c r="I713" s="74"/>
      <c r="J713" s="74"/>
      <c r="K713" s="74"/>
      <c r="L713" s="74"/>
      <c r="M713" s="74"/>
      <c r="N713" s="74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  <c r="AA713" s="74"/>
      <c r="AB713" s="3"/>
      <c r="AC713" s="3"/>
      <c r="AD713" s="3"/>
    </row>
    <row r="714" spans="2:30" x14ac:dyDescent="0.2">
      <c r="B714" s="61"/>
      <c r="C714" s="74"/>
      <c r="D714" s="74"/>
      <c r="E714" s="74"/>
      <c r="F714" s="74"/>
      <c r="G714" s="74"/>
      <c r="H714" s="74"/>
      <c r="I714" s="74"/>
      <c r="J714" s="74"/>
      <c r="K714" s="74"/>
      <c r="L714" s="74"/>
      <c r="M714" s="74"/>
      <c r="N714" s="74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  <c r="AA714" s="74"/>
      <c r="AB714" s="3"/>
      <c r="AC714" s="3"/>
      <c r="AD714" s="3"/>
    </row>
    <row r="715" spans="2:30" x14ac:dyDescent="0.2">
      <c r="B715" s="61"/>
      <c r="C715" s="74"/>
      <c r="D715" s="74"/>
      <c r="E715" s="74"/>
      <c r="F715" s="74"/>
      <c r="G715" s="74"/>
      <c r="H715" s="74"/>
      <c r="I715" s="74"/>
      <c r="J715" s="74"/>
      <c r="K715" s="74"/>
      <c r="L715" s="74"/>
      <c r="M715" s="74"/>
      <c r="N715" s="74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  <c r="AA715" s="74"/>
      <c r="AB715" s="3"/>
      <c r="AC715" s="3"/>
      <c r="AD715" s="3"/>
    </row>
    <row r="716" spans="2:30" x14ac:dyDescent="0.2">
      <c r="B716" s="61"/>
      <c r="C716" s="74"/>
      <c r="D716" s="74"/>
      <c r="E716" s="74"/>
      <c r="F716" s="74"/>
      <c r="G716" s="74"/>
      <c r="H716" s="74"/>
      <c r="I716" s="74"/>
      <c r="J716" s="74"/>
      <c r="K716" s="74"/>
      <c r="L716" s="74"/>
      <c r="M716" s="74"/>
      <c r="N716" s="74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  <c r="AA716" s="74"/>
      <c r="AB716" s="3"/>
      <c r="AC716" s="3"/>
      <c r="AD716" s="3"/>
    </row>
    <row r="717" spans="2:30" x14ac:dyDescent="0.2">
      <c r="B717" s="61"/>
      <c r="C717" s="74"/>
      <c r="D717" s="74"/>
      <c r="E717" s="74"/>
      <c r="F717" s="74"/>
      <c r="G717" s="74"/>
      <c r="H717" s="74"/>
      <c r="I717" s="74"/>
      <c r="J717" s="74"/>
      <c r="K717" s="74"/>
      <c r="L717" s="74"/>
      <c r="M717" s="74"/>
      <c r="N717" s="74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  <c r="AA717" s="74"/>
      <c r="AB717" s="3"/>
      <c r="AC717" s="3"/>
      <c r="AD717" s="3"/>
    </row>
    <row r="718" spans="2:30" x14ac:dyDescent="0.2">
      <c r="B718" s="61"/>
      <c r="C718" s="74"/>
      <c r="D718" s="74"/>
      <c r="E718" s="74"/>
      <c r="F718" s="74"/>
      <c r="G718" s="74"/>
      <c r="H718" s="74"/>
      <c r="I718" s="74"/>
      <c r="J718" s="74"/>
      <c r="K718" s="74"/>
      <c r="L718" s="74"/>
      <c r="M718" s="74"/>
      <c r="N718" s="74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  <c r="AA718" s="74"/>
      <c r="AB718" s="3"/>
      <c r="AC718" s="3"/>
      <c r="AD718" s="3"/>
    </row>
    <row r="719" spans="2:30" x14ac:dyDescent="0.2">
      <c r="B719" s="61"/>
      <c r="C719" s="74"/>
      <c r="D719" s="74"/>
      <c r="E719" s="74"/>
      <c r="F719" s="74"/>
      <c r="G719" s="74"/>
      <c r="H719" s="74"/>
      <c r="I719" s="74"/>
      <c r="J719" s="74"/>
      <c r="K719" s="74"/>
      <c r="L719" s="74"/>
      <c r="M719" s="74"/>
      <c r="N719" s="74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  <c r="AA719" s="74"/>
      <c r="AB719" s="3"/>
      <c r="AC719" s="3"/>
      <c r="AD719" s="3"/>
    </row>
    <row r="720" spans="2:30" x14ac:dyDescent="0.2">
      <c r="B720" s="61"/>
      <c r="C720" s="74"/>
      <c r="D720" s="74"/>
      <c r="E720" s="74"/>
      <c r="F720" s="74"/>
      <c r="G720" s="74"/>
      <c r="H720" s="74"/>
      <c r="I720" s="74"/>
      <c r="J720" s="74"/>
      <c r="K720" s="74"/>
      <c r="L720" s="74"/>
      <c r="M720" s="74"/>
      <c r="N720" s="74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  <c r="AA720" s="74"/>
      <c r="AB720" s="3"/>
      <c r="AC720" s="3"/>
      <c r="AD720" s="3"/>
    </row>
    <row r="721" spans="2:30" x14ac:dyDescent="0.2">
      <c r="B721" s="61"/>
      <c r="C721" s="74"/>
      <c r="D721" s="74"/>
      <c r="E721" s="74"/>
      <c r="F721" s="74"/>
      <c r="G721" s="74"/>
      <c r="H721" s="74"/>
      <c r="I721" s="74"/>
      <c r="J721" s="74"/>
      <c r="K721" s="74"/>
      <c r="L721" s="74"/>
      <c r="M721" s="74"/>
      <c r="N721" s="74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  <c r="AA721" s="74"/>
      <c r="AB721" s="3"/>
      <c r="AC721" s="3"/>
      <c r="AD721" s="3"/>
    </row>
    <row r="722" spans="2:30" x14ac:dyDescent="0.2">
      <c r="B722" s="61"/>
      <c r="C722" s="74"/>
      <c r="D722" s="74"/>
      <c r="E722" s="74"/>
      <c r="F722" s="74"/>
      <c r="G722" s="74"/>
      <c r="H722" s="74"/>
      <c r="I722" s="74"/>
      <c r="J722" s="74"/>
      <c r="K722" s="74"/>
      <c r="L722" s="74"/>
      <c r="M722" s="74"/>
      <c r="N722" s="74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  <c r="AA722" s="74"/>
      <c r="AB722" s="3"/>
      <c r="AC722" s="3"/>
      <c r="AD722" s="3"/>
    </row>
    <row r="723" spans="2:30" x14ac:dyDescent="0.2">
      <c r="B723" s="61"/>
      <c r="C723" s="74"/>
      <c r="D723" s="74"/>
      <c r="E723" s="74"/>
      <c r="F723" s="74"/>
      <c r="G723" s="74"/>
      <c r="H723" s="74"/>
      <c r="I723" s="74"/>
      <c r="J723" s="74"/>
      <c r="K723" s="74"/>
      <c r="L723" s="74"/>
      <c r="M723" s="74"/>
      <c r="N723" s="74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  <c r="AA723" s="74"/>
      <c r="AB723" s="3"/>
      <c r="AC723" s="3"/>
      <c r="AD723" s="3"/>
    </row>
    <row r="724" spans="2:30" x14ac:dyDescent="0.2">
      <c r="B724" s="61"/>
      <c r="C724" s="74"/>
      <c r="D724" s="74"/>
      <c r="E724" s="74"/>
      <c r="F724" s="74"/>
      <c r="G724" s="74"/>
      <c r="H724" s="74"/>
      <c r="I724" s="74"/>
      <c r="J724" s="74"/>
      <c r="K724" s="74"/>
      <c r="L724" s="74"/>
      <c r="M724" s="74"/>
      <c r="N724" s="74"/>
      <c r="O724" s="74"/>
      <c r="P724" s="74"/>
      <c r="Q724" s="74"/>
      <c r="R724" s="74"/>
      <c r="S724" s="74"/>
      <c r="T724" s="74"/>
      <c r="U724" s="74"/>
      <c r="V724" s="74"/>
      <c r="W724" s="74"/>
      <c r="X724" s="74"/>
      <c r="Y724" s="74"/>
      <c r="Z724" s="74"/>
      <c r="AA724" s="74"/>
      <c r="AB724" s="3"/>
      <c r="AC724" s="3"/>
      <c r="AD724" s="3"/>
    </row>
    <row r="725" spans="2:30" x14ac:dyDescent="0.2">
      <c r="B725" s="61"/>
      <c r="C725" s="74"/>
      <c r="D725" s="74"/>
      <c r="E725" s="74"/>
      <c r="F725" s="74"/>
      <c r="G725" s="74"/>
      <c r="H725" s="74"/>
      <c r="I725" s="74"/>
      <c r="J725" s="74"/>
      <c r="K725" s="74"/>
      <c r="L725" s="74"/>
      <c r="M725" s="74"/>
      <c r="N725" s="74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  <c r="Z725" s="74"/>
      <c r="AA725" s="74"/>
      <c r="AB725" s="3"/>
      <c r="AC725" s="3"/>
      <c r="AD725" s="3"/>
    </row>
    <row r="726" spans="2:30" x14ac:dyDescent="0.2">
      <c r="B726" s="61"/>
      <c r="C726" s="74"/>
      <c r="D726" s="74"/>
      <c r="E726" s="74"/>
      <c r="F726" s="74"/>
      <c r="G726" s="74"/>
      <c r="H726" s="74"/>
      <c r="I726" s="74"/>
      <c r="J726" s="74"/>
      <c r="K726" s="74"/>
      <c r="L726" s="74"/>
      <c r="M726" s="74"/>
      <c r="N726" s="74"/>
      <c r="O726" s="74"/>
      <c r="P726" s="74"/>
      <c r="Q726" s="74"/>
      <c r="R726" s="74"/>
      <c r="S726" s="74"/>
      <c r="T726" s="74"/>
      <c r="U726" s="74"/>
      <c r="V726" s="74"/>
      <c r="W726" s="74"/>
      <c r="X726" s="74"/>
      <c r="Y726" s="74"/>
      <c r="Z726" s="74"/>
      <c r="AA726" s="74"/>
      <c r="AB726" s="3"/>
      <c r="AC726" s="3"/>
      <c r="AD726" s="3"/>
    </row>
    <row r="727" spans="2:30" x14ac:dyDescent="0.2">
      <c r="B727" s="61"/>
      <c r="C727" s="74"/>
      <c r="D727" s="74"/>
      <c r="E727" s="74"/>
      <c r="F727" s="74"/>
      <c r="G727" s="74"/>
      <c r="H727" s="74"/>
      <c r="I727" s="74"/>
      <c r="J727" s="74"/>
      <c r="K727" s="74"/>
      <c r="L727" s="74"/>
      <c r="M727" s="74"/>
      <c r="N727" s="74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  <c r="Z727" s="74"/>
      <c r="AA727" s="74"/>
      <c r="AB727" s="3"/>
      <c r="AC727" s="3"/>
      <c r="AD727" s="3"/>
    </row>
    <row r="728" spans="2:30" x14ac:dyDescent="0.2">
      <c r="B728" s="61"/>
      <c r="C728" s="74"/>
      <c r="D728" s="74"/>
      <c r="E728" s="74"/>
      <c r="F728" s="74"/>
      <c r="G728" s="74"/>
      <c r="H728" s="74"/>
      <c r="I728" s="74"/>
      <c r="J728" s="74"/>
      <c r="K728" s="74"/>
      <c r="L728" s="74"/>
      <c r="M728" s="74"/>
      <c r="N728" s="74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  <c r="Z728" s="74"/>
      <c r="AA728" s="74"/>
      <c r="AB728" s="3"/>
      <c r="AC728" s="3"/>
      <c r="AD728" s="3"/>
    </row>
    <row r="729" spans="2:30" x14ac:dyDescent="0.2">
      <c r="B729" s="61"/>
      <c r="C729" s="74"/>
      <c r="D729" s="74"/>
      <c r="E729" s="74"/>
      <c r="F729" s="74"/>
      <c r="G729" s="74"/>
      <c r="H729" s="74"/>
      <c r="I729" s="74"/>
      <c r="J729" s="74"/>
      <c r="K729" s="74"/>
      <c r="L729" s="74"/>
      <c r="M729" s="74"/>
      <c r="N729" s="74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  <c r="Z729" s="74"/>
      <c r="AA729" s="74"/>
      <c r="AB729" s="3"/>
      <c r="AC729" s="3"/>
      <c r="AD729" s="3"/>
    </row>
    <row r="730" spans="2:30" x14ac:dyDescent="0.2">
      <c r="B730" s="61"/>
      <c r="C730" s="74"/>
      <c r="D730" s="74"/>
      <c r="E730" s="74"/>
      <c r="F730" s="74"/>
      <c r="G730" s="74"/>
      <c r="H730" s="74"/>
      <c r="I730" s="74"/>
      <c r="J730" s="74"/>
      <c r="K730" s="74"/>
      <c r="L730" s="74"/>
      <c r="M730" s="74"/>
      <c r="N730" s="74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  <c r="Z730" s="74"/>
      <c r="AA730" s="74"/>
      <c r="AB730" s="3"/>
      <c r="AC730" s="3"/>
      <c r="AD730" s="3"/>
    </row>
    <row r="731" spans="2:30" x14ac:dyDescent="0.2">
      <c r="B731" s="61"/>
      <c r="C731" s="74"/>
      <c r="D731" s="74"/>
      <c r="E731" s="74"/>
      <c r="F731" s="74"/>
      <c r="G731" s="74"/>
      <c r="H731" s="74"/>
      <c r="I731" s="74"/>
      <c r="J731" s="74"/>
      <c r="K731" s="74"/>
      <c r="L731" s="74"/>
      <c r="M731" s="74"/>
      <c r="N731" s="74"/>
      <c r="O731" s="74"/>
      <c r="P731" s="74"/>
      <c r="Q731" s="74"/>
      <c r="R731" s="74"/>
      <c r="S731" s="74"/>
      <c r="T731" s="74"/>
      <c r="U731" s="74"/>
      <c r="V731" s="74"/>
      <c r="W731" s="74"/>
      <c r="X731" s="74"/>
      <c r="Y731" s="74"/>
      <c r="Z731" s="74"/>
      <c r="AA731" s="74"/>
      <c r="AB731" s="3"/>
      <c r="AC731" s="3"/>
      <c r="AD731" s="3"/>
    </row>
    <row r="732" spans="2:30" x14ac:dyDescent="0.2">
      <c r="B732" s="61"/>
      <c r="C732" s="74"/>
      <c r="D732" s="74"/>
      <c r="E732" s="74"/>
      <c r="F732" s="74"/>
      <c r="G732" s="74"/>
      <c r="H732" s="74"/>
      <c r="I732" s="74"/>
      <c r="J732" s="74"/>
      <c r="K732" s="74"/>
      <c r="L732" s="74"/>
      <c r="M732" s="74"/>
      <c r="N732" s="74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  <c r="Z732" s="74"/>
      <c r="AA732" s="74"/>
      <c r="AB732" s="3"/>
      <c r="AC732" s="3"/>
      <c r="AD732" s="3"/>
    </row>
    <row r="733" spans="2:30" x14ac:dyDescent="0.2">
      <c r="B733" s="61"/>
      <c r="C733" s="74"/>
      <c r="D733" s="74"/>
      <c r="E733" s="74"/>
      <c r="F733" s="74"/>
      <c r="G733" s="74"/>
      <c r="H733" s="74"/>
      <c r="I733" s="74"/>
      <c r="J733" s="74"/>
      <c r="K733" s="74"/>
      <c r="L733" s="74"/>
      <c r="M733" s="74"/>
      <c r="N733" s="74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  <c r="Z733" s="74"/>
      <c r="AA733" s="74"/>
      <c r="AB733" s="3"/>
      <c r="AC733" s="3"/>
      <c r="AD733" s="3"/>
    </row>
    <row r="734" spans="2:30" x14ac:dyDescent="0.2">
      <c r="B734" s="61"/>
      <c r="C734" s="74"/>
      <c r="D734" s="74"/>
      <c r="E734" s="74"/>
      <c r="F734" s="74"/>
      <c r="G734" s="74"/>
      <c r="H734" s="74"/>
      <c r="I734" s="74"/>
      <c r="J734" s="74"/>
      <c r="K734" s="74"/>
      <c r="L734" s="74"/>
      <c r="M734" s="74"/>
      <c r="N734" s="74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  <c r="AA734" s="74"/>
      <c r="AB734" s="3"/>
      <c r="AC734" s="3"/>
      <c r="AD734" s="3"/>
    </row>
    <row r="735" spans="2:30" x14ac:dyDescent="0.2">
      <c r="B735" s="61"/>
      <c r="C735" s="74"/>
      <c r="D735" s="74"/>
      <c r="E735" s="74"/>
      <c r="F735" s="74"/>
      <c r="G735" s="74"/>
      <c r="H735" s="74"/>
      <c r="I735" s="74"/>
      <c r="J735" s="74"/>
      <c r="K735" s="74"/>
      <c r="L735" s="74"/>
      <c r="M735" s="74"/>
      <c r="N735" s="74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  <c r="Z735" s="74"/>
      <c r="AA735" s="74"/>
      <c r="AB735" s="3"/>
      <c r="AC735" s="3"/>
      <c r="AD735" s="3"/>
    </row>
    <row r="736" spans="2:30" x14ac:dyDescent="0.2">
      <c r="B736" s="61"/>
      <c r="C736" s="74"/>
      <c r="D736" s="74"/>
      <c r="E736" s="74"/>
      <c r="F736" s="74"/>
      <c r="G736" s="74"/>
      <c r="H736" s="74"/>
      <c r="I736" s="74"/>
      <c r="J736" s="74"/>
      <c r="K736" s="74"/>
      <c r="L736" s="74"/>
      <c r="M736" s="74"/>
      <c r="N736" s="74"/>
      <c r="O736" s="74"/>
      <c r="P736" s="74"/>
      <c r="Q736" s="74"/>
      <c r="R736" s="74"/>
      <c r="S736" s="74"/>
      <c r="T736" s="74"/>
      <c r="U736" s="74"/>
      <c r="V736" s="74"/>
      <c r="W736" s="74"/>
      <c r="X736" s="74"/>
      <c r="Y736" s="74"/>
      <c r="Z736" s="74"/>
      <c r="AA736" s="74"/>
      <c r="AB736" s="3"/>
      <c r="AC736" s="3"/>
      <c r="AD736" s="3"/>
    </row>
    <row r="737" spans="2:30" x14ac:dyDescent="0.2">
      <c r="B737" s="61"/>
      <c r="C737" s="74"/>
      <c r="D737" s="74"/>
      <c r="E737" s="74"/>
      <c r="F737" s="74"/>
      <c r="G737" s="74"/>
      <c r="H737" s="74"/>
      <c r="I737" s="74"/>
      <c r="J737" s="74"/>
      <c r="K737" s="74"/>
      <c r="L737" s="74"/>
      <c r="M737" s="74"/>
      <c r="N737" s="74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  <c r="AA737" s="74"/>
      <c r="AB737" s="3"/>
      <c r="AC737" s="3"/>
      <c r="AD737" s="3"/>
    </row>
    <row r="738" spans="2:30" x14ac:dyDescent="0.2">
      <c r="B738" s="61"/>
      <c r="C738" s="74"/>
      <c r="D738" s="74"/>
      <c r="E738" s="74"/>
      <c r="F738" s="74"/>
      <c r="G738" s="74"/>
      <c r="H738" s="74"/>
      <c r="I738" s="74"/>
      <c r="J738" s="74"/>
      <c r="K738" s="74"/>
      <c r="L738" s="74"/>
      <c r="M738" s="74"/>
      <c r="N738" s="74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  <c r="AA738" s="74"/>
      <c r="AB738" s="3"/>
      <c r="AC738" s="3"/>
      <c r="AD738" s="3"/>
    </row>
    <row r="739" spans="2:30" x14ac:dyDescent="0.2">
      <c r="B739" s="61"/>
      <c r="C739" s="74"/>
      <c r="D739" s="74"/>
      <c r="E739" s="74"/>
      <c r="F739" s="74"/>
      <c r="G739" s="74"/>
      <c r="H739" s="74"/>
      <c r="I739" s="74"/>
      <c r="J739" s="74"/>
      <c r="K739" s="74"/>
      <c r="L739" s="74"/>
      <c r="M739" s="74"/>
      <c r="N739" s="74"/>
      <c r="O739" s="74"/>
      <c r="P739" s="74"/>
      <c r="Q739" s="74"/>
      <c r="R739" s="74"/>
      <c r="S739" s="74"/>
      <c r="T739" s="74"/>
      <c r="U739" s="74"/>
      <c r="V739" s="74"/>
      <c r="W739" s="74"/>
      <c r="X739" s="74"/>
      <c r="Y739" s="74"/>
      <c r="Z739" s="74"/>
      <c r="AA739" s="74"/>
      <c r="AB739" s="3"/>
      <c r="AC739" s="3"/>
      <c r="AD739" s="3"/>
    </row>
    <row r="740" spans="2:30" x14ac:dyDescent="0.2">
      <c r="B740" s="61"/>
      <c r="C740" s="74"/>
      <c r="D740" s="74"/>
      <c r="E740" s="74"/>
      <c r="F740" s="74"/>
      <c r="G740" s="74"/>
      <c r="H740" s="74"/>
      <c r="I740" s="74"/>
      <c r="J740" s="74"/>
      <c r="K740" s="74"/>
      <c r="L740" s="74"/>
      <c r="M740" s="74"/>
      <c r="N740" s="74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  <c r="Z740" s="74"/>
      <c r="AA740" s="74"/>
      <c r="AB740" s="3"/>
      <c r="AC740" s="3"/>
      <c r="AD740" s="3"/>
    </row>
    <row r="741" spans="2:30" x14ac:dyDescent="0.2">
      <c r="B741" s="61"/>
      <c r="C741" s="74"/>
      <c r="D741" s="74"/>
      <c r="E741" s="74"/>
      <c r="F741" s="74"/>
      <c r="G741" s="74"/>
      <c r="H741" s="74"/>
      <c r="I741" s="74"/>
      <c r="J741" s="74"/>
      <c r="K741" s="74"/>
      <c r="L741" s="74"/>
      <c r="M741" s="74"/>
      <c r="N741" s="74"/>
      <c r="O741" s="74"/>
      <c r="P741" s="74"/>
      <c r="Q741" s="74"/>
      <c r="R741" s="74"/>
      <c r="S741" s="74"/>
      <c r="T741" s="74"/>
      <c r="U741" s="74"/>
      <c r="V741" s="74"/>
      <c r="W741" s="74"/>
      <c r="X741" s="74"/>
      <c r="Y741" s="74"/>
      <c r="Z741" s="74"/>
      <c r="AA741" s="74"/>
      <c r="AB741" s="3"/>
      <c r="AC741" s="3"/>
      <c r="AD741" s="3"/>
    </row>
    <row r="742" spans="2:30" x14ac:dyDescent="0.2">
      <c r="B742" s="61"/>
      <c r="C742" s="74"/>
      <c r="D742" s="74"/>
      <c r="E742" s="74"/>
      <c r="F742" s="74"/>
      <c r="G742" s="74"/>
      <c r="H742" s="74"/>
      <c r="I742" s="74"/>
      <c r="J742" s="74"/>
      <c r="K742" s="74"/>
      <c r="L742" s="74"/>
      <c r="M742" s="74"/>
      <c r="N742" s="74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  <c r="Z742" s="74"/>
      <c r="AA742" s="74"/>
      <c r="AB742" s="3"/>
      <c r="AC742" s="3"/>
      <c r="AD742" s="3"/>
    </row>
    <row r="743" spans="2:30" x14ac:dyDescent="0.2">
      <c r="B743" s="61"/>
      <c r="C743" s="74"/>
      <c r="D743" s="74"/>
      <c r="E743" s="74"/>
      <c r="F743" s="74"/>
      <c r="G743" s="74"/>
      <c r="H743" s="74"/>
      <c r="I743" s="74"/>
      <c r="J743" s="74"/>
      <c r="K743" s="74"/>
      <c r="L743" s="74"/>
      <c r="M743" s="74"/>
      <c r="N743" s="74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  <c r="Z743" s="74"/>
      <c r="AA743" s="74"/>
      <c r="AB743" s="3"/>
      <c r="AC743" s="3"/>
      <c r="AD743" s="3"/>
    </row>
    <row r="744" spans="2:30" x14ac:dyDescent="0.2">
      <c r="B744" s="61"/>
      <c r="C744" s="74"/>
      <c r="D744" s="74"/>
      <c r="E744" s="74"/>
      <c r="F744" s="74"/>
      <c r="G744" s="74"/>
      <c r="H744" s="74"/>
      <c r="I744" s="74"/>
      <c r="J744" s="74"/>
      <c r="K744" s="74"/>
      <c r="L744" s="74"/>
      <c r="M744" s="74"/>
      <c r="N744" s="74"/>
      <c r="O744" s="74"/>
      <c r="P744" s="74"/>
      <c r="Q744" s="74"/>
      <c r="R744" s="74"/>
      <c r="S744" s="74"/>
      <c r="T744" s="74"/>
      <c r="U744" s="74"/>
      <c r="V744" s="74"/>
      <c r="W744" s="74"/>
      <c r="X744" s="74"/>
      <c r="Y744" s="74"/>
      <c r="Z744" s="74"/>
      <c r="AA744" s="74"/>
      <c r="AB744" s="3"/>
      <c r="AC744" s="3"/>
      <c r="AD744" s="3"/>
    </row>
    <row r="745" spans="2:30" x14ac:dyDescent="0.2">
      <c r="B745" s="61"/>
      <c r="C745" s="74"/>
      <c r="D745" s="74"/>
      <c r="E745" s="74"/>
      <c r="F745" s="74"/>
      <c r="G745" s="74"/>
      <c r="H745" s="74"/>
      <c r="I745" s="74"/>
      <c r="J745" s="74"/>
      <c r="K745" s="74"/>
      <c r="L745" s="74"/>
      <c r="M745" s="74"/>
      <c r="N745" s="74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  <c r="Z745" s="74"/>
      <c r="AA745" s="74"/>
      <c r="AB745" s="3"/>
      <c r="AC745" s="3"/>
      <c r="AD745" s="3"/>
    </row>
    <row r="746" spans="2:30" x14ac:dyDescent="0.2">
      <c r="B746" s="61"/>
      <c r="C746" s="74"/>
      <c r="D746" s="74"/>
      <c r="E746" s="74"/>
      <c r="F746" s="74"/>
      <c r="G746" s="74"/>
      <c r="H746" s="74"/>
      <c r="I746" s="74"/>
      <c r="J746" s="74"/>
      <c r="K746" s="74"/>
      <c r="L746" s="74"/>
      <c r="M746" s="74"/>
      <c r="N746" s="74"/>
      <c r="O746" s="74"/>
      <c r="P746" s="74"/>
      <c r="Q746" s="74"/>
      <c r="R746" s="74"/>
      <c r="S746" s="74"/>
      <c r="T746" s="74"/>
      <c r="U746" s="74"/>
      <c r="V746" s="74"/>
      <c r="W746" s="74"/>
      <c r="X746" s="74"/>
      <c r="Y746" s="74"/>
      <c r="Z746" s="74"/>
      <c r="AA746" s="74"/>
      <c r="AB746" s="3"/>
      <c r="AC746" s="3"/>
      <c r="AD746" s="3"/>
    </row>
    <row r="747" spans="2:30" x14ac:dyDescent="0.2">
      <c r="B747" s="61"/>
      <c r="C747" s="74"/>
      <c r="D747" s="74"/>
      <c r="E747" s="74"/>
      <c r="F747" s="74"/>
      <c r="G747" s="74"/>
      <c r="H747" s="74"/>
      <c r="I747" s="74"/>
      <c r="J747" s="74"/>
      <c r="K747" s="74"/>
      <c r="L747" s="74"/>
      <c r="M747" s="74"/>
      <c r="N747" s="74"/>
      <c r="O747" s="74"/>
      <c r="P747" s="74"/>
      <c r="Q747" s="74"/>
      <c r="R747" s="74"/>
      <c r="S747" s="74"/>
      <c r="T747" s="74"/>
      <c r="U747" s="74"/>
      <c r="V747" s="74"/>
      <c r="W747" s="74"/>
      <c r="X747" s="74"/>
      <c r="Y747" s="74"/>
      <c r="Z747" s="74"/>
      <c r="AA747" s="74"/>
      <c r="AB747" s="3"/>
      <c r="AC747" s="3"/>
      <c r="AD747" s="3"/>
    </row>
    <row r="748" spans="2:30" x14ac:dyDescent="0.2">
      <c r="B748" s="61"/>
      <c r="C748" s="74"/>
      <c r="D748" s="74"/>
      <c r="E748" s="74"/>
      <c r="F748" s="74"/>
      <c r="G748" s="74"/>
      <c r="H748" s="74"/>
      <c r="I748" s="74"/>
      <c r="J748" s="74"/>
      <c r="K748" s="74"/>
      <c r="L748" s="74"/>
      <c r="M748" s="74"/>
      <c r="N748" s="74"/>
      <c r="O748" s="74"/>
      <c r="P748" s="74"/>
      <c r="Q748" s="74"/>
      <c r="R748" s="74"/>
      <c r="S748" s="74"/>
      <c r="T748" s="74"/>
      <c r="U748" s="74"/>
      <c r="V748" s="74"/>
      <c r="W748" s="74"/>
      <c r="X748" s="74"/>
      <c r="Y748" s="74"/>
      <c r="Z748" s="74"/>
      <c r="AA748" s="74"/>
      <c r="AB748" s="3"/>
      <c r="AC748" s="3"/>
      <c r="AD748" s="3"/>
    </row>
    <row r="749" spans="2:30" x14ac:dyDescent="0.2">
      <c r="B749" s="61"/>
      <c r="C749" s="74"/>
      <c r="D749" s="74"/>
      <c r="E749" s="74"/>
      <c r="F749" s="74"/>
      <c r="G749" s="74"/>
      <c r="H749" s="74"/>
      <c r="I749" s="74"/>
      <c r="J749" s="74"/>
      <c r="K749" s="74"/>
      <c r="L749" s="74"/>
      <c r="M749" s="74"/>
      <c r="N749" s="74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  <c r="Z749" s="74"/>
      <c r="AA749" s="74"/>
      <c r="AB749" s="3"/>
      <c r="AC749" s="3"/>
      <c r="AD749" s="3"/>
    </row>
    <row r="750" spans="2:30" x14ac:dyDescent="0.2">
      <c r="B750" s="61"/>
      <c r="C750" s="74"/>
      <c r="D750" s="74"/>
      <c r="E750" s="74"/>
      <c r="F750" s="74"/>
      <c r="G750" s="74"/>
      <c r="H750" s="74"/>
      <c r="I750" s="74"/>
      <c r="J750" s="74"/>
      <c r="K750" s="74"/>
      <c r="L750" s="74"/>
      <c r="M750" s="74"/>
      <c r="N750" s="74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  <c r="Z750" s="74"/>
      <c r="AA750" s="74"/>
      <c r="AB750" s="3"/>
      <c r="AC750" s="3"/>
      <c r="AD750" s="3"/>
    </row>
    <row r="751" spans="2:30" x14ac:dyDescent="0.2">
      <c r="B751" s="61"/>
      <c r="C751" s="74"/>
      <c r="D751" s="74"/>
      <c r="E751" s="74"/>
      <c r="F751" s="74"/>
      <c r="G751" s="74"/>
      <c r="H751" s="74"/>
      <c r="I751" s="74"/>
      <c r="J751" s="74"/>
      <c r="K751" s="74"/>
      <c r="L751" s="74"/>
      <c r="M751" s="74"/>
      <c r="N751" s="74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  <c r="Z751" s="74"/>
      <c r="AA751" s="74"/>
      <c r="AB751" s="3"/>
      <c r="AC751" s="3"/>
      <c r="AD751" s="3"/>
    </row>
    <row r="752" spans="2:30" x14ac:dyDescent="0.2">
      <c r="B752" s="61"/>
      <c r="C752" s="74"/>
      <c r="D752" s="74"/>
      <c r="E752" s="74"/>
      <c r="F752" s="74"/>
      <c r="G752" s="74"/>
      <c r="H752" s="74"/>
      <c r="I752" s="74"/>
      <c r="J752" s="74"/>
      <c r="K752" s="74"/>
      <c r="L752" s="74"/>
      <c r="M752" s="74"/>
      <c r="N752" s="74"/>
      <c r="O752" s="74"/>
      <c r="P752" s="74"/>
      <c r="Q752" s="74"/>
      <c r="R752" s="74"/>
      <c r="S752" s="74"/>
      <c r="T752" s="74"/>
      <c r="U752" s="74"/>
      <c r="V752" s="74"/>
      <c r="W752" s="74"/>
      <c r="X752" s="74"/>
      <c r="Y752" s="74"/>
      <c r="Z752" s="74"/>
      <c r="AA752" s="74"/>
      <c r="AB752" s="3"/>
      <c r="AC752" s="3"/>
      <c r="AD752" s="3"/>
    </row>
    <row r="753" spans="2:30" x14ac:dyDescent="0.2">
      <c r="B753" s="61"/>
      <c r="C753" s="74"/>
      <c r="D753" s="74"/>
      <c r="E753" s="74"/>
      <c r="F753" s="74"/>
      <c r="G753" s="74"/>
      <c r="H753" s="74"/>
      <c r="I753" s="74"/>
      <c r="J753" s="74"/>
      <c r="K753" s="74"/>
      <c r="L753" s="74"/>
      <c r="M753" s="74"/>
      <c r="N753" s="74"/>
      <c r="O753" s="74"/>
      <c r="P753" s="74"/>
      <c r="Q753" s="74"/>
      <c r="R753" s="74"/>
      <c r="S753" s="74"/>
      <c r="T753" s="74"/>
      <c r="U753" s="74"/>
      <c r="V753" s="74"/>
      <c r="W753" s="74"/>
      <c r="X753" s="74"/>
      <c r="Y753" s="74"/>
      <c r="Z753" s="74"/>
      <c r="AA753" s="74"/>
      <c r="AB753" s="3"/>
      <c r="AC753" s="3"/>
      <c r="AD753" s="3"/>
    </row>
    <row r="754" spans="2:30" x14ac:dyDescent="0.2">
      <c r="B754" s="61"/>
      <c r="C754" s="74"/>
      <c r="D754" s="74"/>
      <c r="E754" s="74"/>
      <c r="F754" s="74"/>
      <c r="G754" s="74"/>
      <c r="H754" s="74"/>
      <c r="I754" s="74"/>
      <c r="J754" s="74"/>
      <c r="K754" s="74"/>
      <c r="L754" s="74"/>
      <c r="M754" s="74"/>
      <c r="N754" s="74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  <c r="AA754" s="74"/>
      <c r="AB754" s="3"/>
      <c r="AC754" s="3"/>
      <c r="AD754" s="3"/>
    </row>
    <row r="755" spans="2:30" x14ac:dyDescent="0.2">
      <c r="B755" s="61"/>
      <c r="C755" s="74"/>
      <c r="D755" s="74"/>
      <c r="E755" s="74"/>
      <c r="F755" s="74"/>
      <c r="G755" s="74"/>
      <c r="H755" s="74"/>
      <c r="I755" s="74"/>
      <c r="J755" s="74"/>
      <c r="K755" s="74"/>
      <c r="L755" s="74"/>
      <c r="M755" s="74"/>
      <c r="N755" s="74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  <c r="AA755" s="74"/>
      <c r="AB755" s="3"/>
      <c r="AC755" s="3"/>
      <c r="AD755" s="3"/>
    </row>
    <row r="756" spans="2:30" x14ac:dyDescent="0.2">
      <c r="B756" s="61"/>
      <c r="C756" s="74"/>
      <c r="D756" s="74"/>
      <c r="E756" s="74"/>
      <c r="F756" s="74"/>
      <c r="G756" s="74"/>
      <c r="H756" s="74"/>
      <c r="I756" s="74"/>
      <c r="J756" s="74"/>
      <c r="K756" s="74"/>
      <c r="L756" s="74"/>
      <c r="M756" s="74"/>
      <c r="N756" s="74"/>
      <c r="O756" s="74"/>
      <c r="P756" s="74"/>
      <c r="Q756" s="74"/>
      <c r="R756" s="74"/>
      <c r="S756" s="74"/>
      <c r="T756" s="74"/>
      <c r="U756" s="74"/>
      <c r="V756" s="74"/>
      <c r="W756" s="74"/>
      <c r="X756" s="74"/>
      <c r="Y756" s="74"/>
      <c r="Z756" s="74"/>
      <c r="AA756" s="74"/>
      <c r="AB756" s="3"/>
      <c r="AC756" s="3"/>
      <c r="AD756" s="3"/>
    </row>
    <row r="757" spans="2:30" x14ac:dyDescent="0.2">
      <c r="B757" s="61"/>
      <c r="C757" s="74"/>
      <c r="D757" s="74"/>
      <c r="E757" s="74"/>
      <c r="F757" s="74"/>
      <c r="G757" s="74"/>
      <c r="H757" s="74"/>
      <c r="I757" s="74"/>
      <c r="J757" s="74"/>
      <c r="K757" s="74"/>
      <c r="L757" s="74"/>
      <c r="M757" s="74"/>
      <c r="N757" s="74"/>
      <c r="O757" s="74"/>
      <c r="P757" s="74"/>
      <c r="Q757" s="74"/>
      <c r="R757" s="74"/>
      <c r="S757" s="74"/>
      <c r="T757" s="74"/>
      <c r="U757" s="74"/>
      <c r="V757" s="74"/>
      <c r="W757" s="74"/>
      <c r="X757" s="74"/>
      <c r="Y757" s="74"/>
      <c r="Z757" s="74"/>
      <c r="AA757" s="74"/>
      <c r="AB757" s="3"/>
      <c r="AC757" s="3"/>
      <c r="AD757" s="3"/>
    </row>
    <row r="758" spans="2:30" x14ac:dyDescent="0.2">
      <c r="B758" s="61"/>
      <c r="C758" s="74"/>
      <c r="D758" s="74"/>
      <c r="E758" s="74"/>
      <c r="F758" s="74"/>
      <c r="G758" s="74"/>
      <c r="H758" s="74"/>
      <c r="I758" s="74"/>
      <c r="J758" s="74"/>
      <c r="K758" s="74"/>
      <c r="L758" s="74"/>
      <c r="M758" s="74"/>
      <c r="N758" s="74"/>
      <c r="O758" s="74"/>
      <c r="P758" s="74"/>
      <c r="Q758" s="74"/>
      <c r="R758" s="74"/>
      <c r="S758" s="74"/>
      <c r="T758" s="74"/>
      <c r="U758" s="74"/>
      <c r="V758" s="74"/>
      <c r="W758" s="74"/>
      <c r="X758" s="74"/>
      <c r="Y758" s="74"/>
      <c r="Z758" s="74"/>
      <c r="AA758" s="74"/>
      <c r="AB758" s="3"/>
      <c r="AC758" s="3"/>
      <c r="AD758" s="3"/>
    </row>
    <row r="759" spans="2:30" x14ac:dyDescent="0.2">
      <c r="B759" s="61"/>
      <c r="C759" s="74"/>
      <c r="D759" s="74"/>
      <c r="E759" s="74"/>
      <c r="F759" s="74"/>
      <c r="G759" s="74"/>
      <c r="H759" s="74"/>
      <c r="I759" s="74"/>
      <c r="J759" s="74"/>
      <c r="K759" s="74"/>
      <c r="L759" s="74"/>
      <c r="M759" s="74"/>
      <c r="N759" s="74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  <c r="Z759" s="74"/>
      <c r="AA759" s="74"/>
      <c r="AB759" s="3"/>
      <c r="AC759" s="3"/>
      <c r="AD759" s="3"/>
    </row>
    <row r="760" spans="2:30" x14ac:dyDescent="0.2">
      <c r="B760" s="61"/>
      <c r="C760" s="74"/>
      <c r="D760" s="74"/>
      <c r="E760" s="74"/>
      <c r="F760" s="74"/>
      <c r="G760" s="74"/>
      <c r="H760" s="74"/>
      <c r="I760" s="74"/>
      <c r="J760" s="74"/>
      <c r="K760" s="74"/>
      <c r="L760" s="74"/>
      <c r="M760" s="74"/>
      <c r="N760" s="74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  <c r="Z760" s="74"/>
      <c r="AA760" s="74"/>
      <c r="AB760" s="3"/>
      <c r="AC760" s="3"/>
      <c r="AD760" s="3"/>
    </row>
    <row r="761" spans="2:30" x14ac:dyDescent="0.2">
      <c r="B761" s="61"/>
      <c r="C761" s="74"/>
      <c r="D761" s="74"/>
      <c r="E761" s="74"/>
      <c r="F761" s="74"/>
      <c r="G761" s="74"/>
      <c r="H761" s="74"/>
      <c r="I761" s="74"/>
      <c r="J761" s="74"/>
      <c r="K761" s="74"/>
      <c r="L761" s="74"/>
      <c r="M761" s="74"/>
      <c r="N761" s="74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  <c r="Z761" s="74"/>
      <c r="AA761" s="74"/>
      <c r="AB761" s="3"/>
      <c r="AC761" s="3"/>
      <c r="AD761" s="3"/>
    </row>
    <row r="762" spans="2:30" x14ac:dyDescent="0.2">
      <c r="B762" s="61"/>
      <c r="C762" s="74"/>
      <c r="D762" s="74"/>
      <c r="E762" s="74"/>
      <c r="F762" s="74"/>
      <c r="G762" s="74"/>
      <c r="H762" s="74"/>
      <c r="I762" s="74"/>
      <c r="J762" s="74"/>
      <c r="K762" s="74"/>
      <c r="L762" s="74"/>
      <c r="M762" s="74"/>
      <c r="N762" s="74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  <c r="Z762" s="74"/>
      <c r="AA762" s="74"/>
      <c r="AB762" s="3"/>
      <c r="AC762" s="3"/>
      <c r="AD762" s="3"/>
    </row>
    <row r="763" spans="2:30" x14ac:dyDescent="0.2">
      <c r="B763" s="61"/>
      <c r="C763" s="74"/>
      <c r="D763" s="74"/>
      <c r="E763" s="74"/>
      <c r="F763" s="74"/>
      <c r="G763" s="74"/>
      <c r="H763" s="74"/>
      <c r="I763" s="74"/>
      <c r="J763" s="74"/>
      <c r="K763" s="74"/>
      <c r="L763" s="74"/>
      <c r="M763" s="74"/>
      <c r="N763" s="74"/>
      <c r="O763" s="74"/>
      <c r="P763" s="74"/>
      <c r="Q763" s="74"/>
      <c r="R763" s="74"/>
      <c r="S763" s="74"/>
      <c r="T763" s="74"/>
      <c r="U763" s="74"/>
      <c r="V763" s="74"/>
      <c r="W763" s="74"/>
      <c r="X763" s="74"/>
      <c r="Y763" s="74"/>
      <c r="Z763" s="74"/>
      <c r="AA763" s="74"/>
      <c r="AB763" s="3"/>
      <c r="AC763" s="3"/>
      <c r="AD763" s="3"/>
    </row>
    <row r="764" spans="2:30" x14ac:dyDescent="0.2">
      <c r="B764" s="61"/>
      <c r="C764" s="74"/>
      <c r="D764" s="74"/>
      <c r="E764" s="74"/>
      <c r="F764" s="74"/>
      <c r="G764" s="74"/>
      <c r="H764" s="74"/>
      <c r="I764" s="74"/>
      <c r="J764" s="74"/>
      <c r="K764" s="74"/>
      <c r="L764" s="74"/>
      <c r="M764" s="74"/>
      <c r="N764" s="74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  <c r="Z764" s="74"/>
      <c r="AA764" s="74"/>
      <c r="AB764" s="3"/>
      <c r="AC764" s="3"/>
      <c r="AD764" s="3"/>
    </row>
    <row r="765" spans="2:30" x14ac:dyDescent="0.2">
      <c r="B765" s="61"/>
      <c r="C765" s="74"/>
      <c r="D765" s="74"/>
      <c r="E765" s="74"/>
      <c r="F765" s="74"/>
      <c r="G765" s="74"/>
      <c r="H765" s="74"/>
      <c r="I765" s="74"/>
      <c r="J765" s="74"/>
      <c r="K765" s="74"/>
      <c r="L765" s="74"/>
      <c r="M765" s="74"/>
      <c r="N765" s="74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  <c r="Z765" s="74"/>
      <c r="AA765" s="74"/>
      <c r="AB765" s="3"/>
      <c r="AC765" s="3"/>
      <c r="AD765" s="3"/>
    </row>
    <row r="766" spans="2:30" x14ac:dyDescent="0.2">
      <c r="B766" s="61"/>
      <c r="C766" s="74"/>
      <c r="D766" s="74"/>
      <c r="E766" s="74"/>
      <c r="F766" s="74"/>
      <c r="G766" s="74"/>
      <c r="H766" s="74"/>
      <c r="I766" s="74"/>
      <c r="J766" s="74"/>
      <c r="K766" s="74"/>
      <c r="L766" s="74"/>
      <c r="M766" s="74"/>
      <c r="N766" s="74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  <c r="Z766" s="74"/>
      <c r="AA766" s="74"/>
      <c r="AB766" s="3"/>
      <c r="AC766" s="3"/>
      <c r="AD766" s="3"/>
    </row>
    <row r="767" spans="2:30" x14ac:dyDescent="0.2">
      <c r="B767" s="61"/>
      <c r="C767" s="74"/>
      <c r="D767" s="74"/>
      <c r="E767" s="74"/>
      <c r="F767" s="74"/>
      <c r="G767" s="74"/>
      <c r="H767" s="74"/>
      <c r="I767" s="74"/>
      <c r="J767" s="74"/>
      <c r="K767" s="74"/>
      <c r="L767" s="74"/>
      <c r="M767" s="74"/>
      <c r="N767" s="74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  <c r="Z767" s="74"/>
      <c r="AA767" s="74"/>
      <c r="AB767" s="3"/>
      <c r="AC767" s="3"/>
      <c r="AD767" s="3"/>
    </row>
    <row r="768" spans="2:30" x14ac:dyDescent="0.2">
      <c r="B768" s="61"/>
      <c r="C768" s="74"/>
      <c r="D768" s="74"/>
      <c r="E768" s="74"/>
      <c r="F768" s="74"/>
      <c r="G768" s="74"/>
      <c r="H768" s="74"/>
      <c r="I768" s="74"/>
      <c r="J768" s="74"/>
      <c r="K768" s="74"/>
      <c r="L768" s="74"/>
      <c r="M768" s="74"/>
      <c r="N768" s="74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  <c r="AA768" s="74"/>
      <c r="AB768" s="3"/>
      <c r="AC768" s="3"/>
      <c r="AD768" s="3"/>
    </row>
    <row r="769" spans="2:30" x14ac:dyDescent="0.2">
      <c r="B769" s="61"/>
      <c r="C769" s="74"/>
      <c r="D769" s="74"/>
      <c r="E769" s="74"/>
      <c r="F769" s="74"/>
      <c r="G769" s="74"/>
      <c r="H769" s="74"/>
      <c r="I769" s="74"/>
      <c r="J769" s="74"/>
      <c r="K769" s="74"/>
      <c r="L769" s="74"/>
      <c r="M769" s="74"/>
      <c r="N769" s="74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  <c r="AA769" s="74"/>
      <c r="AB769" s="3"/>
      <c r="AC769" s="3"/>
      <c r="AD769" s="3"/>
    </row>
    <row r="770" spans="2:30" x14ac:dyDescent="0.2">
      <c r="B770" s="61"/>
      <c r="C770" s="74"/>
      <c r="D770" s="74"/>
      <c r="E770" s="74"/>
      <c r="F770" s="74"/>
      <c r="G770" s="74"/>
      <c r="H770" s="74"/>
      <c r="I770" s="74"/>
      <c r="J770" s="74"/>
      <c r="K770" s="74"/>
      <c r="L770" s="74"/>
      <c r="M770" s="74"/>
      <c r="N770" s="74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  <c r="AA770" s="74"/>
      <c r="AB770" s="3"/>
      <c r="AC770" s="3"/>
      <c r="AD770" s="3"/>
    </row>
    <row r="771" spans="2:30" x14ac:dyDescent="0.2">
      <c r="B771" s="61"/>
      <c r="C771" s="74"/>
      <c r="D771" s="74"/>
      <c r="E771" s="74"/>
      <c r="F771" s="74"/>
      <c r="G771" s="74"/>
      <c r="H771" s="74"/>
      <c r="I771" s="74"/>
      <c r="J771" s="74"/>
      <c r="K771" s="74"/>
      <c r="L771" s="74"/>
      <c r="M771" s="74"/>
      <c r="N771" s="74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  <c r="Z771" s="74"/>
      <c r="AA771" s="74"/>
      <c r="AB771" s="3"/>
      <c r="AC771" s="3"/>
      <c r="AD771" s="3"/>
    </row>
    <row r="772" spans="2:30" x14ac:dyDescent="0.2">
      <c r="B772" s="61"/>
      <c r="C772" s="74"/>
      <c r="D772" s="74"/>
      <c r="E772" s="74"/>
      <c r="F772" s="74"/>
      <c r="G772" s="74"/>
      <c r="H772" s="74"/>
      <c r="I772" s="74"/>
      <c r="J772" s="74"/>
      <c r="K772" s="74"/>
      <c r="L772" s="74"/>
      <c r="M772" s="74"/>
      <c r="N772" s="74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  <c r="Z772" s="74"/>
      <c r="AA772" s="74"/>
      <c r="AB772" s="3"/>
      <c r="AC772" s="3"/>
      <c r="AD772" s="3"/>
    </row>
    <row r="773" spans="2:30" x14ac:dyDescent="0.2">
      <c r="B773" s="61"/>
      <c r="C773" s="74"/>
      <c r="D773" s="74"/>
      <c r="E773" s="74"/>
      <c r="F773" s="74"/>
      <c r="G773" s="74"/>
      <c r="H773" s="74"/>
      <c r="I773" s="74"/>
      <c r="J773" s="74"/>
      <c r="K773" s="74"/>
      <c r="L773" s="74"/>
      <c r="M773" s="74"/>
      <c r="N773" s="74"/>
      <c r="O773" s="74"/>
      <c r="P773" s="74"/>
      <c r="Q773" s="74"/>
      <c r="R773" s="74"/>
      <c r="S773" s="74"/>
      <c r="T773" s="74"/>
      <c r="U773" s="74"/>
      <c r="V773" s="74"/>
      <c r="W773" s="74"/>
      <c r="X773" s="74"/>
      <c r="Y773" s="74"/>
      <c r="Z773" s="74"/>
      <c r="AA773" s="74"/>
      <c r="AB773" s="3"/>
      <c r="AC773" s="3"/>
      <c r="AD773" s="3"/>
    </row>
    <row r="774" spans="2:30" x14ac:dyDescent="0.2">
      <c r="B774" s="61"/>
      <c r="C774" s="74"/>
      <c r="D774" s="74"/>
      <c r="E774" s="74"/>
      <c r="F774" s="74"/>
      <c r="G774" s="74"/>
      <c r="H774" s="74"/>
      <c r="I774" s="74"/>
      <c r="J774" s="74"/>
      <c r="K774" s="74"/>
      <c r="L774" s="74"/>
      <c r="M774" s="74"/>
      <c r="N774" s="74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  <c r="Z774" s="74"/>
      <c r="AA774" s="74"/>
      <c r="AB774" s="3"/>
      <c r="AC774" s="3"/>
      <c r="AD774" s="3"/>
    </row>
    <row r="775" spans="2:30" x14ac:dyDescent="0.2">
      <c r="B775" s="61"/>
      <c r="C775" s="74"/>
      <c r="D775" s="74"/>
      <c r="E775" s="74"/>
      <c r="F775" s="74"/>
      <c r="G775" s="74"/>
      <c r="H775" s="74"/>
      <c r="I775" s="74"/>
      <c r="J775" s="74"/>
      <c r="K775" s="74"/>
      <c r="L775" s="74"/>
      <c r="M775" s="74"/>
      <c r="N775" s="74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  <c r="AA775" s="74"/>
      <c r="AB775" s="3"/>
      <c r="AC775" s="3"/>
      <c r="AD775" s="3"/>
    </row>
    <row r="776" spans="2:30" x14ac:dyDescent="0.2">
      <c r="B776" s="61"/>
      <c r="C776" s="74"/>
      <c r="D776" s="74"/>
      <c r="E776" s="74"/>
      <c r="F776" s="74"/>
      <c r="G776" s="74"/>
      <c r="H776" s="74"/>
      <c r="I776" s="74"/>
      <c r="J776" s="74"/>
      <c r="K776" s="74"/>
      <c r="L776" s="74"/>
      <c r="M776" s="74"/>
      <c r="N776" s="74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  <c r="Z776" s="74"/>
      <c r="AA776" s="74"/>
      <c r="AB776" s="3"/>
      <c r="AC776" s="3"/>
      <c r="AD776" s="3"/>
    </row>
    <row r="777" spans="2:30" x14ac:dyDescent="0.2">
      <c r="B777" s="61"/>
      <c r="C777" s="74"/>
      <c r="D777" s="74"/>
      <c r="E777" s="74"/>
      <c r="F777" s="74"/>
      <c r="G777" s="74"/>
      <c r="H777" s="74"/>
      <c r="I777" s="74"/>
      <c r="J777" s="74"/>
      <c r="K777" s="74"/>
      <c r="L777" s="74"/>
      <c r="M777" s="74"/>
      <c r="N777" s="74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/>
      <c r="AA777" s="74"/>
      <c r="AB777" s="3"/>
      <c r="AC777" s="3"/>
      <c r="AD777" s="3"/>
    </row>
    <row r="778" spans="2:30" x14ac:dyDescent="0.2">
      <c r="B778" s="61"/>
      <c r="C778" s="74"/>
      <c r="D778" s="74"/>
      <c r="E778" s="74"/>
      <c r="F778" s="74"/>
      <c r="G778" s="74"/>
      <c r="H778" s="74"/>
      <c r="I778" s="74"/>
      <c r="J778" s="74"/>
      <c r="K778" s="74"/>
      <c r="L778" s="74"/>
      <c r="M778" s="74"/>
      <c r="N778" s="74"/>
      <c r="O778" s="74"/>
      <c r="P778" s="74"/>
      <c r="Q778" s="74"/>
      <c r="R778" s="74"/>
      <c r="S778" s="74"/>
      <c r="T778" s="74"/>
      <c r="U778" s="74"/>
      <c r="V778" s="74"/>
      <c r="W778" s="74"/>
      <c r="X778" s="74"/>
      <c r="Y778" s="74"/>
      <c r="Z778" s="74"/>
      <c r="AA778" s="74"/>
      <c r="AB778" s="3"/>
      <c r="AC778" s="3"/>
      <c r="AD778" s="3"/>
    </row>
    <row r="779" spans="2:30" x14ac:dyDescent="0.2">
      <c r="B779" s="61"/>
      <c r="C779" s="74"/>
      <c r="D779" s="74"/>
      <c r="E779" s="74"/>
      <c r="F779" s="74"/>
      <c r="G779" s="74"/>
      <c r="H779" s="74"/>
      <c r="I779" s="74"/>
      <c r="J779" s="74"/>
      <c r="K779" s="74"/>
      <c r="L779" s="74"/>
      <c r="M779" s="74"/>
      <c r="N779" s="74"/>
      <c r="O779" s="74"/>
      <c r="P779" s="74"/>
      <c r="Q779" s="74"/>
      <c r="R779" s="74"/>
      <c r="S779" s="74"/>
      <c r="T779" s="74"/>
      <c r="U779" s="74"/>
      <c r="V779" s="74"/>
      <c r="W779" s="74"/>
      <c r="X779" s="74"/>
      <c r="Y779" s="74"/>
      <c r="Z779" s="74"/>
      <c r="AA779" s="74"/>
      <c r="AB779" s="3"/>
      <c r="AC779" s="3"/>
      <c r="AD779" s="3"/>
    </row>
    <row r="780" spans="2:30" x14ac:dyDescent="0.2">
      <c r="B780" s="61"/>
      <c r="C780" s="74"/>
      <c r="D780" s="74"/>
      <c r="E780" s="74"/>
      <c r="F780" s="74"/>
      <c r="G780" s="74"/>
      <c r="H780" s="74"/>
      <c r="I780" s="74"/>
      <c r="J780" s="74"/>
      <c r="K780" s="74"/>
      <c r="L780" s="74"/>
      <c r="M780" s="74"/>
      <c r="N780" s="74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  <c r="AA780" s="74"/>
      <c r="AB780" s="3"/>
      <c r="AC780" s="3"/>
      <c r="AD780" s="3"/>
    </row>
    <row r="781" spans="2:30" x14ac:dyDescent="0.2">
      <c r="B781" s="61"/>
      <c r="C781" s="74"/>
      <c r="D781" s="74"/>
      <c r="E781" s="74"/>
      <c r="F781" s="74"/>
      <c r="G781" s="74"/>
      <c r="H781" s="74"/>
      <c r="I781" s="74"/>
      <c r="J781" s="74"/>
      <c r="K781" s="74"/>
      <c r="L781" s="74"/>
      <c r="M781" s="74"/>
      <c r="N781" s="74"/>
      <c r="O781" s="74"/>
      <c r="P781" s="74"/>
      <c r="Q781" s="74"/>
      <c r="R781" s="74"/>
      <c r="S781" s="74"/>
      <c r="T781" s="74"/>
      <c r="U781" s="74"/>
      <c r="V781" s="74"/>
      <c r="W781" s="74"/>
      <c r="X781" s="74"/>
      <c r="Y781" s="74"/>
      <c r="Z781" s="74"/>
      <c r="AA781" s="74"/>
      <c r="AB781" s="3"/>
      <c r="AC781" s="3"/>
      <c r="AD781" s="3"/>
    </row>
    <row r="782" spans="2:30" x14ac:dyDescent="0.2">
      <c r="B782" s="61"/>
      <c r="C782" s="74"/>
      <c r="D782" s="74"/>
      <c r="E782" s="74"/>
      <c r="F782" s="74"/>
      <c r="G782" s="74"/>
      <c r="H782" s="74"/>
      <c r="I782" s="74"/>
      <c r="J782" s="74"/>
      <c r="K782" s="74"/>
      <c r="L782" s="74"/>
      <c r="M782" s="74"/>
      <c r="N782" s="74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  <c r="Z782" s="74"/>
      <c r="AA782" s="74"/>
      <c r="AB782" s="3"/>
      <c r="AC782" s="3"/>
      <c r="AD782" s="3"/>
    </row>
    <row r="783" spans="2:30" x14ac:dyDescent="0.2">
      <c r="B783" s="61"/>
      <c r="C783" s="74"/>
      <c r="D783" s="74"/>
      <c r="E783" s="74"/>
      <c r="F783" s="74"/>
      <c r="G783" s="74"/>
      <c r="H783" s="74"/>
      <c r="I783" s="74"/>
      <c r="J783" s="74"/>
      <c r="K783" s="74"/>
      <c r="L783" s="74"/>
      <c r="M783" s="74"/>
      <c r="N783" s="74"/>
      <c r="O783" s="74"/>
      <c r="P783" s="74"/>
      <c r="Q783" s="74"/>
      <c r="R783" s="74"/>
      <c r="S783" s="74"/>
      <c r="T783" s="74"/>
      <c r="U783" s="74"/>
      <c r="V783" s="74"/>
      <c r="W783" s="74"/>
      <c r="X783" s="74"/>
      <c r="Y783" s="74"/>
      <c r="Z783" s="74"/>
      <c r="AA783" s="74"/>
      <c r="AB783" s="3"/>
      <c r="AC783" s="3"/>
      <c r="AD783" s="3"/>
    </row>
    <row r="784" spans="2:30" x14ac:dyDescent="0.2">
      <c r="B784" s="61"/>
      <c r="C784" s="74"/>
      <c r="D784" s="74"/>
      <c r="E784" s="74"/>
      <c r="F784" s="74"/>
      <c r="G784" s="74"/>
      <c r="H784" s="74"/>
      <c r="I784" s="74"/>
      <c r="J784" s="74"/>
      <c r="K784" s="74"/>
      <c r="L784" s="74"/>
      <c r="M784" s="74"/>
      <c r="N784" s="74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  <c r="Z784" s="74"/>
      <c r="AA784" s="74"/>
      <c r="AB784" s="3"/>
      <c r="AC784" s="3"/>
      <c r="AD784" s="3"/>
    </row>
    <row r="785" spans="2:30" x14ac:dyDescent="0.2">
      <c r="B785" s="61"/>
      <c r="C785" s="74"/>
      <c r="D785" s="74"/>
      <c r="E785" s="74"/>
      <c r="F785" s="74"/>
      <c r="G785" s="74"/>
      <c r="H785" s="74"/>
      <c r="I785" s="74"/>
      <c r="J785" s="74"/>
      <c r="K785" s="74"/>
      <c r="L785" s="74"/>
      <c r="M785" s="74"/>
      <c r="N785" s="74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  <c r="AA785" s="74"/>
      <c r="AB785" s="3"/>
      <c r="AC785" s="3"/>
      <c r="AD785" s="3"/>
    </row>
    <row r="786" spans="2:30" x14ac:dyDescent="0.2">
      <c r="B786" s="61"/>
      <c r="C786" s="74"/>
      <c r="D786" s="74"/>
      <c r="E786" s="74"/>
      <c r="F786" s="74"/>
      <c r="G786" s="74"/>
      <c r="H786" s="74"/>
      <c r="I786" s="74"/>
      <c r="J786" s="74"/>
      <c r="K786" s="74"/>
      <c r="L786" s="74"/>
      <c r="M786" s="74"/>
      <c r="N786" s="74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  <c r="Z786" s="74"/>
      <c r="AA786" s="74"/>
      <c r="AB786" s="3"/>
      <c r="AC786" s="3"/>
      <c r="AD786" s="3"/>
    </row>
    <row r="787" spans="2:30" x14ac:dyDescent="0.2">
      <c r="B787" s="61"/>
      <c r="C787" s="74"/>
      <c r="D787" s="74"/>
      <c r="E787" s="74"/>
      <c r="F787" s="74"/>
      <c r="G787" s="74"/>
      <c r="H787" s="74"/>
      <c r="I787" s="74"/>
      <c r="J787" s="74"/>
      <c r="K787" s="74"/>
      <c r="L787" s="74"/>
      <c r="M787" s="74"/>
      <c r="N787" s="74"/>
      <c r="O787" s="74"/>
      <c r="P787" s="74"/>
      <c r="Q787" s="74"/>
      <c r="R787" s="74"/>
      <c r="S787" s="74"/>
      <c r="T787" s="74"/>
      <c r="U787" s="74"/>
      <c r="V787" s="74"/>
      <c r="W787" s="74"/>
      <c r="X787" s="74"/>
      <c r="Y787" s="74"/>
      <c r="Z787" s="74"/>
      <c r="AA787" s="74"/>
      <c r="AB787" s="3"/>
      <c r="AC787" s="3"/>
      <c r="AD787" s="3"/>
    </row>
    <row r="788" spans="2:30" x14ac:dyDescent="0.2">
      <c r="B788" s="61"/>
      <c r="C788" s="74"/>
      <c r="D788" s="74"/>
      <c r="E788" s="74"/>
      <c r="F788" s="74"/>
      <c r="G788" s="74"/>
      <c r="H788" s="74"/>
      <c r="I788" s="74"/>
      <c r="J788" s="74"/>
      <c r="K788" s="74"/>
      <c r="L788" s="74"/>
      <c r="M788" s="74"/>
      <c r="N788" s="74"/>
      <c r="O788" s="74"/>
      <c r="P788" s="74"/>
      <c r="Q788" s="74"/>
      <c r="R788" s="74"/>
      <c r="S788" s="74"/>
      <c r="T788" s="74"/>
      <c r="U788" s="74"/>
      <c r="V788" s="74"/>
      <c r="W788" s="74"/>
      <c r="X788" s="74"/>
      <c r="Y788" s="74"/>
      <c r="Z788" s="74"/>
      <c r="AA788" s="74"/>
      <c r="AB788" s="3"/>
      <c r="AC788" s="3"/>
      <c r="AD788" s="3"/>
    </row>
    <row r="789" spans="2:30" x14ac:dyDescent="0.2">
      <c r="B789" s="61"/>
      <c r="C789" s="74"/>
      <c r="D789" s="74"/>
      <c r="E789" s="74"/>
      <c r="F789" s="74"/>
      <c r="G789" s="74"/>
      <c r="H789" s="74"/>
      <c r="I789" s="74"/>
      <c r="J789" s="74"/>
      <c r="K789" s="74"/>
      <c r="L789" s="74"/>
      <c r="M789" s="74"/>
      <c r="N789" s="74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  <c r="Z789" s="74"/>
      <c r="AA789" s="74"/>
      <c r="AB789" s="3"/>
      <c r="AC789" s="3"/>
      <c r="AD789" s="3"/>
    </row>
    <row r="790" spans="2:30" x14ac:dyDescent="0.2">
      <c r="B790" s="61"/>
      <c r="C790" s="74"/>
      <c r="D790" s="74"/>
      <c r="E790" s="74"/>
      <c r="F790" s="74"/>
      <c r="G790" s="74"/>
      <c r="H790" s="74"/>
      <c r="I790" s="74"/>
      <c r="J790" s="74"/>
      <c r="K790" s="74"/>
      <c r="L790" s="74"/>
      <c r="M790" s="74"/>
      <c r="N790" s="74"/>
      <c r="O790" s="74"/>
      <c r="P790" s="74"/>
      <c r="Q790" s="74"/>
      <c r="R790" s="74"/>
      <c r="S790" s="74"/>
      <c r="T790" s="74"/>
      <c r="U790" s="74"/>
      <c r="V790" s="74"/>
      <c r="W790" s="74"/>
      <c r="X790" s="74"/>
      <c r="Y790" s="74"/>
      <c r="Z790" s="74"/>
      <c r="AA790" s="74"/>
      <c r="AB790" s="3"/>
      <c r="AC790" s="3"/>
      <c r="AD790" s="3"/>
    </row>
    <row r="791" spans="2:30" x14ac:dyDescent="0.2">
      <c r="B791" s="61"/>
      <c r="C791" s="74"/>
      <c r="D791" s="74"/>
      <c r="E791" s="74"/>
      <c r="F791" s="74"/>
      <c r="G791" s="74"/>
      <c r="H791" s="74"/>
      <c r="I791" s="74"/>
      <c r="J791" s="74"/>
      <c r="K791" s="74"/>
      <c r="L791" s="74"/>
      <c r="M791" s="74"/>
      <c r="N791" s="74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  <c r="Z791" s="74"/>
      <c r="AA791" s="74"/>
      <c r="AB791" s="3"/>
      <c r="AC791" s="3"/>
      <c r="AD791" s="3"/>
    </row>
    <row r="792" spans="2:30" x14ac:dyDescent="0.2">
      <c r="B792" s="61"/>
      <c r="C792" s="74"/>
      <c r="D792" s="74"/>
      <c r="E792" s="74"/>
      <c r="F792" s="74"/>
      <c r="G792" s="74"/>
      <c r="H792" s="74"/>
      <c r="I792" s="74"/>
      <c r="J792" s="74"/>
      <c r="K792" s="74"/>
      <c r="L792" s="74"/>
      <c r="M792" s="74"/>
      <c r="N792" s="74"/>
      <c r="O792" s="74"/>
      <c r="P792" s="74"/>
      <c r="Q792" s="74"/>
      <c r="R792" s="74"/>
      <c r="S792" s="74"/>
      <c r="T792" s="74"/>
      <c r="U792" s="74"/>
      <c r="V792" s="74"/>
      <c r="W792" s="74"/>
      <c r="X792" s="74"/>
      <c r="Y792" s="74"/>
      <c r="Z792" s="74"/>
      <c r="AA792" s="74"/>
      <c r="AB792" s="3"/>
      <c r="AC792" s="3"/>
      <c r="AD792" s="3"/>
    </row>
    <row r="793" spans="2:30" x14ac:dyDescent="0.2">
      <c r="B793" s="61"/>
      <c r="C793" s="74"/>
      <c r="D793" s="74"/>
      <c r="E793" s="74"/>
      <c r="F793" s="74"/>
      <c r="G793" s="74"/>
      <c r="H793" s="74"/>
      <c r="I793" s="74"/>
      <c r="J793" s="74"/>
      <c r="K793" s="74"/>
      <c r="L793" s="74"/>
      <c r="M793" s="74"/>
      <c r="N793" s="74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  <c r="Z793" s="74"/>
      <c r="AA793" s="74"/>
      <c r="AB793" s="3"/>
      <c r="AC793" s="3"/>
      <c r="AD793" s="3"/>
    </row>
    <row r="794" spans="2:30" x14ac:dyDescent="0.2">
      <c r="B794" s="61"/>
      <c r="C794" s="74"/>
      <c r="D794" s="74"/>
      <c r="E794" s="74"/>
      <c r="F794" s="74"/>
      <c r="G794" s="74"/>
      <c r="H794" s="74"/>
      <c r="I794" s="74"/>
      <c r="J794" s="74"/>
      <c r="K794" s="74"/>
      <c r="L794" s="74"/>
      <c r="M794" s="74"/>
      <c r="N794" s="74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  <c r="Z794" s="74"/>
      <c r="AA794" s="74"/>
      <c r="AB794" s="3"/>
      <c r="AC794" s="3"/>
      <c r="AD794" s="3"/>
    </row>
    <row r="795" spans="2:30" x14ac:dyDescent="0.2">
      <c r="B795" s="61"/>
      <c r="C795" s="74"/>
      <c r="D795" s="74"/>
      <c r="E795" s="74"/>
      <c r="F795" s="74"/>
      <c r="G795" s="74"/>
      <c r="H795" s="74"/>
      <c r="I795" s="74"/>
      <c r="J795" s="74"/>
      <c r="K795" s="74"/>
      <c r="L795" s="74"/>
      <c r="M795" s="74"/>
      <c r="N795" s="74"/>
      <c r="O795" s="74"/>
      <c r="P795" s="74"/>
      <c r="Q795" s="74"/>
      <c r="R795" s="74"/>
      <c r="S795" s="74"/>
      <c r="T795" s="74"/>
      <c r="U795" s="74"/>
      <c r="V795" s="74"/>
      <c r="W795" s="74"/>
      <c r="X795" s="74"/>
      <c r="Y795" s="74"/>
      <c r="Z795" s="74"/>
      <c r="AA795" s="74"/>
      <c r="AB795" s="3"/>
      <c r="AC795" s="3"/>
      <c r="AD795" s="3"/>
    </row>
    <row r="796" spans="2:30" x14ac:dyDescent="0.2">
      <c r="B796" s="61"/>
      <c r="C796" s="74"/>
      <c r="D796" s="74"/>
      <c r="E796" s="74"/>
      <c r="F796" s="74"/>
      <c r="G796" s="74"/>
      <c r="H796" s="74"/>
      <c r="I796" s="74"/>
      <c r="J796" s="74"/>
      <c r="K796" s="74"/>
      <c r="L796" s="74"/>
      <c r="M796" s="74"/>
      <c r="N796" s="74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  <c r="Z796" s="74"/>
      <c r="AA796" s="74"/>
      <c r="AB796" s="3"/>
      <c r="AC796" s="3"/>
      <c r="AD796" s="3"/>
    </row>
    <row r="797" spans="2:30" x14ac:dyDescent="0.2">
      <c r="B797" s="61"/>
      <c r="C797" s="74"/>
      <c r="D797" s="74"/>
      <c r="E797" s="74"/>
      <c r="F797" s="74"/>
      <c r="G797" s="74"/>
      <c r="H797" s="74"/>
      <c r="I797" s="74"/>
      <c r="J797" s="74"/>
      <c r="K797" s="74"/>
      <c r="L797" s="74"/>
      <c r="M797" s="74"/>
      <c r="N797" s="74"/>
      <c r="O797" s="74"/>
      <c r="P797" s="74"/>
      <c r="Q797" s="74"/>
      <c r="R797" s="74"/>
      <c r="S797" s="74"/>
      <c r="T797" s="74"/>
      <c r="U797" s="74"/>
      <c r="V797" s="74"/>
      <c r="W797" s="74"/>
      <c r="X797" s="74"/>
      <c r="Y797" s="74"/>
      <c r="Z797" s="74"/>
      <c r="AA797" s="74"/>
      <c r="AB797" s="3"/>
      <c r="AC797" s="3"/>
      <c r="AD797" s="3"/>
    </row>
    <row r="798" spans="2:30" x14ac:dyDescent="0.2">
      <c r="B798" s="61"/>
      <c r="C798" s="74"/>
      <c r="D798" s="74"/>
      <c r="E798" s="74"/>
      <c r="F798" s="74"/>
      <c r="G798" s="74"/>
      <c r="H798" s="74"/>
      <c r="I798" s="74"/>
      <c r="J798" s="74"/>
      <c r="K798" s="74"/>
      <c r="L798" s="74"/>
      <c r="M798" s="74"/>
      <c r="N798" s="74"/>
      <c r="O798" s="74"/>
      <c r="P798" s="74"/>
      <c r="Q798" s="74"/>
      <c r="R798" s="74"/>
      <c r="S798" s="74"/>
      <c r="T798" s="74"/>
      <c r="U798" s="74"/>
      <c r="V798" s="74"/>
      <c r="W798" s="74"/>
      <c r="X798" s="74"/>
      <c r="Y798" s="74"/>
      <c r="Z798" s="74"/>
      <c r="AA798" s="74"/>
      <c r="AB798" s="3"/>
      <c r="AC798" s="3"/>
      <c r="AD798" s="3"/>
    </row>
    <row r="799" spans="2:30" x14ac:dyDescent="0.2">
      <c r="B799" s="61"/>
      <c r="C799" s="74"/>
      <c r="D799" s="74"/>
      <c r="E799" s="74"/>
      <c r="F799" s="74"/>
      <c r="G799" s="74"/>
      <c r="H799" s="74"/>
      <c r="I799" s="74"/>
      <c r="J799" s="74"/>
      <c r="K799" s="74"/>
      <c r="L799" s="74"/>
      <c r="M799" s="74"/>
      <c r="N799" s="74"/>
      <c r="O799" s="74"/>
      <c r="P799" s="74"/>
      <c r="Q799" s="74"/>
      <c r="R799" s="74"/>
      <c r="S799" s="74"/>
      <c r="T799" s="74"/>
      <c r="U799" s="74"/>
      <c r="V799" s="74"/>
      <c r="W799" s="74"/>
      <c r="X799" s="74"/>
      <c r="Y799" s="74"/>
      <c r="Z799" s="74"/>
      <c r="AA799" s="74"/>
      <c r="AB799" s="3"/>
      <c r="AC799" s="3"/>
      <c r="AD799" s="3"/>
    </row>
    <row r="800" spans="2:30" x14ac:dyDescent="0.2">
      <c r="B800" s="61"/>
      <c r="C800" s="74"/>
      <c r="D800" s="74"/>
      <c r="E800" s="74"/>
      <c r="F800" s="74"/>
      <c r="G800" s="74"/>
      <c r="H800" s="74"/>
      <c r="I800" s="74"/>
      <c r="J800" s="74"/>
      <c r="K800" s="74"/>
      <c r="L800" s="74"/>
      <c r="M800" s="74"/>
      <c r="N800" s="74"/>
      <c r="O800" s="74"/>
      <c r="P800" s="74"/>
      <c r="Q800" s="74"/>
      <c r="R800" s="74"/>
      <c r="S800" s="74"/>
      <c r="T800" s="74"/>
      <c r="U800" s="74"/>
      <c r="V800" s="74"/>
      <c r="W800" s="74"/>
      <c r="X800" s="74"/>
      <c r="Y800" s="74"/>
      <c r="Z800" s="74"/>
      <c r="AA800" s="74"/>
      <c r="AB800" s="3"/>
      <c r="AC800" s="3"/>
      <c r="AD800" s="3"/>
    </row>
    <row r="801" spans="2:30" x14ac:dyDescent="0.2">
      <c r="B801" s="61"/>
      <c r="C801" s="74"/>
      <c r="D801" s="74"/>
      <c r="E801" s="74"/>
      <c r="F801" s="74"/>
      <c r="G801" s="74"/>
      <c r="H801" s="74"/>
      <c r="I801" s="74"/>
      <c r="J801" s="74"/>
      <c r="K801" s="74"/>
      <c r="L801" s="74"/>
      <c r="M801" s="74"/>
      <c r="N801" s="74"/>
      <c r="O801" s="74"/>
      <c r="P801" s="74"/>
      <c r="Q801" s="74"/>
      <c r="R801" s="74"/>
      <c r="S801" s="74"/>
      <c r="T801" s="74"/>
      <c r="U801" s="74"/>
      <c r="V801" s="74"/>
      <c r="W801" s="74"/>
      <c r="X801" s="74"/>
      <c r="Y801" s="74"/>
      <c r="Z801" s="74"/>
      <c r="AA801" s="74"/>
      <c r="AB801" s="3"/>
      <c r="AC801" s="3"/>
      <c r="AD801" s="3"/>
    </row>
    <row r="802" spans="2:30" x14ac:dyDescent="0.2">
      <c r="B802" s="61"/>
      <c r="C802" s="74"/>
      <c r="D802" s="74"/>
      <c r="E802" s="74"/>
      <c r="F802" s="74"/>
      <c r="G802" s="74"/>
      <c r="H802" s="74"/>
      <c r="I802" s="74"/>
      <c r="J802" s="74"/>
      <c r="K802" s="74"/>
      <c r="L802" s="74"/>
      <c r="M802" s="74"/>
      <c r="N802" s="74"/>
      <c r="O802" s="74"/>
      <c r="P802" s="74"/>
      <c r="Q802" s="74"/>
      <c r="R802" s="74"/>
      <c r="S802" s="74"/>
      <c r="T802" s="74"/>
      <c r="U802" s="74"/>
      <c r="V802" s="74"/>
      <c r="W802" s="74"/>
      <c r="X802" s="74"/>
      <c r="Y802" s="74"/>
      <c r="Z802" s="74"/>
      <c r="AA802" s="74"/>
      <c r="AB802" s="3"/>
      <c r="AC802" s="3"/>
      <c r="AD802" s="3"/>
    </row>
    <row r="803" spans="2:30" x14ac:dyDescent="0.2">
      <c r="B803" s="61"/>
      <c r="C803" s="74"/>
      <c r="D803" s="74"/>
      <c r="E803" s="74"/>
      <c r="F803" s="74"/>
      <c r="G803" s="74"/>
      <c r="H803" s="74"/>
      <c r="I803" s="74"/>
      <c r="J803" s="74"/>
      <c r="K803" s="74"/>
      <c r="L803" s="74"/>
      <c r="M803" s="74"/>
      <c r="N803" s="74"/>
      <c r="O803" s="74"/>
      <c r="P803" s="74"/>
      <c r="Q803" s="74"/>
      <c r="R803" s="74"/>
      <c r="S803" s="74"/>
      <c r="T803" s="74"/>
      <c r="U803" s="74"/>
      <c r="V803" s="74"/>
      <c r="W803" s="74"/>
      <c r="X803" s="74"/>
      <c r="Y803" s="74"/>
      <c r="Z803" s="74"/>
      <c r="AA803" s="74"/>
      <c r="AB803" s="3"/>
      <c r="AC803" s="3"/>
      <c r="AD803" s="3"/>
    </row>
    <row r="804" spans="2:30" x14ac:dyDescent="0.2">
      <c r="B804" s="61"/>
      <c r="C804" s="74"/>
      <c r="D804" s="74"/>
      <c r="E804" s="74"/>
      <c r="F804" s="74"/>
      <c r="G804" s="74"/>
      <c r="H804" s="74"/>
      <c r="I804" s="74"/>
      <c r="J804" s="74"/>
      <c r="K804" s="74"/>
      <c r="L804" s="74"/>
      <c r="M804" s="74"/>
      <c r="N804" s="74"/>
      <c r="O804" s="74"/>
      <c r="P804" s="74"/>
      <c r="Q804" s="74"/>
      <c r="R804" s="74"/>
      <c r="S804" s="74"/>
      <c r="T804" s="74"/>
      <c r="U804" s="74"/>
      <c r="V804" s="74"/>
      <c r="W804" s="74"/>
      <c r="X804" s="74"/>
      <c r="Y804" s="74"/>
      <c r="Z804" s="74"/>
      <c r="AA804" s="74"/>
      <c r="AB804" s="3"/>
      <c r="AC804" s="3"/>
      <c r="AD804" s="3"/>
    </row>
    <row r="805" spans="2:30" x14ac:dyDescent="0.2">
      <c r="B805" s="61"/>
      <c r="C805" s="74"/>
      <c r="D805" s="74"/>
      <c r="E805" s="74"/>
      <c r="F805" s="74"/>
      <c r="G805" s="74"/>
      <c r="H805" s="74"/>
      <c r="I805" s="74"/>
      <c r="J805" s="74"/>
      <c r="K805" s="74"/>
      <c r="L805" s="74"/>
      <c r="M805" s="74"/>
      <c r="N805" s="74"/>
      <c r="O805" s="74"/>
      <c r="P805" s="74"/>
      <c r="Q805" s="74"/>
      <c r="R805" s="74"/>
      <c r="S805" s="74"/>
      <c r="T805" s="74"/>
      <c r="U805" s="74"/>
      <c r="V805" s="74"/>
      <c r="W805" s="74"/>
      <c r="X805" s="74"/>
      <c r="Y805" s="74"/>
      <c r="Z805" s="74"/>
      <c r="AA805" s="74"/>
      <c r="AB805" s="3"/>
      <c r="AC805" s="3"/>
      <c r="AD805" s="3"/>
    </row>
    <row r="806" spans="2:30" x14ac:dyDescent="0.2">
      <c r="B806" s="61"/>
      <c r="C806" s="74"/>
      <c r="D806" s="74"/>
      <c r="E806" s="74"/>
      <c r="F806" s="74"/>
      <c r="G806" s="74"/>
      <c r="H806" s="74"/>
      <c r="I806" s="74"/>
      <c r="J806" s="74"/>
      <c r="K806" s="74"/>
      <c r="L806" s="74"/>
      <c r="M806" s="74"/>
      <c r="N806" s="74"/>
      <c r="O806" s="74"/>
      <c r="P806" s="74"/>
      <c r="Q806" s="74"/>
      <c r="R806" s="74"/>
      <c r="S806" s="74"/>
      <c r="T806" s="74"/>
      <c r="U806" s="74"/>
      <c r="V806" s="74"/>
      <c r="W806" s="74"/>
      <c r="X806" s="74"/>
      <c r="Y806" s="74"/>
      <c r="Z806" s="74"/>
      <c r="AA806" s="74"/>
      <c r="AB806" s="3"/>
      <c r="AC806" s="3"/>
      <c r="AD806" s="3"/>
    </row>
    <row r="807" spans="2:30" x14ac:dyDescent="0.2">
      <c r="B807" s="61"/>
      <c r="C807" s="74"/>
      <c r="D807" s="74"/>
      <c r="E807" s="74"/>
      <c r="F807" s="74"/>
      <c r="G807" s="74"/>
      <c r="H807" s="74"/>
      <c r="I807" s="74"/>
      <c r="J807" s="74"/>
      <c r="K807" s="74"/>
      <c r="L807" s="74"/>
      <c r="M807" s="74"/>
      <c r="N807" s="74"/>
      <c r="O807" s="74"/>
      <c r="P807" s="74"/>
      <c r="Q807" s="74"/>
      <c r="R807" s="74"/>
      <c r="S807" s="74"/>
      <c r="T807" s="74"/>
      <c r="U807" s="74"/>
      <c r="V807" s="74"/>
      <c r="W807" s="74"/>
      <c r="X807" s="74"/>
      <c r="Y807" s="74"/>
      <c r="Z807" s="74"/>
      <c r="AA807" s="74"/>
      <c r="AB807" s="3"/>
      <c r="AC807" s="3"/>
      <c r="AD807" s="3"/>
    </row>
    <row r="808" spans="2:30" x14ac:dyDescent="0.2">
      <c r="B808" s="61"/>
      <c r="C808" s="74"/>
      <c r="D808" s="74"/>
      <c r="E808" s="74"/>
      <c r="F808" s="74"/>
      <c r="G808" s="74"/>
      <c r="H808" s="74"/>
      <c r="I808" s="74"/>
      <c r="J808" s="74"/>
      <c r="K808" s="74"/>
      <c r="L808" s="74"/>
      <c r="M808" s="74"/>
      <c r="N808" s="74"/>
      <c r="O808" s="74"/>
      <c r="P808" s="74"/>
      <c r="Q808" s="74"/>
      <c r="R808" s="74"/>
      <c r="S808" s="74"/>
      <c r="T808" s="74"/>
      <c r="U808" s="74"/>
      <c r="V808" s="74"/>
      <c r="W808" s="74"/>
      <c r="X808" s="74"/>
      <c r="Y808" s="74"/>
      <c r="Z808" s="74"/>
      <c r="AA808" s="74"/>
      <c r="AB808" s="3"/>
      <c r="AC808" s="3"/>
      <c r="AD808" s="3"/>
    </row>
    <row r="809" spans="2:30" x14ac:dyDescent="0.2">
      <c r="B809" s="61"/>
      <c r="C809" s="74"/>
      <c r="D809" s="74"/>
      <c r="E809" s="74"/>
      <c r="F809" s="74"/>
      <c r="G809" s="74"/>
      <c r="H809" s="74"/>
      <c r="I809" s="74"/>
      <c r="J809" s="74"/>
      <c r="K809" s="74"/>
      <c r="L809" s="74"/>
      <c r="M809" s="74"/>
      <c r="N809" s="74"/>
      <c r="O809" s="74"/>
      <c r="P809" s="74"/>
      <c r="Q809" s="74"/>
      <c r="R809" s="74"/>
      <c r="S809" s="74"/>
      <c r="T809" s="74"/>
      <c r="U809" s="74"/>
      <c r="V809" s="74"/>
      <c r="W809" s="74"/>
      <c r="X809" s="74"/>
      <c r="Y809" s="74"/>
      <c r="Z809" s="74"/>
      <c r="AA809" s="74"/>
      <c r="AB809" s="3"/>
      <c r="AC809" s="3"/>
      <c r="AD809" s="3"/>
    </row>
    <row r="810" spans="2:30" x14ac:dyDescent="0.2">
      <c r="B810" s="61"/>
      <c r="C810" s="74"/>
      <c r="D810" s="74"/>
      <c r="E810" s="74"/>
      <c r="F810" s="74"/>
      <c r="G810" s="74"/>
      <c r="H810" s="74"/>
      <c r="I810" s="74"/>
      <c r="J810" s="74"/>
      <c r="K810" s="74"/>
      <c r="L810" s="74"/>
      <c r="M810" s="74"/>
      <c r="N810" s="74"/>
      <c r="O810" s="74"/>
      <c r="P810" s="74"/>
      <c r="Q810" s="74"/>
      <c r="R810" s="74"/>
      <c r="S810" s="74"/>
      <c r="T810" s="74"/>
      <c r="U810" s="74"/>
      <c r="V810" s="74"/>
      <c r="W810" s="74"/>
      <c r="X810" s="74"/>
      <c r="Y810" s="74"/>
      <c r="Z810" s="74"/>
      <c r="AA810" s="74"/>
      <c r="AB810" s="3"/>
      <c r="AC810" s="3"/>
      <c r="AD810" s="3"/>
    </row>
    <row r="811" spans="2:30" x14ac:dyDescent="0.2">
      <c r="B811" s="61"/>
      <c r="C811" s="74"/>
      <c r="D811" s="74"/>
      <c r="E811" s="74"/>
      <c r="F811" s="74"/>
      <c r="G811" s="74"/>
      <c r="H811" s="74"/>
      <c r="I811" s="74"/>
      <c r="J811" s="74"/>
      <c r="K811" s="74"/>
      <c r="L811" s="74"/>
      <c r="M811" s="74"/>
      <c r="N811" s="74"/>
      <c r="O811" s="74"/>
      <c r="P811" s="74"/>
      <c r="Q811" s="74"/>
      <c r="R811" s="74"/>
      <c r="S811" s="74"/>
      <c r="T811" s="74"/>
      <c r="U811" s="74"/>
      <c r="V811" s="74"/>
      <c r="W811" s="74"/>
      <c r="X811" s="74"/>
      <c r="Y811" s="74"/>
      <c r="Z811" s="74"/>
      <c r="AA811" s="74"/>
      <c r="AB811" s="3"/>
      <c r="AC811" s="3"/>
      <c r="AD811" s="3"/>
    </row>
    <row r="812" spans="2:30" x14ac:dyDescent="0.2">
      <c r="B812" s="61"/>
      <c r="C812" s="74"/>
      <c r="D812" s="74"/>
      <c r="E812" s="74"/>
      <c r="F812" s="74"/>
      <c r="G812" s="74"/>
      <c r="H812" s="74"/>
      <c r="I812" s="74"/>
      <c r="J812" s="74"/>
      <c r="K812" s="74"/>
      <c r="L812" s="74"/>
      <c r="M812" s="74"/>
      <c r="N812" s="74"/>
      <c r="O812" s="74"/>
      <c r="P812" s="74"/>
      <c r="Q812" s="74"/>
      <c r="R812" s="74"/>
      <c r="S812" s="74"/>
      <c r="T812" s="74"/>
      <c r="U812" s="74"/>
      <c r="V812" s="74"/>
      <c r="W812" s="74"/>
      <c r="X812" s="74"/>
      <c r="Y812" s="74"/>
      <c r="Z812" s="74"/>
      <c r="AA812" s="74"/>
      <c r="AB812" s="3"/>
      <c r="AC812" s="3"/>
      <c r="AD812" s="3"/>
    </row>
    <row r="813" spans="2:30" x14ac:dyDescent="0.2">
      <c r="B813" s="61"/>
      <c r="C813" s="74"/>
      <c r="D813" s="74"/>
      <c r="E813" s="74"/>
      <c r="F813" s="74"/>
      <c r="G813" s="74"/>
      <c r="H813" s="74"/>
      <c r="I813" s="74"/>
      <c r="J813" s="74"/>
      <c r="K813" s="74"/>
      <c r="L813" s="74"/>
      <c r="M813" s="74"/>
      <c r="N813" s="74"/>
      <c r="O813" s="74"/>
      <c r="P813" s="74"/>
      <c r="Q813" s="74"/>
      <c r="R813" s="74"/>
      <c r="S813" s="74"/>
      <c r="T813" s="74"/>
      <c r="U813" s="74"/>
      <c r="V813" s="74"/>
      <c r="W813" s="74"/>
      <c r="X813" s="74"/>
      <c r="Y813" s="74"/>
      <c r="Z813" s="74"/>
      <c r="AA813" s="74"/>
      <c r="AB813" s="3"/>
      <c r="AC813" s="3"/>
      <c r="AD813" s="3"/>
    </row>
    <row r="814" spans="2:30" x14ac:dyDescent="0.2">
      <c r="B814" s="61"/>
      <c r="C814" s="74"/>
      <c r="D814" s="74"/>
      <c r="E814" s="74"/>
      <c r="F814" s="74"/>
      <c r="G814" s="74"/>
      <c r="H814" s="74"/>
      <c r="I814" s="74"/>
      <c r="J814" s="74"/>
      <c r="K814" s="74"/>
      <c r="L814" s="74"/>
      <c r="M814" s="74"/>
      <c r="N814" s="74"/>
      <c r="O814" s="74"/>
      <c r="P814" s="74"/>
      <c r="Q814" s="74"/>
      <c r="R814" s="74"/>
      <c r="S814" s="74"/>
      <c r="T814" s="74"/>
      <c r="U814" s="74"/>
      <c r="V814" s="74"/>
      <c r="W814" s="74"/>
      <c r="X814" s="74"/>
      <c r="Y814" s="74"/>
      <c r="Z814" s="74"/>
      <c r="AA814" s="74"/>
      <c r="AB814" s="3"/>
      <c r="AC814" s="3"/>
      <c r="AD814" s="3"/>
    </row>
    <row r="815" spans="2:30" x14ac:dyDescent="0.2">
      <c r="B815" s="61"/>
      <c r="C815" s="74"/>
      <c r="D815" s="74"/>
      <c r="E815" s="74"/>
      <c r="F815" s="74"/>
      <c r="G815" s="74"/>
      <c r="H815" s="74"/>
      <c r="I815" s="74"/>
      <c r="J815" s="74"/>
      <c r="K815" s="74"/>
      <c r="L815" s="74"/>
      <c r="M815" s="74"/>
      <c r="N815" s="74"/>
      <c r="O815" s="74"/>
      <c r="P815" s="74"/>
      <c r="Q815" s="74"/>
      <c r="R815" s="74"/>
      <c r="S815" s="74"/>
      <c r="T815" s="74"/>
      <c r="U815" s="74"/>
      <c r="V815" s="74"/>
      <c r="W815" s="74"/>
      <c r="X815" s="74"/>
      <c r="Y815" s="74"/>
      <c r="Z815" s="74"/>
      <c r="AA815" s="74"/>
      <c r="AB815" s="3"/>
      <c r="AC815" s="3"/>
      <c r="AD815" s="3"/>
    </row>
    <row r="816" spans="2:30" x14ac:dyDescent="0.2">
      <c r="B816" s="61"/>
      <c r="C816" s="74"/>
      <c r="D816" s="74"/>
      <c r="E816" s="74"/>
      <c r="F816" s="74"/>
      <c r="G816" s="74"/>
      <c r="H816" s="74"/>
      <c r="I816" s="74"/>
      <c r="J816" s="74"/>
      <c r="K816" s="74"/>
      <c r="L816" s="74"/>
      <c r="M816" s="74"/>
      <c r="N816" s="74"/>
      <c r="O816" s="74"/>
      <c r="P816" s="74"/>
      <c r="Q816" s="74"/>
      <c r="R816" s="74"/>
      <c r="S816" s="74"/>
      <c r="T816" s="74"/>
      <c r="U816" s="74"/>
      <c r="V816" s="74"/>
      <c r="W816" s="74"/>
      <c r="X816" s="74"/>
      <c r="Y816" s="74"/>
      <c r="Z816" s="74"/>
      <c r="AA816" s="74"/>
      <c r="AB816" s="3"/>
      <c r="AC816" s="3"/>
      <c r="AD816" s="3"/>
    </row>
    <row r="817" spans="2:30" x14ac:dyDescent="0.2">
      <c r="B817" s="61"/>
      <c r="C817" s="74"/>
      <c r="D817" s="74"/>
      <c r="E817" s="74"/>
      <c r="F817" s="74"/>
      <c r="G817" s="74"/>
      <c r="H817" s="74"/>
      <c r="I817" s="74"/>
      <c r="J817" s="74"/>
      <c r="K817" s="74"/>
      <c r="L817" s="74"/>
      <c r="M817" s="74"/>
      <c r="N817" s="74"/>
      <c r="O817" s="74"/>
      <c r="P817" s="74"/>
      <c r="Q817" s="74"/>
      <c r="R817" s="74"/>
      <c r="S817" s="74"/>
      <c r="T817" s="74"/>
      <c r="U817" s="74"/>
      <c r="V817" s="74"/>
      <c r="W817" s="74"/>
      <c r="X817" s="74"/>
      <c r="Y817" s="74"/>
      <c r="Z817" s="74"/>
      <c r="AA817" s="74"/>
      <c r="AB817" s="3"/>
      <c r="AC817" s="3"/>
      <c r="AD817" s="3"/>
    </row>
    <row r="818" spans="2:30" x14ac:dyDescent="0.2">
      <c r="B818" s="61"/>
      <c r="C818" s="74"/>
      <c r="D818" s="74"/>
      <c r="E818" s="74"/>
      <c r="F818" s="74"/>
      <c r="G818" s="74"/>
      <c r="H818" s="74"/>
      <c r="I818" s="74"/>
      <c r="J818" s="74"/>
      <c r="K818" s="74"/>
      <c r="L818" s="74"/>
      <c r="M818" s="74"/>
      <c r="N818" s="74"/>
      <c r="O818" s="74"/>
      <c r="P818" s="74"/>
      <c r="Q818" s="74"/>
      <c r="R818" s="74"/>
      <c r="S818" s="74"/>
      <c r="T818" s="74"/>
      <c r="U818" s="74"/>
      <c r="V818" s="74"/>
      <c r="W818" s="74"/>
      <c r="X818" s="74"/>
      <c r="Y818" s="74"/>
      <c r="Z818" s="74"/>
      <c r="AA818" s="74"/>
      <c r="AB818" s="3"/>
      <c r="AC818" s="3"/>
      <c r="AD818" s="3"/>
    </row>
    <row r="819" spans="2:30" x14ac:dyDescent="0.2">
      <c r="B819" s="61"/>
      <c r="C819" s="74"/>
      <c r="D819" s="74"/>
      <c r="E819" s="74"/>
      <c r="F819" s="74"/>
      <c r="G819" s="74"/>
      <c r="H819" s="74"/>
      <c r="I819" s="74"/>
      <c r="J819" s="74"/>
      <c r="K819" s="74"/>
      <c r="L819" s="74"/>
      <c r="M819" s="74"/>
      <c r="N819" s="74"/>
      <c r="O819" s="74"/>
      <c r="P819" s="74"/>
      <c r="Q819" s="74"/>
      <c r="R819" s="74"/>
      <c r="S819" s="74"/>
      <c r="T819" s="74"/>
      <c r="U819" s="74"/>
      <c r="V819" s="74"/>
      <c r="W819" s="74"/>
      <c r="X819" s="74"/>
      <c r="Y819" s="74"/>
      <c r="Z819" s="74"/>
      <c r="AA819" s="74"/>
      <c r="AB819" s="3"/>
      <c r="AC819" s="3"/>
      <c r="AD819" s="3"/>
    </row>
    <row r="820" spans="2:30" x14ac:dyDescent="0.2">
      <c r="B820" s="61"/>
      <c r="C820" s="74"/>
      <c r="D820" s="74"/>
      <c r="E820" s="74"/>
      <c r="F820" s="74"/>
      <c r="G820" s="74"/>
      <c r="H820" s="74"/>
      <c r="I820" s="74"/>
      <c r="J820" s="74"/>
      <c r="K820" s="74"/>
      <c r="L820" s="74"/>
      <c r="M820" s="74"/>
      <c r="N820" s="74"/>
      <c r="O820" s="74"/>
      <c r="P820" s="74"/>
      <c r="Q820" s="74"/>
      <c r="R820" s="74"/>
      <c r="S820" s="74"/>
      <c r="T820" s="74"/>
      <c r="U820" s="74"/>
      <c r="V820" s="74"/>
      <c r="W820" s="74"/>
      <c r="X820" s="74"/>
      <c r="Y820" s="74"/>
      <c r="Z820" s="74"/>
      <c r="AA820" s="74"/>
      <c r="AB820" s="3"/>
      <c r="AC820" s="3"/>
      <c r="AD820" s="3"/>
    </row>
    <row r="821" spans="2:30" x14ac:dyDescent="0.2">
      <c r="B821" s="61"/>
      <c r="C821" s="74"/>
      <c r="D821" s="74"/>
      <c r="E821" s="74"/>
      <c r="F821" s="74"/>
      <c r="G821" s="74"/>
      <c r="H821" s="74"/>
      <c r="I821" s="74"/>
      <c r="J821" s="74"/>
      <c r="K821" s="74"/>
      <c r="L821" s="74"/>
      <c r="M821" s="74"/>
      <c r="N821" s="74"/>
      <c r="O821" s="74"/>
      <c r="P821" s="74"/>
      <c r="Q821" s="74"/>
      <c r="R821" s="74"/>
      <c r="S821" s="74"/>
      <c r="T821" s="74"/>
      <c r="U821" s="74"/>
      <c r="V821" s="74"/>
      <c r="W821" s="74"/>
      <c r="X821" s="74"/>
      <c r="Y821" s="74"/>
      <c r="Z821" s="74"/>
      <c r="AA821" s="74"/>
      <c r="AB821" s="3"/>
      <c r="AC821" s="3"/>
      <c r="AD821" s="3"/>
    </row>
    <row r="822" spans="2:30" x14ac:dyDescent="0.2">
      <c r="B822" s="61"/>
      <c r="C822" s="74"/>
      <c r="D822" s="74"/>
      <c r="E822" s="74"/>
      <c r="F822" s="74"/>
      <c r="G822" s="74"/>
      <c r="H822" s="74"/>
      <c r="I822" s="74"/>
      <c r="J822" s="74"/>
      <c r="K822" s="74"/>
      <c r="L822" s="74"/>
      <c r="M822" s="74"/>
      <c r="N822" s="74"/>
      <c r="O822" s="74"/>
      <c r="P822" s="74"/>
      <c r="Q822" s="74"/>
      <c r="R822" s="74"/>
      <c r="S822" s="74"/>
      <c r="T822" s="74"/>
      <c r="U822" s="74"/>
      <c r="V822" s="74"/>
      <c r="W822" s="74"/>
      <c r="X822" s="74"/>
      <c r="Y822" s="74"/>
      <c r="Z822" s="74"/>
      <c r="AA822" s="74"/>
      <c r="AB822" s="3"/>
      <c r="AC822" s="3"/>
      <c r="AD822" s="3"/>
    </row>
    <row r="823" spans="2:30" x14ac:dyDescent="0.2">
      <c r="B823" s="61"/>
      <c r="C823" s="74"/>
      <c r="D823" s="74"/>
      <c r="E823" s="74"/>
      <c r="F823" s="74"/>
      <c r="G823" s="74"/>
      <c r="H823" s="74"/>
      <c r="I823" s="74"/>
      <c r="J823" s="74"/>
      <c r="K823" s="74"/>
      <c r="L823" s="74"/>
      <c r="M823" s="74"/>
      <c r="N823" s="74"/>
      <c r="O823" s="74"/>
      <c r="P823" s="74"/>
      <c r="Q823" s="74"/>
      <c r="R823" s="74"/>
      <c r="S823" s="74"/>
      <c r="T823" s="74"/>
      <c r="U823" s="74"/>
      <c r="V823" s="74"/>
      <c r="W823" s="74"/>
      <c r="X823" s="74"/>
      <c r="Y823" s="74"/>
      <c r="Z823" s="74"/>
      <c r="AA823" s="74"/>
      <c r="AB823" s="3"/>
      <c r="AC823" s="3"/>
      <c r="AD823" s="3"/>
    </row>
    <row r="824" spans="2:30" x14ac:dyDescent="0.2">
      <c r="B824" s="61"/>
      <c r="C824" s="74"/>
      <c r="D824" s="74"/>
      <c r="E824" s="74"/>
      <c r="F824" s="74"/>
      <c r="G824" s="74"/>
      <c r="H824" s="74"/>
      <c r="I824" s="74"/>
      <c r="J824" s="74"/>
      <c r="K824" s="74"/>
      <c r="L824" s="74"/>
      <c r="M824" s="74"/>
      <c r="N824" s="74"/>
      <c r="O824" s="74"/>
      <c r="P824" s="74"/>
      <c r="Q824" s="74"/>
      <c r="R824" s="74"/>
      <c r="S824" s="74"/>
      <c r="T824" s="74"/>
      <c r="U824" s="74"/>
      <c r="V824" s="74"/>
      <c r="W824" s="74"/>
      <c r="X824" s="74"/>
      <c r="Y824" s="74"/>
      <c r="Z824" s="74"/>
      <c r="AA824" s="74"/>
      <c r="AB824" s="3"/>
      <c r="AC824" s="3"/>
      <c r="AD824" s="3"/>
    </row>
    <row r="825" spans="2:30" x14ac:dyDescent="0.2">
      <c r="B825" s="61"/>
      <c r="C825" s="74"/>
      <c r="D825" s="74"/>
      <c r="E825" s="74"/>
      <c r="F825" s="74"/>
      <c r="G825" s="74"/>
      <c r="H825" s="74"/>
      <c r="I825" s="74"/>
      <c r="J825" s="74"/>
      <c r="K825" s="74"/>
      <c r="L825" s="74"/>
      <c r="M825" s="74"/>
      <c r="N825" s="74"/>
      <c r="O825" s="74"/>
      <c r="P825" s="74"/>
      <c r="Q825" s="74"/>
      <c r="R825" s="74"/>
      <c r="S825" s="74"/>
      <c r="T825" s="74"/>
      <c r="U825" s="74"/>
      <c r="V825" s="74"/>
      <c r="W825" s="74"/>
      <c r="X825" s="74"/>
      <c r="Y825" s="74"/>
      <c r="Z825" s="74"/>
      <c r="AA825" s="74"/>
      <c r="AB825" s="3"/>
      <c r="AC825" s="3"/>
      <c r="AD825" s="3"/>
    </row>
    <row r="826" spans="2:30" x14ac:dyDescent="0.2">
      <c r="B826" s="61"/>
      <c r="C826" s="74"/>
      <c r="D826" s="74"/>
      <c r="E826" s="74"/>
      <c r="F826" s="74"/>
      <c r="G826" s="74"/>
      <c r="H826" s="74"/>
      <c r="I826" s="74"/>
      <c r="J826" s="74"/>
      <c r="K826" s="74"/>
      <c r="L826" s="74"/>
      <c r="M826" s="74"/>
      <c r="N826" s="74"/>
      <c r="O826" s="74"/>
      <c r="P826" s="74"/>
      <c r="Q826" s="74"/>
      <c r="R826" s="74"/>
      <c r="S826" s="74"/>
      <c r="T826" s="74"/>
      <c r="U826" s="74"/>
      <c r="V826" s="74"/>
      <c r="W826" s="74"/>
      <c r="X826" s="74"/>
      <c r="Y826" s="74"/>
      <c r="Z826" s="74"/>
      <c r="AA826" s="74"/>
      <c r="AB826" s="3"/>
      <c r="AC826" s="3"/>
      <c r="AD826" s="3"/>
    </row>
    <row r="827" spans="2:30" x14ac:dyDescent="0.2">
      <c r="B827" s="61"/>
      <c r="C827" s="74"/>
      <c r="D827" s="74"/>
      <c r="E827" s="74"/>
      <c r="F827" s="74"/>
      <c r="G827" s="74"/>
      <c r="H827" s="74"/>
      <c r="I827" s="74"/>
      <c r="J827" s="74"/>
      <c r="K827" s="74"/>
      <c r="L827" s="74"/>
      <c r="M827" s="74"/>
      <c r="N827" s="74"/>
      <c r="O827" s="74"/>
      <c r="P827" s="74"/>
      <c r="Q827" s="74"/>
      <c r="R827" s="74"/>
      <c r="S827" s="74"/>
      <c r="T827" s="74"/>
      <c r="U827" s="74"/>
      <c r="V827" s="74"/>
      <c r="W827" s="74"/>
      <c r="X827" s="74"/>
      <c r="Y827" s="74"/>
      <c r="Z827" s="74"/>
      <c r="AA827" s="74"/>
      <c r="AB827" s="3"/>
      <c r="AC827" s="3"/>
      <c r="AD827" s="3"/>
    </row>
    <row r="828" spans="2:30" x14ac:dyDescent="0.2">
      <c r="B828" s="61"/>
      <c r="C828" s="74"/>
      <c r="D828" s="74"/>
      <c r="E828" s="74"/>
      <c r="F828" s="74"/>
      <c r="G828" s="74"/>
      <c r="H828" s="74"/>
      <c r="I828" s="74"/>
      <c r="J828" s="74"/>
      <c r="K828" s="74"/>
      <c r="L828" s="74"/>
      <c r="M828" s="74"/>
      <c r="N828" s="74"/>
      <c r="O828" s="74"/>
      <c r="P828" s="74"/>
      <c r="Q828" s="74"/>
      <c r="R828" s="74"/>
      <c r="S828" s="74"/>
      <c r="T828" s="74"/>
      <c r="U828" s="74"/>
      <c r="V828" s="74"/>
      <c r="W828" s="74"/>
      <c r="X828" s="74"/>
      <c r="Y828" s="74"/>
      <c r="Z828" s="74"/>
      <c r="AA828" s="74"/>
      <c r="AB828" s="3"/>
      <c r="AC828" s="3"/>
      <c r="AD828" s="3"/>
    </row>
    <row r="829" spans="2:30" x14ac:dyDescent="0.2">
      <c r="B829" s="61"/>
      <c r="C829" s="74"/>
      <c r="D829" s="74"/>
      <c r="E829" s="74"/>
      <c r="F829" s="74"/>
      <c r="G829" s="74"/>
      <c r="H829" s="74"/>
      <c r="I829" s="74"/>
      <c r="J829" s="74"/>
      <c r="K829" s="74"/>
      <c r="L829" s="74"/>
      <c r="M829" s="74"/>
      <c r="N829" s="74"/>
      <c r="O829" s="74"/>
      <c r="P829" s="74"/>
      <c r="Q829" s="74"/>
      <c r="R829" s="74"/>
      <c r="S829" s="74"/>
      <c r="T829" s="74"/>
      <c r="U829" s="74"/>
      <c r="V829" s="74"/>
      <c r="W829" s="74"/>
      <c r="X829" s="74"/>
      <c r="Y829" s="74"/>
      <c r="Z829" s="74"/>
      <c r="AA829" s="74"/>
      <c r="AB829" s="3"/>
      <c r="AC829" s="3"/>
      <c r="AD829" s="3"/>
    </row>
    <row r="830" spans="2:30" x14ac:dyDescent="0.2">
      <c r="B830" s="61"/>
      <c r="C830" s="74"/>
      <c r="D830" s="74"/>
      <c r="E830" s="74"/>
      <c r="F830" s="74"/>
      <c r="G830" s="74"/>
      <c r="H830" s="74"/>
      <c r="I830" s="74"/>
      <c r="J830" s="74"/>
      <c r="K830" s="74"/>
      <c r="L830" s="74"/>
      <c r="M830" s="74"/>
      <c r="N830" s="74"/>
      <c r="O830" s="74"/>
      <c r="P830" s="74"/>
      <c r="Q830" s="74"/>
      <c r="R830" s="74"/>
      <c r="S830" s="74"/>
      <c r="T830" s="74"/>
      <c r="U830" s="74"/>
      <c r="V830" s="74"/>
      <c r="W830" s="74"/>
      <c r="X830" s="74"/>
      <c r="Y830" s="74"/>
      <c r="Z830" s="74"/>
      <c r="AA830" s="74"/>
      <c r="AB830" s="3"/>
      <c r="AC830" s="3"/>
      <c r="AD830" s="3"/>
    </row>
    <row r="831" spans="2:30" x14ac:dyDescent="0.2">
      <c r="B831" s="61"/>
      <c r="C831" s="74"/>
      <c r="D831" s="74"/>
      <c r="E831" s="74"/>
      <c r="F831" s="74"/>
      <c r="G831" s="74"/>
      <c r="H831" s="74"/>
      <c r="I831" s="74"/>
      <c r="J831" s="74"/>
      <c r="K831" s="74"/>
      <c r="L831" s="74"/>
      <c r="M831" s="74"/>
      <c r="N831" s="74"/>
      <c r="O831" s="74"/>
      <c r="P831" s="74"/>
      <c r="Q831" s="74"/>
      <c r="R831" s="74"/>
      <c r="S831" s="74"/>
      <c r="T831" s="74"/>
      <c r="U831" s="74"/>
      <c r="V831" s="74"/>
      <c r="W831" s="74"/>
      <c r="X831" s="74"/>
      <c r="Y831" s="74"/>
      <c r="Z831" s="74"/>
      <c r="AA831" s="74"/>
      <c r="AB831" s="3"/>
      <c r="AC831" s="3"/>
      <c r="AD831" s="3"/>
    </row>
    <row r="832" spans="2:30" x14ac:dyDescent="0.2">
      <c r="B832" s="61"/>
      <c r="C832" s="74"/>
      <c r="D832" s="74"/>
      <c r="E832" s="74"/>
      <c r="F832" s="74"/>
      <c r="G832" s="74"/>
      <c r="H832" s="74"/>
      <c r="I832" s="74"/>
      <c r="J832" s="74"/>
      <c r="K832" s="74"/>
      <c r="L832" s="74"/>
      <c r="M832" s="74"/>
      <c r="N832" s="74"/>
      <c r="O832" s="74"/>
      <c r="P832" s="74"/>
      <c r="Q832" s="74"/>
      <c r="R832" s="74"/>
      <c r="S832" s="74"/>
      <c r="T832" s="74"/>
      <c r="U832" s="74"/>
      <c r="V832" s="74"/>
      <c r="W832" s="74"/>
      <c r="X832" s="74"/>
      <c r="Y832" s="74"/>
      <c r="Z832" s="74"/>
      <c r="AA832" s="74"/>
      <c r="AB832" s="3"/>
      <c r="AC832" s="3"/>
      <c r="AD832" s="3"/>
    </row>
    <row r="833" spans="2:30" x14ac:dyDescent="0.2">
      <c r="B833" s="61"/>
      <c r="C833" s="74"/>
      <c r="D833" s="74"/>
      <c r="E833" s="74"/>
      <c r="F833" s="74"/>
      <c r="G833" s="74"/>
      <c r="H833" s="74"/>
      <c r="I833" s="74"/>
      <c r="J833" s="74"/>
      <c r="K833" s="74"/>
      <c r="L833" s="74"/>
      <c r="M833" s="74"/>
      <c r="N833" s="74"/>
      <c r="O833" s="74"/>
      <c r="P833" s="74"/>
      <c r="Q833" s="74"/>
      <c r="R833" s="74"/>
      <c r="S833" s="74"/>
      <c r="T833" s="74"/>
      <c r="U833" s="74"/>
      <c r="V833" s="74"/>
      <c r="W833" s="74"/>
      <c r="X833" s="74"/>
      <c r="Y833" s="74"/>
      <c r="Z833" s="74"/>
      <c r="AA833" s="74"/>
      <c r="AB833" s="3"/>
      <c r="AC833" s="3"/>
      <c r="AD833" s="3"/>
    </row>
    <row r="834" spans="2:30" x14ac:dyDescent="0.2">
      <c r="B834" s="61"/>
      <c r="C834" s="74"/>
      <c r="D834" s="74"/>
      <c r="E834" s="74"/>
      <c r="F834" s="74"/>
      <c r="G834" s="74"/>
      <c r="H834" s="74"/>
      <c r="I834" s="74"/>
      <c r="J834" s="74"/>
      <c r="K834" s="74"/>
      <c r="L834" s="74"/>
      <c r="M834" s="74"/>
      <c r="N834" s="74"/>
      <c r="O834" s="74"/>
      <c r="P834" s="74"/>
      <c r="Q834" s="74"/>
      <c r="R834" s="74"/>
      <c r="S834" s="74"/>
      <c r="T834" s="74"/>
      <c r="U834" s="74"/>
      <c r="V834" s="74"/>
      <c r="W834" s="74"/>
      <c r="X834" s="74"/>
      <c r="Y834" s="74"/>
      <c r="Z834" s="74"/>
      <c r="AA834" s="74"/>
      <c r="AB834" s="3"/>
      <c r="AC834" s="3"/>
      <c r="AD834" s="3"/>
    </row>
    <row r="835" spans="2:30" x14ac:dyDescent="0.2">
      <c r="B835" s="61"/>
      <c r="C835" s="74"/>
      <c r="D835" s="74"/>
      <c r="E835" s="74"/>
      <c r="F835" s="74"/>
      <c r="G835" s="74"/>
      <c r="H835" s="74"/>
      <c r="I835" s="74"/>
      <c r="J835" s="74"/>
      <c r="K835" s="74"/>
      <c r="L835" s="74"/>
      <c r="M835" s="74"/>
      <c r="N835" s="74"/>
      <c r="O835" s="74"/>
      <c r="P835" s="74"/>
      <c r="Q835" s="74"/>
      <c r="R835" s="74"/>
      <c r="S835" s="74"/>
      <c r="T835" s="74"/>
      <c r="U835" s="74"/>
      <c r="V835" s="74"/>
      <c r="W835" s="74"/>
      <c r="X835" s="74"/>
      <c r="Y835" s="74"/>
      <c r="Z835" s="74"/>
      <c r="AA835" s="74"/>
      <c r="AB835" s="3"/>
      <c r="AC835" s="3"/>
      <c r="AD835" s="3"/>
    </row>
    <row r="836" spans="2:30" x14ac:dyDescent="0.2">
      <c r="B836" s="61"/>
      <c r="C836" s="74"/>
      <c r="D836" s="74"/>
      <c r="E836" s="74"/>
      <c r="F836" s="74"/>
      <c r="G836" s="74"/>
      <c r="H836" s="74"/>
      <c r="I836" s="74"/>
      <c r="J836" s="74"/>
      <c r="K836" s="74"/>
      <c r="L836" s="74"/>
      <c r="M836" s="74"/>
      <c r="N836" s="74"/>
      <c r="O836" s="74"/>
      <c r="P836" s="74"/>
      <c r="Q836" s="74"/>
      <c r="R836" s="74"/>
      <c r="S836" s="74"/>
      <c r="T836" s="74"/>
      <c r="U836" s="74"/>
      <c r="V836" s="74"/>
      <c r="W836" s="74"/>
      <c r="X836" s="74"/>
      <c r="Y836" s="74"/>
      <c r="Z836" s="74"/>
      <c r="AA836" s="74"/>
      <c r="AB836" s="3"/>
      <c r="AC836" s="3"/>
      <c r="AD836" s="3"/>
    </row>
    <row r="837" spans="2:30" x14ac:dyDescent="0.2">
      <c r="B837" s="61"/>
      <c r="C837" s="74"/>
      <c r="D837" s="74"/>
      <c r="E837" s="74"/>
      <c r="F837" s="74"/>
      <c r="G837" s="74"/>
      <c r="H837" s="74"/>
      <c r="I837" s="74"/>
      <c r="J837" s="74"/>
      <c r="K837" s="74"/>
      <c r="L837" s="74"/>
      <c r="M837" s="74"/>
      <c r="N837" s="74"/>
      <c r="O837" s="74"/>
      <c r="P837" s="74"/>
      <c r="Q837" s="74"/>
      <c r="R837" s="74"/>
      <c r="S837" s="74"/>
      <c r="T837" s="74"/>
      <c r="U837" s="74"/>
      <c r="V837" s="74"/>
      <c r="W837" s="74"/>
      <c r="X837" s="74"/>
      <c r="Y837" s="74"/>
      <c r="Z837" s="74"/>
      <c r="AA837" s="74"/>
      <c r="AB837" s="3"/>
      <c r="AC837" s="3"/>
      <c r="AD837" s="3"/>
    </row>
    <row r="838" spans="2:30" x14ac:dyDescent="0.2">
      <c r="B838" s="61"/>
      <c r="C838" s="74"/>
      <c r="D838" s="74"/>
      <c r="E838" s="74"/>
      <c r="F838" s="74"/>
      <c r="G838" s="74"/>
      <c r="H838" s="74"/>
      <c r="I838" s="74"/>
      <c r="J838" s="74"/>
      <c r="K838" s="74"/>
      <c r="L838" s="74"/>
      <c r="M838" s="74"/>
      <c r="N838" s="74"/>
      <c r="O838" s="74"/>
      <c r="P838" s="74"/>
      <c r="Q838" s="74"/>
      <c r="R838" s="74"/>
      <c r="S838" s="74"/>
      <c r="T838" s="74"/>
      <c r="U838" s="74"/>
      <c r="V838" s="74"/>
      <c r="W838" s="74"/>
      <c r="X838" s="74"/>
      <c r="Y838" s="74"/>
      <c r="Z838" s="74"/>
      <c r="AA838" s="74"/>
      <c r="AB838" s="3"/>
      <c r="AC838" s="3"/>
      <c r="AD838" s="3"/>
    </row>
    <row r="839" spans="2:30" x14ac:dyDescent="0.2">
      <c r="B839" s="61"/>
      <c r="C839" s="74"/>
      <c r="D839" s="74"/>
      <c r="E839" s="74"/>
      <c r="F839" s="74"/>
      <c r="G839" s="74"/>
      <c r="H839" s="74"/>
      <c r="I839" s="74"/>
      <c r="J839" s="74"/>
      <c r="K839" s="74"/>
      <c r="L839" s="74"/>
      <c r="M839" s="74"/>
      <c r="N839" s="74"/>
      <c r="O839" s="74"/>
      <c r="P839" s="74"/>
      <c r="Q839" s="74"/>
      <c r="R839" s="74"/>
      <c r="S839" s="74"/>
      <c r="T839" s="74"/>
      <c r="U839" s="74"/>
      <c r="V839" s="74"/>
      <c r="W839" s="74"/>
      <c r="X839" s="74"/>
      <c r="Y839" s="74"/>
      <c r="Z839" s="74"/>
      <c r="AA839" s="74"/>
      <c r="AB839" s="3"/>
      <c r="AC839" s="3"/>
      <c r="AD839" s="3"/>
    </row>
    <row r="840" spans="2:30" x14ac:dyDescent="0.2">
      <c r="B840" s="61"/>
      <c r="C840" s="74"/>
      <c r="D840" s="74"/>
      <c r="E840" s="74"/>
      <c r="F840" s="74"/>
      <c r="G840" s="74"/>
      <c r="H840" s="74"/>
      <c r="I840" s="74"/>
      <c r="J840" s="74"/>
      <c r="K840" s="74"/>
      <c r="L840" s="74"/>
      <c r="M840" s="74"/>
      <c r="N840" s="74"/>
      <c r="O840" s="74"/>
      <c r="P840" s="74"/>
      <c r="Q840" s="74"/>
      <c r="R840" s="74"/>
      <c r="S840" s="74"/>
      <c r="T840" s="74"/>
      <c r="U840" s="74"/>
      <c r="V840" s="74"/>
      <c r="W840" s="74"/>
      <c r="X840" s="74"/>
      <c r="Y840" s="74"/>
      <c r="Z840" s="74"/>
      <c r="AA840" s="74"/>
      <c r="AB840" s="3"/>
      <c r="AC840" s="3"/>
      <c r="AD840" s="3"/>
    </row>
    <row r="841" spans="2:30" x14ac:dyDescent="0.2">
      <c r="B841" s="61"/>
      <c r="C841" s="74"/>
      <c r="D841" s="74"/>
      <c r="E841" s="74"/>
      <c r="F841" s="74"/>
      <c r="G841" s="74"/>
      <c r="H841" s="74"/>
      <c r="I841" s="74"/>
      <c r="J841" s="74"/>
      <c r="K841" s="74"/>
      <c r="L841" s="74"/>
      <c r="M841" s="74"/>
      <c r="N841" s="74"/>
      <c r="O841" s="74"/>
      <c r="P841" s="74"/>
      <c r="Q841" s="74"/>
      <c r="R841" s="74"/>
      <c r="S841" s="74"/>
      <c r="T841" s="74"/>
      <c r="U841" s="74"/>
      <c r="V841" s="74"/>
      <c r="W841" s="74"/>
      <c r="X841" s="74"/>
      <c r="Y841" s="74"/>
      <c r="Z841" s="74"/>
      <c r="AA841" s="74"/>
      <c r="AB841" s="3"/>
      <c r="AC841" s="3"/>
      <c r="AD841" s="3"/>
    </row>
    <row r="842" spans="2:30" x14ac:dyDescent="0.2">
      <c r="B842" s="61"/>
      <c r="C842" s="74"/>
      <c r="D842" s="74"/>
      <c r="E842" s="74"/>
      <c r="F842" s="74"/>
      <c r="G842" s="74"/>
      <c r="H842" s="74"/>
      <c r="I842" s="74"/>
      <c r="J842" s="74"/>
      <c r="K842" s="74"/>
      <c r="L842" s="74"/>
      <c r="M842" s="74"/>
      <c r="N842" s="74"/>
      <c r="O842" s="74"/>
      <c r="P842" s="74"/>
      <c r="Q842" s="74"/>
      <c r="R842" s="74"/>
      <c r="S842" s="74"/>
      <c r="T842" s="74"/>
      <c r="U842" s="74"/>
      <c r="V842" s="74"/>
      <c r="W842" s="74"/>
      <c r="X842" s="74"/>
      <c r="Y842" s="74"/>
      <c r="Z842" s="74"/>
      <c r="AA842" s="74"/>
      <c r="AB842" s="3"/>
      <c r="AC842" s="3"/>
      <c r="AD842" s="3"/>
    </row>
    <row r="843" spans="2:30" x14ac:dyDescent="0.2">
      <c r="B843" s="61"/>
      <c r="C843" s="74"/>
      <c r="D843" s="74"/>
      <c r="E843" s="74"/>
      <c r="F843" s="74"/>
      <c r="G843" s="74"/>
      <c r="H843" s="74"/>
      <c r="I843" s="74"/>
      <c r="J843" s="74"/>
      <c r="K843" s="74"/>
      <c r="L843" s="74"/>
      <c r="M843" s="74"/>
      <c r="N843" s="74"/>
      <c r="O843" s="74"/>
      <c r="P843" s="74"/>
      <c r="Q843" s="74"/>
      <c r="R843" s="74"/>
      <c r="S843" s="74"/>
      <c r="T843" s="74"/>
      <c r="U843" s="74"/>
      <c r="V843" s="74"/>
      <c r="W843" s="74"/>
      <c r="X843" s="74"/>
      <c r="Y843" s="74"/>
      <c r="Z843" s="74"/>
      <c r="AA843" s="74"/>
      <c r="AB843" s="3"/>
      <c r="AC843" s="3"/>
      <c r="AD843" s="3"/>
    </row>
    <row r="844" spans="2:30" x14ac:dyDescent="0.2">
      <c r="B844" s="61"/>
      <c r="C844" s="74"/>
      <c r="D844" s="74"/>
      <c r="E844" s="74"/>
      <c r="F844" s="74"/>
      <c r="G844" s="74"/>
      <c r="H844" s="74"/>
      <c r="I844" s="74"/>
      <c r="J844" s="74"/>
      <c r="K844" s="74"/>
      <c r="L844" s="74"/>
      <c r="M844" s="74"/>
      <c r="N844" s="74"/>
      <c r="O844" s="74"/>
      <c r="P844" s="74"/>
      <c r="Q844" s="74"/>
      <c r="R844" s="74"/>
      <c r="S844" s="74"/>
      <c r="T844" s="74"/>
      <c r="U844" s="74"/>
      <c r="V844" s="74"/>
      <c r="W844" s="74"/>
      <c r="X844" s="74"/>
      <c r="Y844" s="74"/>
      <c r="Z844" s="74"/>
      <c r="AA844" s="74"/>
      <c r="AB844" s="3"/>
      <c r="AC844" s="3"/>
      <c r="AD844" s="3"/>
    </row>
    <row r="845" spans="2:30" x14ac:dyDescent="0.2">
      <c r="B845" s="61"/>
      <c r="C845" s="74"/>
      <c r="D845" s="74"/>
      <c r="E845" s="74"/>
      <c r="F845" s="74"/>
      <c r="G845" s="74"/>
      <c r="H845" s="74"/>
      <c r="I845" s="74"/>
      <c r="J845" s="74"/>
      <c r="K845" s="74"/>
      <c r="L845" s="74"/>
      <c r="M845" s="74"/>
      <c r="N845" s="74"/>
      <c r="O845" s="74"/>
      <c r="P845" s="74"/>
      <c r="Q845" s="74"/>
      <c r="R845" s="74"/>
      <c r="S845" s="74"/>
      <c r="T845" s="74"/>
      <c r="U845" s="74"/>
      <c r="V845" s="74"/>
      <c r="W845" s="74"/>
      <c r="X845" s="74"/>
      <c r="Y845" s="74"/>
      <c r="Z845" s="74"/>
      <c r="AA845" s="74"/>
      <c r="AB845" s="3"/>
      <c r="AC845" s="3"/>
      <c r="AD845" s="3"/>
    </row>
    <row r="846" spans="2:30" x14ac:dyDescent="0.2">
      <c r="B846" s="61"/>
      <c r="C846" s="74"/>
      <c r="D846" s="74"/>
      <c r="E846" s="74"/>
      <c r="F846" s="74"/>
      <c r="G846" s="74"/>
      <c r="H846" s="74"/>
      <c r="I846" s="74"/>
      <c r="J846" s="74"/>
      <c r="K846" s="74"/>
      <c r="L846" s="74"/>
      <c r="M846" s="74"/>
      <c r="N846" s="74"/>
      <c r="O846" s="74"/>
      <c r="P846" s="74"/>
      <c r="Q846" s="74"/>
      <c r="R846" s="74"/>
      <c r="S846" s="74"/>
      <c r="T846" s="74"/>
      <c r="U846" s="74"/>
      <c r="V846" s="74"/>
      <c r="W846" s="74"/>
      <c r="X846" s="74"/>
      <c r="Y846" s="74"/>
      <c r="Z846" s="74"/>
      <c r="AA846" s="74"/>
      <c r="AB846" s="3"/>
      <c r="AC846" s="3"/>
      <c r="AD846" s="3"/>
    </row>
    <row r="847" spans="2:30" x14ac:dyDescent="0.2">
      <c r="B847" s="61"/>
      <c r="C847" s="74"/>
      <c r="D847" s="74"/>
      <c r="E847" s="74"/>
      <c r="F847" s="74"/>
      <c r="G847" s="74"/>
      <c r="H847" s="74"/>
      <c r="I847" s="74"/>
      <c r="J847" s="74"/>
      <c r="K847" s="74"/>
      <c r="L847" s="74"/>
      <c r="M847" s="74"/>
      <c r="N847" s="74"/>
      <c r="O847" s="74"/>
      <c r="P847" s="74"/>
      <c r="Q847" s="74"/>
      <c r="R847" s="74"/>
      <c r="S847" s="74"/>
      <c r="T847" s="74"/>
      <c r="U847" s="74"/>
      <c r="V847" s="74"/>
      <c r="W847" s="74"/>
      <c r="X847" s="74"/>
      <c r="Y847" s="74"/>
      <c r="Z847" s="74"/>
      <c r="AA847" s="74"/>
      <c r="AB847" s="3"/>
      <c r="AC847" s="3"/>
      <c r="AD847" s="3"/>
    </row>
    <row r="848" spans="2:30" x14ac:dyDescent="0.2">
      <c r="B848" s="61"/>
      <c r="C848" s="74"/>
      <c r="D848" s="74"/>
      <c r="E848" s="74"/>
      <c r="F848" s="74"/>
      <c r="G848" s="74"/>
      <c r="H848" s="74"/>
      <c r="I848" s="74"/>
      <c r="J848" s="74"/>
      <c r="K848" s="74"/>
      <c r="L848" s="74"/>
      <c r="M848" s="74"/>
      <c r="N848" s="74"/>
      <c r="O848" s="74"/>
      <c r="P848" s="74"/>
      <c r="Q848" s="74"/>
      <c r="R848" s="74"/>
      <c r="S848" s="74"/>
      <c r="T848" s="74"/>
      <c r="U848" s="74"/>
      <c r="V848" s="74"/>
      <c r="W848" s="74"/>
      <c r="X848" s="74"/>
      <c r="Y848" s="74"/>
      <c r="Z848" s="74"/>
      <c r="AA848" s="74"/>
      <c r="AB848" s="3"/>
      <c r="AC848" s="3"/>
      <c r="AD848" s="3"/>
    </row>
    <row r="849" spans="2:30" x14ac:dyDescent="0.2">
      <c r="B849" s="61"/>
      <c r="C849" s="74"/>
      <c r="D849" s="74"/>
      <c r="E849" s="74"/>
      <c r="F849" s="74"/>
      <c r="G849" s="74"/>
      <c r="H849" s="74"/>
      <c r="I849" s="74"/>
      <c r="J849" s="74"/>
      <c r="K849" s="74"/>
      <c r="L849" s="74"/>
      <c r="M849" s="74"/>
      <c r="N849" s="74"/>
      <c r="O849" s="74"/>
      <c r="P849" s="74"/>
      <c r="Q849" s="74"/>
      <c r="R849" s="74"/>
      <c r="S849" s="74"/>
      <c r="T849" s="74"/>
      <c r="U849" s="74"/>
      <c r="V849" s="74"/>
      <c r="W849" s="74"/>
      <c r="X849" s="74"/>
      <c r="Y849" s="74"/>
      <c r="Z849" s="74"/>
      <c r="AA849" s="74"/>
      <c r="AB849" s="3"/>
      <c r="AC849" s="3"/>
      <c r="AD849" s="3"/>
    </row>
    <row r="850" spans="2:30" x14ac:dyDescent="0.2">
      <c r="B850" s="61"/>
      <c r="C850" s="74"/>
      <c r="D850" s="74"/>
      <c r="E850" s="74"/>
      <c r="F850" s="74"/>
      <c r="G850" s="74"/>
      <c r="H850" s="74"/>
      <c r="I850" s="74"/>
      <c r="J850" s="74"/>
      <c r="K850" s="74"/>
      <c r="L850" s="74"/>
      <c r="M850" s="74"/>
      <c r="N850" s="74"/>
      <c r="O850" s="74"/>
      <c r="P850" s="74"/>
      <c r="Q850" s="74"/>
      <c r="R850" s="74"/>
      <c r="S850" s="74"/>
      <c r="T850" s="74"/>
      <c r="U850" s="74"/>
      <c r="V850" s="74"/>
      <c r="W850" s="74"/>
      <c r="X850" s="74"/>
      <c r="Y850" s="74"/>
      <c r="Z850" s="74"/>
      <c r="AA850" s="74"/>
      <c r="AB850" s="3"/>
      <c r="AC850" s="3"/>
      <c r="AD850" s="3"/>
    </row>
    <row r="851" spans="2:30" x14ac:dyDescent="0.2">
      <c r="B851" s="61"/>
      <c r="C851" s="74"/>
      <c r="D851" s="74"/>
      <c r="E851" s="74"/>
      <c r="F851" s="74"/>
      <c r="G851" s="74"/>
      <c r="H851" s="74"/>
      <c r="I851" s="74"/>
      <c r="J851" s="74"/>
      <c r="K851" s="74"/>
      <c r="L851" s="74"/>
      <c r="M851" s="74"/>
      <c r="N851" s="74"/>
      <c r="O851" s="74"/>
      <c r="P851" s="74"/>
      <c r="Q851" s="74"/>
      <c r="R851" s="74"/>
      <c r="S851" s="74"/>
      <c r="T851" s="74"/>
      <c r="U851" s="74"/>
      <c r="V851" s="74"/>
      <c r="W851" s="74"/>
      <c r="X851" s="74"/>
      <c r="Y851" s="74"/>
      <c r="Z851" s="74"/>
      <c r="AA851" s="74"/>
      <c r="AB851" s="3"/>
      <c r="AC851" s="3"/>
      <c r="AD851" s="3"/>
    </row>
    <row r="852" spans="2:30" x14ac:dyDescent="0.2">
      <c r="B852" s="61"/>
      <c r="C852" s="74"/>
      <c r="D852" s="74"/>
      <c r="E852" s="74"/>
      <c r="F852" s="74"/>
      <c r="G852" s="74"/>
      <c r="H852" s="74"/>
      <c r="I852" s="74"/>
      <c r="J852" s="74"/>
      <c r="K852" s="74"/>
      <c r="L852" s="74"/>
      <c r="M852" s="74"/>
      <c r="N852" s="74"/>
      <c r="O852" s="74"/>
      <c r="P852" s="74"/>
      <c r="Q852" s="74"/>
      <c r="R852" s="74"/>
      <c r="S852" s="74"/>
      <c r="T852" s="74"/>
      <c r="U852" s="74"/>
      <c r="V852" s="74"/>
      <c r="W852" s="74"/>
      <c r="X852" s="74"/>
      <c r="Y852" s="74"/>
      <c r="Z852" s="74"/>
      <c r="AA852" s="74"/>
      <c r="AB852" s="3"/>
      <c r="AC852" s="3"/>
      <c r="AD852" s="3"/>
    </row>
    <row r="853" spans="2:30" x14ac:dyDescent="0.2">
      <c r="B853" s="61"/>
      <c r="C853" s="74"/>
      <c r="D853" s="74"/>
      <c r="E853" s="74"/>
      <c r="F853" s="74"/>
      <c r="G853" s="74"/>
      <c r="H853" s="74"/>
      <c r="I853" s="74"/>
      <c r="J853" s="74"/>
      <c r="K853" s="74"/>
      <c r="L853" s="74"/>
      <c r="M853" s="74"/>
      <c r="N853" s="74"/>
      <c r="O853" s="74"/>
      <c r="P853" s="74"/>
      <c r="Q853" s="74"/>
      <c r="R853" s="74"/>
      <c r="S853" s="74"/>
      <c r="T853" s="74"/>
      <c r="U853" s="74"/>
      <c r="V853" s="74"/>
      <c r="W853" s="74"/>
      <c r="X853" s="74"/>
      <c r="Y853" s="74"/>
      <c r="Z853" s="74"/>
      <c r="AA853" s="74"/>
      <c r="AB853" s="3"/>
      <c r="AC853" s="3"/>
      <c r="AD853" s="3"/>
    </row>
    <row r="854" spans="2:30" x14ac:dyDescent="0.2">
      <c r="B854" s="61"/>
      <c r="C854" s="74"/>
      <c r="D854" s="74"/>
      <c r="E854" s="74"/>
      <c r="F854" s="74"/>
      <c r="G854" s="74"/>
      <c r="H854" s="74"/>
      <c r="I854" s="74"/>
      <c r="J854" s="74"/>
      <c r="K854" s="74"/>
      <c r="L854" s="74"/>
      <c r="M854" s="74"/>
      <c r="N854" s="74"/>
      <c r="O854" s="74"/>
      <c r="P854" s="74"/>
      <c r="Q854" s="74"/>
      <c r="R854" s="74"/>
      <c r="S854" s="74"/>
      <c r="T854" s="74"/>
      <c r="U854" s="74"/>
      <c r="V854" s="74"/>
      <c r="W854" s="74"/>
      <c r="X854" s="74"/>
      <c r="Y854" s="74"/>
      <c r="Z854" s="74"/>
      <c r="AA854" s="74"/>
      <c r="AB854" s="3"/>
      <c r="AC854" s="3"/>
      <c r="AD854" s="3"/>
    </row>
    <row r="855" spans="2:30" x14ac:dyDescent="0.2">
      <c r="B855" s="61"/>
      <c r="C855" s="74"/>
      <c r="D855" s="74"/>
      <c r="E855" s="74"/>
      <c r="F855" s="74"/>
      <c r="G855" s="74"/>
      <c r="H855" s="74"/>
      <c r="I855" s="74"/>
      <c r="J855" s="74"/>
      <c r="K855" s="74"/>
      <c r="L855" s="74"/>
      <c r="M855" s="74"/>
      <c r="N855" s="74"/>
      <c r="O855" s="74"/>
      <c r="P855" s="74"/>
      <c r="Q855" s="74"/>
      <c r="R855" s="74"/>
      <c r="S855" s="74"/>
      <c r="T855" s="74"/>
      <c r="U855" s="74"/>
      <c r="V855" s="74"/>
      <c r="W855" s="74"/>
      <c r="X855" s="74"/>
      <c r="Y855" s="74"/>
      <c r="Z855" s="74"/>
      <c r="AA855" s="74"/>
      <c r="AB855" s="3"/>
      <c r="AC855" s="3"/>
      <c r="AD855" s="3"/>
    </row>
    <row r="856" spans="2:30" x14ac:dyDescent="0.2">
      <c r="B856" s="61"/>
      <c r="C856" s="74"/>
      <c r="D856" s="74"/>
      <c r="E856" s="74"/>
      <c r="F856" s="74"/>
      <c r="G856" s="74"/>
      <c r="H856" s="74"/>
      <c r="I856" s="74"/>
      <c r="J856" s="74"/>
      <c r="K856" s="74"/>
      <c r="L856" s="74"/>
      <c r="M856" s="74"/>
      <c r="N856" s="74"/>
      <c r="O856" s="74"/>
      <c r="P856" s="74"/>
      <c r="Q856" s="74"/>
      <c r="R856" s="74"/>
      <c r="S856" s="74"/>
      <c r="T856" s="74"/>
      <c r="U856" s="74"/>
      <c r="V856" s="74"/>
      <c r="W856" s="74"/>
      <c r="X856" s="74"/>
      <c r="Y856" s="74"/>
      <c r="Z856" s="74"/>
      <c r="AA856" s="74"/>
      <c r="AB856" s="3"/>
      <c r="AC856" s="3"/>
      <c r="AD856" s="3"/>
    </row>
    <row r="857" spans="2:30" x14ac:dyDescent="0.2">
      <c r="B857" s="61"/>
      <c r="C857" s="74"/>
      <c r="D857" s="74"/>
      <c r="E857" s="74"/>
      <c r="F857" s="74"/>
      <c r="G857" s="74"/>
      <c r="H857" s="74"/>
      <c r="I857" s="74"/>
      <c r="J857" s="74"/>
      <c r="K857" s="74"/>
      <c r="L857" s="74"/>
      <c r="M857" s="74"/>
      <c r="N857" s="74"/>
      <c r="O857" s="74"/>
      <c r="P857" s="74"/>
      <c r="Q857" s="74"/>
      <c r="R857" s="74"/>
      <c r="S857" s="74"/>
      <c r="T857" s="74"/>
      <c r="U857" s="74"/>
      <c r="V857" s="74"/>
      <c r="W857" s="74"/>
      <c r="X857" s="74"/>
      <c r="Y857" s="74"/>
      <c r="Z857" s="74"/>
      <c r="AA857" s="74"/>
      <c r="AB857" s="3"/>
      <c r="AC857" s="3"/>
      <c r="AD857" s="3"/>
    </row>
    <row r="858" spans="2:30" x14ac:dyDescent="0.2">
      <c r="B858" s="61"/>
      <c r="C858" s="74"/>
      <c r="D858" s="74"/>
      <c r="E858" s="74"/>
      <c r="F858" s="74"/>
      <c r="G858" s="74"/>
      <c r="H858" s="74"/>
      <c r="I858" s="74"/>
      <c r="J858" s="74"/>
      <c r="K858" s="74"/>
      <c r="L858" s="74"/>
      <c r="M858" s="74"/>
      <c r="N858" s="74"/>
      <c r="O858" s="74"/>
      <c r="P858" s="74"/>
      <c r="Q858" s="74"/>
      <c r="R858" s="74"/>
      <c r="S858" s="74"/>
      <c r="T858" s="74"/>
      <c r="U858" s="74"/>
      <c r="V858" s="74"/>
      <c r="W858" s="74"/>
      <c r="X858" s="74"/>
      <c r="Y858" s="74"/>
      <c r="Z858" s="74"/>
      <c r="AA858" s="74"/>
      <c r="AB858" s="3"/>
      <c r="AC858" s="3"/>
      <c r="AD858" s="3"/>
    </row>
    <row r="859" spans="2:30" x14ac:dyDescent="0.2">
      <c r="B859" s="61"/>
      <c r="C859" s="74"/>
      <c r="D859" s="74"/>
      <c r="E859" s="74"/>
      <c r="F859" s="74"/>
      <c r="G859" s="74"/>
      <c r="H859" s="74"/>
      <c r="I859" s="74"/>
      <c r="J859" s="74"/>
      <c r="K859" s="74"/>
      <c r="L859" s="74"/>
      <c r="M859" s="74"/>
      <c r="N859" s="74"/>
      <c r="O859" s="74"/>
      <c r="P859" s="74"/>
      <c r="Q859" s="74"/>
      <c r="R859" s="74"/>
      <c r="S859" s="74"/>
      <c r="T859" s="74"/>
      <c r="U859" s="74"/>
      <c r="V859" s="74"/>
      <c r="W859" s="74"/>
      <c r="X859" s="74"/>
      <c r="Y859" s="74"/>
      <c r="Z859" s="74"/>
      <c r="AA859" s="74"/>
      <c r="AB859" s="3"/>
      <c r="AC859" s="3"/>
      <c r="AD859" s="3"/>
    </row>
    <row r="860" spans="2:30" x14ac:dyDescent="0.2">
      <c r="B860" s="61"/>
      <c r="C860" s="74"/>
      <c r="D860" s="74"/>
      <c r="E860" s="74"/>
      <c r="F860" s="74"/>
      <c r="G860" s="74"/>
      <c r="H860" s="74"/>
      <c r="I860" s="74"/>
      <c r="J860" s="74"/>
      <c r="K860" s="74"/>
      <c r="L860" s="74"/>
      <c r="M860" s="74"/>
      <c r="N860" s="74"/>
      <c r="O860" s="74"/>
      <c r="P860" s="74"/>
      <c r="Q860" s="74"/>
      <c r="R860" s="74"/>
      <c r="S860" s="74"/>
      <c r="T860" s="74"/>
      <c r="U860" s="74"/>
      <c r="V860" s="74"/>
      <c r="W860" s="74"/>
      <c r="X860" s="74"/>
      <c r="Y860" s="74"/>
      <c r="Z860" s="74"/>
      <c r="AA860" s="74"/>
      <c r="AB860" s="3"/>
      <c r="AC860" s="3"/>
      <c r="AD860" s="3"/>
    </row>
    <row r="861" spans="2:30" x14ac:dyDescent="0.2">
      <c r="B861" s="61"/>
      <c r="C861" s="74"/>
      <c r="D861" s="74"/>
      <c r="E861" s="74"/>
      <c r="F861" s="74"/>
      <c r="G861" s="74"/>
      <c r="H861" s="74"/>
      <c r="I861" s="74"/>
      <c r="J861" s="74"/>
      <c r="K861" s="74"/>
      <c r="L861" s="74"/>
      <c r="M861" s="74"/>
      <c r="N861" s="74"/>
      <c r="O861" s="74"/>
      <c r="P861" s="74"/>
      <c r="Q861" s="74"/>
      <c r="R861" s="74"/>
      <c r="S861" s="74"/>
      <c r="T861" s="74"/>
      <c r="U861" s="74"/>
      <c r="V861" s="74"/>
      <c r="W861" s="74"/>
      <c r="X861" s="74"/>
      <c r="Y861" s="74"/>
      <c r="Z861" s="74"/>
      <c r="AA861" s="74"/>
      <c r="AB861" s="3"/>
      <c r="AC861" s="3"/>
      <c r="AD861" s="3"/>
    </row>
    <row r="862" spans="2:30" x14ac:dyDescent="0.2">
      <c r="B862" s="61"/>
      <c r="C862" s="74"/>
      <c r="D862" s="74"/>
      <c r="E862" s="74"/>
      <c r="F862" s="74"/>
      <c r="G862" s="74"/>
      <c r="H862" s="74"/>
      <c r="I862" s="74"/>
      <c r="J862" s="74"/>
      <c r="K862" s="74"/>
      <c r="L862" s="74"/>
      <c r="M862" s="74"/>
      <c r="N862" s="74"/>
      <c r="O862" s="74"/>
      <c r="P862" s="74"/>
      <c r="Q862" s="74"/>
      <c r="R862" s="74"/>
      <c r="S862" s="74"/>
      <c r="T862" s="74"/>
      <c r="U862" s="74"/>
      <c r="V862" s="74"/>
      <c r="W862" s="74"/>
      <c r="X862" s="74"/>
      <c r="Y862" s="74"/>
      <c r="Z862" s="74"/>
      <c r="AA862" s="74"/>
      <c r="AB862" s="3"/>
      <c r="AC862" s="3"/>
      <c r="AD862" s="3"/>
    </row>
    <row r="863" spans="2:30" x14ac:dyDescent="0.2">
      <c r="B863" s="61"/>
      <c r="C863" s="74"/>
      <c r="D863" s="74"/>
      <c r="E863" s="74"/>
      <c r="F863" s="74"/>
      <c r="G863" s="74"/>
      <c r="H863" s="74"/>
      <c r="I863" s="74"/>
      <c r="J863" s="74"/>
      <c r="K863" s="74"/>
      <c r="L863" s="74"/>
      <c r="M863" s="74"/>
      <c r="N863" s="74"/>
      <c r="O863" s="74"/>
      <c r="P863" s="74"/>
      <c r="Q863" s="74"/>
      <c r="R863" s="74"/>
      <c r="S863" s="74"/>
      <c r="T863" s="74"/>
      <c r="U863" s="74"/>
      <c r="V863" s="74"/>
      <c r="W863" s="74"/>
      <c r="X863" s="74"/>
      <c r="Y863" s="74"/>
      <c r="Z863" s="74"/>
      <c r="AA863" s="74"/>
      <c r="AB863" s="3"/>
      <c r="AC863" s="3"/>
      <c r="AD863" s="3"/>
    </row>
    <row r="864" spans="2:30" x14ac:dyDescent="0.2">
      <c r="B864" s="61"/>
      <c r="C864" s="74"/>
      <c r="D864" s="74"/>
      <c r="E864" s="74"/>
      <c r="F864" s="74"/>
      <c r="G864" s="74"/>
      <c r="H864" s="74"/>
      <c r="I864" s="74"/>
      <c r="J864" s="74"/>
      <c r="K864" s="74"/>
      <c r="L864" s="74"/>
      <c r="M864" s="74"/>
      <c r="N864" s="74"/>
      <c r="O864" s="74"/>
      <c r="P864" s="74"/>
      <c r="Q864" s="74"/>
      <c r="R864" s="74"/>
      <c r="S864" s="74"/>
      <c r="T864" s="74"/>
      <c r="U864" s="74"/>
      <c r="V864" s="74"/>
      <c r="W864" s="74"/>
      <c r="X864" s="74"/>
      <c r="Y864" s="74"/>
      <c r="Z864" s="74"/>
      <c r="AA864" s="74"/>
      <c r="AB864" s="3"/>
      <c r="AC864" s="3"/>
      <c r="AD864" s="3"/>
    </row>
    <row r="865" spans="2:30" x14ac:dyDescent="0.2">
      <c r="B865" s="61"/>
      <c r="C865" s="74"/>
      <c r="D865" s="74"/>
      <c r="E865" s="74"/>
      <c r="F865" s="74"/>
      <c r="G865" s="74"/>
      <c r="H865" s="74"/>
      <c r="I865" s="74"/>
      <c r="J865" s="74"/>
      <c r="K865" s="74"/>
      <c r="L865" s="74"/>
      <c r="M865" s="74"/>
      <c r="N865" s="74"/>
      <c r="O865" s="74"/>
      <c r="P865" s="74"/>
      <c r="Q865" s="74"/>
      <c r="R865" s="74"/>
      <c r="S865" s="74"/>
      <c r="T865" s="74"/>
      <c r="U865" s="74"/>
      <c r="V865" s="74"/>
      <c r="W865" s="74"/>
      <c r="X865" s="74"/>
      <c r="Y865" s="74"/>
      <c r="Z865" s="74"/>
      <c r="AA865" s="74"/>
      <c r="AB865" s="3"/>
      <c r="AC865" s="3"/>
      <c r="AD865" s="3"/>
    </row>
    <row r="866" spans="2:30" x14ac:dyDescent="0.2">
      <c r="B866" s="61"/>
      <c r="C866" s="74"/>
      <c r="D866" s="74"/>
      <c r="E866" s="74"/>
      <c r="F866" s="74"/>
      <c r="G866" s="74"/>
      <c r="H866" s="74"/>
      <c r="I866" s="74"/>
      <c r="J866" s="74"/>
      <c r="K866" s="74"/>
      <c r="L866" s="74"/>
      <c r="M866" s="74"/>
      <c r="N866" s="74"/>
      <c r="O866" s="74"/>
      <c r="P866" s="74"/>
      <c r="Q866" s="74"/>
      <c r="R866" s="74"/>
      <c r="S866" s="74"/>
      <c r="T866" s="74"/>
      <c r="U866" s="74"/>
      <c r="V866" s="74"/>
      <c r="W866" s="74"/>
      <c r="X866" s="74"/>
      <c r="Y866" s="74"/>
      <c r="Z866" s="74"/>
      <c r="AA866" s="74"/>
      <c r="AB866" s="3"/>
      <c r="AC866" s="3"/>
      <c r="AD866" s="3"/>
    </row>
    <row r="867" spans="2:30" x14ac:dyDescent="0.2">
      <c r="B867" s="61"/>
      <c r="C867" s="74"/>
      <c r="D867" s="74"/>
      <c r="E867" s="74"/>
      <c r="F867" s="74"/>
      <c r="G867" s="74"/>
      <c r="H867" s="74"/>
      <c r="I867" s="74"/>
      <c r="J867" s="74"/>
      <c r="K867" s="74"/>
      <c r="L867" s="74"/>
      <c r="M867" s="74"/>
      <c r="N867" s="74"/>
      <c r="O867" s="74"/>
      <c r="P867" s="74"/>
      <c r="Q867" s="74"/>
      <c r="R867" s="74"/>
      <c r="S867" s="74"/>
      <c r="T867" s="74"/>
      <c r="U867" s="74"/>
      <c r="V867" s="74"/>
      <c r="W867" s="74"/>
      <c r="X867" s="74"/>
      <c r="Y867" s="74"/>
      <c r="Z867" s="74"/>
      <c r="AA867" s="74"/>
      <c r="AB867" s="3"/>
      <c r="AC867" s="3"/>
      <c r="AD867" s="3"/>
    </row>
    <row r="868" spans="2:30" x14ac:dyDescent="0.2">
      <c r="B868" s="61"/>
      <c r="C868" s="74"/>
      <c r="D868" s="74"/>
      <c r="E868" s="74"/>
      <c r="F868" s="74"/>
      <c r="G868" s="74"/>
      <c r="H868" s="74"/>
      <c r="I868" s="74"/>
      <c r="J868" s="74"/>
      <c r="K868" s="74"/>
      <c r="L868" s="74"/>
      <c r="M868" s="74"/>
      <c r="N868" s="74"/>
      <c r="O868" s="74"/>
      <c r="P868" s="74"/>
      <c r="Q868" s="74"/>
      <c r="R868" s="74"/>
      <c r="S868" s="74"/>
      <c r="T868" s="74"/>
      <c r="U868" s="74"/>
      <c r="V868" s="74"/>
      <c r="W868" s="74"/>
      <c r="X868" s="74"/>
      <c r="Y868" s="74"/>
      <c r="Z868" s="74"/>
      <c r="AA868" s="74"/>
      <c r="AB868" s="3"/>
      <c r="AC868" s="3"/>
      <c r="AD868" s="3"/>
    </row>
    <row r="869" spans="2:30" x14ac:dyDescent="0.2">
      <c r="B869" s="61"/>
      <c r="C869" s="74"/>
      <c r="D869" s="74"/>
      <c r="E869" s="74"/>
      <c r="F869" s="74"/>
      <c r="G869" s="74"/>
      <c r="H869" s="74"/>
      <c r="I869" s="74"/>
      <c r="J869" s="74"/>
      <c r="K869" s="74"/>
      <c r="L869" s="74"/>
      <c r="M869" s="74"/>
      <c r="N869" s="74"/>
      <c r="O869" s="74"/>
      <c r="P869" s="74"/>
      <c r="Q869" s="74"/>
      <c r="R869" s="74"/>
      <c r="S869" s="74"/>
      <c r="T869" s="74"/>
      <c r="U869" s="74"/>
      <c r="V869" s="74"/>
      <c r="W869" s="74"/>
      <c r="X869" s="74"/>
      <c r="Y869" s="74"/>
      <c r="Z869" s="74"/>
      <c r="AA869" s="74"/>
      <c r="AB869" s="3"/>
      <c r="AC869" s="3"/>
      <c r="AD869" s="3"/>
    </row>
    <row r="870" spans="2:30" x14ac:dyDescent="0.2">
      <c r="B870" s="61"/>
      <c r="C870" s="74"/>
      <c r="D870" s="74"/>
      <c r="E870" s="74"/>
      <c r="F870" s="74"/>
      <c r="G870" s="74"/>
      <c r="H870" s="74"/>
      <c r="I870" s="74"/>
      <c r="J870" s="74"/>
      <c r="K870" s="74"/>
      <c r="L870" s="74"/>
      <c r="M870" s="74"/>
      <c r="N870" s="74"/>
      <c r="O870" s="74"/>
      <c r="P870" s="74"/>
      <c r="Q870" s="74"/>
      <c r="R870" s="74"/>
      <c r="S870" s="74"/>
      <c r="T870" s="74"/>
      <c r="U870" s="74"/>
      <c r="V870" s="74"/>
      <c r="W870" s="74"/>
      <c r="X870" s="74"/>
      <c r="Y870" s="74"/>
      <c r="Z870" s="74"/>
      <c r="AA870" s="74"/>
      <c r="AB870" s="3"/>
      <c r="AC870" s="3"/>
      <c r="AD870" s="3"/>
    </row>
    <row r="871" spans="2:30" x14ac:dyDescent="0.2">
      <c r="B871" s="61"/>
      <c r="C871" s="74"/>
      <c r="D871" s="74"/>
      <c r="E871" s="74"/>
      <c r="F871" s="74"/>
      <c r="G871" s="74"/>
      <c r="H871" s="74"/>
      <c r="I871" s="74"/>
      <c r="J871" s="74"/>
      <c r="K871" s="74"/>
      <c r="L871" s="74"/>
      <c r="M871" s="74"/>
      <c r="N871" s="74"/>
      <c r="O871" s="74"/>
      <c r="P871" s="74"/>
      <c r="Q871" s="74"/>
      <c r="R871" s="74"/>
      <c r="S871" s="74"/>
      <c r="T871" s="74"/>
      <c r="U871" s="74"/>
      <c r="V871" s="74"/>
      <c r="W871" s="74"/>
      <c r="X871" s="74"/>
      <c r="Y871" s="74"/>
      <c r="Z871" s="74"/>
      <c r="AA871" s="74"/>
      <c r="AB871" s="3"/>
      <c r="AC871" s="3"/>
      <c r="AD871" s="3"/>
    </row>
    <row r="872" spans="2:30" x14ac:dyDescent="0.2">
      <c r="B872" s="61"/>
      <c r="C872" s="74"/>
      <c r="D872" s="74"/>
      <c r="E872" s="74"/>
      <c r="F872" s="74"/>
      <c r="G872" s="74"/>
      <c r="H872" s="74"/>
      <c r="I872" s="74"/>
      <c r="J872" s="74"/>
      <c r="K872" s="74"/>
      <c r="L872" s="74"/>
      <c r="M872" s="74"/>
      <c r="N872" s="74"/>
      <c r="O872" s="74"/>
      <c r="P872" s="74"/>
      <c r="Q872" s="74"/>
      <c r="R872" s="74"/>
      <c r="S872" s="74"/>
      <c r="T872" s="74"/>
      <c r="U872" s="74"/>
      <c r="V872" s="74"/>
      <c r="W872" s="74"/>
      <c r="X872" s="74"/>
      <c r="Y872" s="74"/>
      <c r="Z872" s="74"/>
      <c r="AA872" s="74"/>
      <c r="AB872" s="3"/>
      <c r="AC872" s="3"/>
      <c r="AD872" s="3"/>
    </row>
    <row r="873" spans="2:30" x14ac:dyDescent="0.2">
      <c r="B873" s="61"/>
      <c r="C873" s="74"/>
      <c r="D873" s="74"/>
      <c r="E873" s="74"/>
      <c r="F873" s="74"/>
      <c r="G873" s="74"/>
      <c r="H873" s="74"/>
      <c r="I873" s="74"/>
      <c r="J873" s="74"/>
      <c r="K873" s="74"/>
      <c r="L873" s="74"/>
      <c r="M873" s="74"/>
      <c r="N873" s="74"/>
      <c r="O873" s="74"/>
      <c r="P873" s="74"/>
      <c r="Q873" s="74"/>
      <c r="R873" s="74"/>
      <c r="S873" s="74"/>
      <c r="T873" s="74"/>
      <c r="U873" s="74"/>
      <c r="V873" s="74"/>
      <c r="W873" s="74"/>
      <c r="X873" s="74"/>
      <c r="Y873" s="74"/>
      <c r="Z873" s="74"/>
      <c r="AA873" s="74"/>
      <c r="AB873" s="3"/>
      <c r="AC873" s="3"/>
      <c r="AD873" s="3"/>
    </row>
    <row r="874" spans="2:30" x14ac:dyDescent="0.2">
      <c r="B874" s="61"/>
      <c r="C874" s="74"/>
      <c r="D874" s="74"/>
      <c r="E874" s="74"/>
      <c r="F874" s="74"/>
      <c r="G874" s="74"/>
      <c r="H874" s="74"/>
      <c r="I874" s="74"/>
      <c r="J874" s="74"/>
      <c r="K874" s="74"/>
      <c r="L874" s="74"/>
      <c r="M874" s="74"/>
      <c r="N874" s="74"/>
      <c r="O874" s="74"/>
      <c r="P874" s="74"/>
      <c r="Q874" s="74"/>
      <c r="R874" s="74"/>
      <c r="S874" s="74"/>
      <c r="T874" s="74"/>
      <c r="U874" s="74"/>
      <c r="V874" s="74"/>
      <c r="W874" s="74"/>
      <c r="X874" s="74"/>
      <c r="Y874" s="74"/>
      <c r="Z874" s="74"/>
      <c r="AA874" s="74"/>
      <c r="AB874" s="3"/>
      <c r="AC874" s="3"/>
      <c r="AD874" s="3"/>
    </row>
    <row r="875" spans="2:30" x14ac:dyDescent="0.2">
      <c r="B875" s="61"/>
      <c r="C875" s="74"/>
      <c r="D875" s="74"/>
      <c r="E875" s="74"/>
      <c r="F875" s="74"/>
      <c r="G875" s="74"/>
      <c r="H875" s="74"/>
      <c r="I875" s="74"/>
      <c r="J875" s="74"/>
      <c r="K875" s="74"/>
      <c r="L875" s="74"/>
      <c r="M875" s="74"/>
      <c r="N875" s="74"/>
      <c r="O875" s="74"/>
      <c r="P875" s="74"/>
      <c r="Q875" s="74"/>
      <c r="R875" s="74"/>
      <c r="S875" s="74"/>
      <c r="T875" s="74"/>
      <c r="U875" s="74"/>
      <c r="V875" s="74"/>
      <c r="W875" s="74"/>
      <c r="X875" s="74"/>
      <c r="Y875" s="74"/>
      <c r="Z875" s="74"/>
      <c r="AA875" s="74"/>
      <c r="AB875" s="3"/>
      <c r="AC875" s="3"/>
      <c r="AD875" s="3"/>
    </row>
    <row r="876" spans="2:30" x14ac:dyDescent="0.2">
      <c r="B876" s="61"/>
      <c r="C876" s="74"/>
      <c r="D876" s="74"/>
      <c r="E876" s="74"/>
      <c r="F876" s="74"/>
      <c r="G876" s="74"/>
      <c r="H876" s="74"/>
      <c r="I876" s="74"/>
      <c r="J876" s="74"/>
      <c r="K876" s="74"/>
      <c r="L876" s="74"/>
      <c r="M876" s="74"/>
      <c r="N876" s="74"/>
      <c r="O876" s="74"/>
      <c r="P876" s="74"/>
      <c r="Q876" s="74"/>
      <c r="R876" s="74"/>
      <c r="S876" s="74"/>
      <c r="T876" s="74"/>
      <c r="U876" s="74"/>
      <c r="V876" s="74"/>
      <c r="W876" s="74"/>
      <c r="X876" s="74"/>
      <c r="Y876" s="74"/>
      <c r="Z876" s="74"/>
      <c r="AA876" s="74"/>
      <c r="AB876" s="3"/>
      <c r="AC876" s="3"/>
      <c r="AD876" s="3"/>
    </row>
    <row r="877" spans="2:30" x14ac:dyDescent="0.2">
      <c r="B877" s="61"/>
      <c r="C877" s="74"/>
      <c r="D877" s="74"/>
      <c r="E877" s="74"/>
      <c r="F877" s="74"/>
      <c r="G877" s="74"/>
      <c r="H877" s="74"/>
      <c r="I877" s="74"/>
      <c r="J877" s="74"/>
      <c r="K877" s="74"/>
      <c r="L877" s="74"/>
      <c r="M877" s="74"/>
      <c r="N877" s="74"/>
      <c r="O877" s="74"/>
      <c r="P877" s="74"/>
      <c r="Q877" s="74"/>
      <c r="R877" s="74"/>
      <c r="S877" s="74"/>
      <c r="T877" s="74"/>
      <c r="U877" s="74"/>
      <c r="V877" s="74"/>
      <c r="W877" s="74"/>
      <c r="X877" s="74"/>
      <c r="Y877" s="74"/>
      <c r="Z877" s="74"/>
      <c r="AA877" s="74"/>
      <c r="AB877" s="3"/>
      <c r="AC877" s="3"/>
      <c r="AD877" s="3"/>
    </row>
    <row r="878" spans="2:30" x14ac:dyDescent="0.2">
      <c r="B878" s="61"/>
      <c r="C878" s="74"/>
      <c r="D878" s="74"/>
      <c r="E878" s="74"/>
      <c r="F878" s="74"/>
      <c r="G878" s="74"/>
      <c r="H878" s="74"/>
      <c r="I878" s="74"/>
      <c r="J878" s="74"/>
      <c r="K878" s="74"/>
      <c r="L878" s="74"/>
      <c r="M878" s="74"/>
      <c r="N878" s="74"/>
      <c r="O878" s="74"/>
      <c r="P878" s="74"/>
      <c r="Q878" s="74"/>
      <c r="R878" s="74"/>
      <c r="S878" s="74"/>
      <c r="T878" s="74"/>
      <c r="U878" s="74"/>
      <c r="V878" s="74"/>
      <c r="W878" s="74"/>
      <c r="X878" s="74"/>
      <c r="Y878" s="74"/>
      <c r="Z878" s="74"/>
      <c r="AA878" s="74"/>
      <c r="AB878" s="3"/>
      <c r="AC878" s="3"/>
      <c r="AD878" s="3"/>
    </row>
    <row r="879" spans="2:30" x14ac:dyDescent="0.2">
      <c r="B879" s="61"/>
      <c r="C879" s="74"/>
      <c r="D879" s="74"/>
      <c r="E879" s="74"/>
      <c r="F879" s="74"/>
      <c r="G879" s="74"/>
      <c r="H879" s="74"/>
      <c r="I879" s="74"/>
      <c r="J879" s="74"/>
      <c r="K879" s="74"/>
      <c r="L879" s="74"/>
      <c r="M879" s="74"/>
      <c r="N879" s="74"/>
      <c r="O879" s="74"/>
      <c r="P879" s="74"/>
      <c r="Q879" s="74"/>
      <c r="R879" s="74"/>
      <c r="S879" s="74"/>
      <c r="T879" s="74"/>
      <c r="U879" s="74"/>
      <c r="V879" s="74"/>
      <c r="W879" s="74"/>
      <c r="X879" s="74"/>
      <c r="Y879" s="74"/>
      <c r="Z879" s="74"/>
      <c r="AA879" s="74"/>
      <c r="AB879" s="3"/>
      <c r="AC879" s="3"/>
      <c r="AD879" s="3"/>
    </row>
    <row r="880" spans="2:30" x14ac:dyDescent="0.2">
      <c r="B880" s="61"/>
      <c r="C880" s="74"/>
      <c r="D880" s="74"/>
      <c r="E880" s="74"/>
      <c r="F880" s="74"/>
      <c r="G880" s="74"/>
      <c r="H880" s="74"/>
      <c r="I880" s="74"/>
      <c r="J880" s="74"/>
      <c r="K880" s="74"/>
      <c r="L880" s="74"/>
      <c r="M880" s="74"/>
      <c r="N880" s="74"/>
      <c r="O880" s="74"/>
      <c r="P880" s="74"/>
      <c r="Q880" s="74"/>
      <c r="R880" s="74"/>
      <c r="S880" s="74"/>
      <c r="T880" s="74"/>
      <c r="U880" s="74"/>
      <c r="V880" s="74"/>
      <c r="W880" s="74"/>
      <c r="X880" s="74"/>
      <c r="Y880" s="74"/>
      <c r="Z880" s="74"/>
      <c r="AA880" s="74"/>
      <c r="AB880" s="3"/>
      <c r="AC880" s="3"/>
      <c r="AD880" s="3"/>
    </row>
    <row r="881" spans="2:30" x14ac:dyDescent="0.2">
      <c r="B881" s="61"/>
      <c r="C881" s="74"/>
      <c r="D881" s="74"/>
      <c r="E881" s="74"/>
      <c r="F881" s="74"/>
      <c r="G881" s="74"/>
      <c r="H881" s="74"/>
      <c r="I881" s="74"/>
      <c r="J881" s="74"/>
      <c r="K881" s="74"/>
      <c r="L881" s="74"/>
      <c r="M881" s="74"/>
      <c r="N881" s="74"/>
      <c r="O881" s="74"/>
      <c r="P881" s="74"/>
      <c r="Q881" s="74"/>
      <c r="R881" s="74"/>
      <c r="S881" s="74"/>
      <c r="T881" s="74"/>
      <c r="U881" s="74"/>
      <c r="V881" s="74"/>
      <c r="W881" s="74"/>
      <c r="X881" s="74"/>
      <c r="Y881" s="74"/>
      <c r="Z881" s="74"/>
      <c r="AA881" s="74"/>
      <c r="AB881" s="3"/>
      <c r="AC881" s="3"/>
      <c r="AD881" s="3"/>
    </row>
    <row r="882" spans="2:30" x14ac:dyDescent="0.2">
      <c r="B882" s="61"/>
      <c r="C882" s="74"/>
      <c r="D882" s="74"/>
      <c r="E882" s="74"/>
      <c r="F882" s="74"/>
      <c r="G882" s="74"/>
      <c r="H882" s="74"/>
      <c r="I882" s="74"/>
      <c r="J882" s="74"/>
      <c r="K882" s="74"/>
      <c r="L882" s="74"/>
      <c r="M882" s="74"/>
      <c r="N882" s="74"/>
      <c r="O882" s="74"/>
      <c r="P882" s="74"/>
      <c r="Q882" s="74"/>
      <c r="R882" s="74"/>
      <c r="S882" s="74"/>
      <c r="T882" s="74"/>
      <c r="U882" s="74"/>
      <c r="V882" s="74"/>
      <c r="W882" s="74"/>
      <c r="X882" s="74"/>
      <c r="Y882" s="74"/>
      <c r="Z882" s="74"/>
      <c r="AA882" s="74"/>
      <c r="AB882" s="3"/>
      <c r="AC882" s="3"/>
      <c r="AD882" s="3"/>
    </row>
    <row r="883" spans="2:30" x14ac:dyDescent="0.2">
      <c r="B883" s="61"/>
      <c r="C883" s="74"/>
      <c r="D883" s="74"/>
      <c r="E883" s="74"/>
      <c r="F883" s="74"/>
      <c r="G883" s="74"/>
      <c r="H883" s="74"/>
      <c r="I883" s="74"/>
      <c r="J883" s="74"/>
      <c r="K883" s="74"/>
      <c r="L883" s="74"/>
      <c r="M883" s="74"/>
      <c r="N883" s="74"/>
      <c r="O883" s="74"/>
      <c r="P883" s="74"/>
      <c r="Q883" s="74"/>
      <c r="R883" s="74"/>
      <c r="S883" s="74"/>
      <c r="T883" s="74"/>
      <c r="U883" s="74"/>
      <c r="V883" s="74"/>
      <c r="W883" s="74"/>
      <c r="X883" s="74"/>
      <c r="Y883" s="74"/>
      <c r="Z883" s="74"/>
      <c r="AA883" s="74"/>
      <c r="AB883" s="3"/>
      <c r="AC883" s="3"/>
      <c r="AD883" s="3"/>
    </row>
    <row r="884" spans="2:30" x14ac:dyDescent="0.2">
      <c r="B884" s="61"/>
      <c r="C884" s="74"/>
      <c r="D884" s="74"/>
      <c r="E884" s="74"/>
      <c r="F884" s="74"/>
      <c r="G884" s="74"/>
      <c r="H884" s="74"/>
      <c r="I884" s="74"/>
      <c r="J884" s="74"/>
      <c r="K884" s="74"/>
      <c r="L884" s="74"/>
      <c r="M884" s="74"/>
      <c r="N884" s="74"/>
      <c r="O884" s="74"/>
      <c r="P884" s="74"/>
      <c r="Q884" s="74"/>
      <c r="R884" s="74"/>
      <c r="S884" s="74"/>
      <c r="T884" s="74"/>
      <c r="U884" s="74"/>
      <c r="V884" s="74"/>
      <c r="W884" s="74"/>
      <c r="X884" s="74"/>
      <c r="Y884" s="74"/>
      <c r="Z884" s="74"/>
      <c r="AA884" s="74"/>
      <c r="AB884" s="3"/>
      <c r="AC884" s="3"/>
      <c r="AD884" s="3"/>
    </row>
    <row r="885" spans="2:30" x14ac:dyDescent="0.2">
      <c r="B885" s="61"/>
      <c r="C885" s="74"/>
      <c r="D885" s="74"/>
      <c r="E885" s="74"/>
      <c r="F885" s="74"/>
      <c r="G885" s="74"/>
      <c r="H885" s="74"/>
      <c r="I885" s="74"/>
      <c r="J885" s="74"/>
      <c r="K885" s="74"/>
      <c r="L885" s="74"/>
      <c r="M885" s="74"/>
      <c r="N885" s="74"/>
      <c r="O885" s="74"/>
      <c r="P885" s="74"/>
      <c r="Q885" s="74"/>
      <c r="R885" s="74"/>
      <c r="S885" s="74"/>
      <c r="T885" s="74"/>
      <c r="U885" s="74"/>
      <c r="V885" s="74"/>
      <c r="W885" s="74"/>
      <c r="X885" s="74"/>
      <c r="Y885" s="74"/>
      <c r="Z885" s="74"/>
      <c r="AA885" s="74"/>
      <c r="AB885" s="3"/>
      <c r="AC885" s="3"/>
      <c r="AD885" s="3"/>
    </row>
    <row r="886" spans="2:30" x14ac:dyDescent="0.2">
      <c r="B886" s="61"/>
      <c r="C886" s="74"/>
      <c r="D886" s="74"/>
      <c r="E886" s="74"/>
      <c r="F886" s="74"/>
      <c r="G886" s="74"/>
      <c r="H886" s="74"/>
      <c r="I886" s="74"/>
      <c r="J886" s="74"/>
      <c r="K886" s="74"/>
      <c r="L886" s="74"/>
      <c r="M886" s="74"/>
      <c r="N886" s="74"/>
      <c r="O886" s="74"/>
      <c r="P886" s="74"/>
      <c r="Q886" s="74"/>
      <c r="R886" s="74"/>
      <c r="S886" s="74"/>
      <c r="T886" s="74"/>
      <c r="U886" s="74"/>
      <c r="V886" s="74"/>
      <c r="W886" s="74"/>
      <c r="X886" s="74"/>
      <c r="Y886" s="74"/>
      <c r="Z886" s="74"/>
      <c r="AA886" s="74"/>
      <c r="AB886" s="3"/>
      <c r="AC886" s="3"/>
      <c r="AD886" s="3"/>
    </row>
    <row r="887" spans="2:30" x14ac:dyDescent="0.2">
      <c r="B887" s="61"/>
      <c r="C887" s="74"/>
      <c r="D887" s="74"/>
      <c r="E887" s="74"/>
      <c r="F887" s="74"/>
      <c r="G887" s="74"/>
      <c r="H887" s="74"/>
      <c r="I887" s="74"/>
      <c r="J887" s="74"/>
      <c r="K887" s="74"/>
      <c r="L887" s="74"/>
      <c r="M887" s="74"/>
      <c r="N887" s="74"/>
      <c r="O887" s="74"/>
      <c r="P887" s="74"/>
      <c r="Q887" s="74"/>
      <c r="R887" s="74"/>
      <c r="S887" s="74"/>
      <c r="T887" s="74"/>
      <c r="U887" s="74"/>
      <c r="V887" s="74"/>
      <c r="W887" s="74"/>
      <c r="X887" s="74"/>
      <c r="Y887" s="74"/>
      <c r="Z887" s="74"/>
      <c r="AA887" s="74"/>
      <c r="AB887" s="3"/>
      <c r="AC887" s="3"/>
      <c r="AD887" s="3"/>
    </row>
    <row r="888" spans="2:30" x14ac:dyDescent="0.2">
      <c r="B888" s="61"/>
      <c r="C888" s="74"/>
      <c r="D888" s="74"/>
      <c r="E888" s="74"/>
      <c r="F888" s="74"/>
      <c r="G888" s="74"/>
      <c r="H888" s="74"/>
      <c r="I888" s="74"/>
      <c r="J888" s="74"/>
      <c r="K888" s="74"/>
      <c r="L888" s="74"/>
      <c r="M888" s="74"/>
      <c r="N888" s="74"/>
      <c r="O888" s="74"/>
      <c r="P888" s="74"/>
      <c r="Q888" s="74"/>
      <c r="R888" s="74"/>
      <c r="S888" s="74"/>
      <c r="T888" s="74"/>
      <c r="U888" s="74"/>
      <c r="V888" s="74"/>
      <c r="W888" s="74"/>
      <c r="X888" s="74"/>
      <c r="Y888" s="74"/>
      <c r="Z888" s="74"/>
      <c r="AA888" s="74"/>
      <c r="AB888" s="3"/>
      <c r="AC888" s="3"/>
      <c r="AD888" s="3"/>
    </row>
    <row r="889" spans="2:30" x14ac:dyDescent="0.2">
      <c r="B889" s="61"/>
      <c r="C889" s="74"/>
      <c r="D889" s="74"/>
      <c r="E889" s="74"/>
      <c r="F889" s="74"/>
      <c r="G889" s="74"/>
      <c r="H889" s="74"/>
      <c r="I889" s="74"/>
      <c r="J889" s="74"/>
      <c r="K889" s="74"/>
      <c r="L889" s="74"/>
      <c r="M889" s="74"/>
      <c r="N889" s="74"/>
      <c r="O889" s="74"/>
      <c r="P889" s="74"/>
      <c r="Q889" s="74"/>
      <c r="R889" s="74"/>
      <c r="S889" s="74"/>
      <c r="T889" s="74"/>
      <c r="U889" s="74"/>
      <c r="V889" s="74"/>
      <c r="W889" s="74"/>
      <c r="X889" s="74"/>
      <c r="Y889" s="74"/>
      <c r="Z889" s="74"/>
      <c r="AA889" s="74"/>
      <c r="AB889" s="3"/>
      <c r="AC889" s="3"/>
      <c r="AD889" s="3"/>
    </row>
    <row r="890" spans="2:30" x14ac:dyDescent="0.2">
      <c r="B890" s="61"/>
      <c r="C890" s="74"/>
      <c r="D890" s="74"/>
      <c r="E890" s="74"/>
      <c r="F890" s="74"/>
      <c r="G890" s="74"/>
      <c r="H890" s="74"/>
      <c r="I890" s="74"/>
      <c r="J890" s="74"/>
      <c r="K890" s="74"/>
      <c r="L890" s="74"/>
      <c r="M890" s="74"/>
      <c r="N890" s="74"/>
      <c r="O890" s="74"/>
      <c r="P890" s="74"/>
      <c r="Q890" s="74"/>
      <c r="R890" s="74"/>
      <c r="S890" s="74"/>
      <c r="T890" s="74"/>
      <c r="U890" s="74"/>
      <c r="V890" s="74"/>
      <c r="W890" s="74"/>
      <c r="X890" s="74"/>
      <c r="Y890" s="74"/>
      <c r="Z890" s="74"/>
      <c r="AA890" s="74"/>
      <c r="AB890" s="3"/>
      <c r="AC890" s="3"/>
      <c r="AD890" s="3"/>
    </row>
    <row r="891" spans="2:30" x14ac:dyDescent="0.2">
      <c r="B891" s="61"/>
      <c r="C891" s="74"/>
      <c r="D891" s="74"/>
      <c r="E891" s="74"/>
      <c r="F891" s="74"/>
      <c r="G891" s="74"/>
      <c r="H891" s="74"/>
      <c r="I891" s="74"/>
      <c r="J891" s="74"/>
      <c r="K891" s="74"/>
      <c r="L891" s="74"/>
      <c r="M891" s="74"/>
      <c r="N891" s="74"/>
      <c r="O891" s="74"/>
      <c r="P891" s="74"/>
      <c r="Q891" s="74"/>
      <c r="R891" s="74"/>
      <c r="S891" s="74"/>
      <c r="T891" s="74"/>
      <c r="U891" s="74"/>
      <c r="V891" s="74"/>
      <c r="W891" s="74"/>
      <c r="X891" s="74"/>
      <c r="Y891" s="74"/>
      <c r="Z891" s="74"/>
      <c r="AA891" s="74"/>
      <c r="AB891" s="3"/>
      <c r="AC891" s="3"/>
      <c r="AD891" s="3"/>
    </row>
    <row r="892" spans="2:30" x14ac:dyDescent="0.2">
      <c r="B892" s="61"/>
      <c r="C892" s="74"/>
      <c r="D892" s="74"/>
      <c r="E892" s="74"/>
      <c r="F892" s="74"/>
      <c r="G892" s="74"/>
      <c r="H892" s="74"/>
      <c r="I892" s="74"/>
      <c r="J892" s="74"/>
      <c r="K892" s="74"/>
      <c r="L892" s="74"/>
      <c r="M892" s="74"/>
      <c r="N892" s="74"/>
      <c r="O892" s="74"/>
      <c r="P892" s="74"/>
      <c r="Q892" s="74"/>
      <c r="R892" s="74"/>
      <c r="S892" s="74"/>
      <c r="T892" s="74"/>
      <c r="U892" s="74"/>
      <c r="V892" s="74"/>
      <c r="W892" s="74"/>
      <c r="X892" s="74"/>
      <c r="Y892" s="74"/>
      <c r="Z892" s="74"/>
      <c r="AA892" s="74"/>
      <c r="AB892" s="3"/>
      <c r="AC892" s="3"/>
      <c r="AD892" s="3"/>
    </row>
    <row r="893" spans="2:30" x14ac:dyDescent="0.2">
      <c r="B893" s="61"/>
      <c r="C893" s="74"/>
      <c r="D893" s="74"/>
      <c r="E893" s="74"/>
      <c r="F893" s="74"/>
      <c r="G893" s="74"/>
      <c r="H893" s="74"/>
      <c r="I893" s="74"/>
      <c r="J893" s="74"/>
      <c r="K893" s="74"/>
      <c r="L893" s="74"/>
      <c r="M893" s="74"/>
      <c r="N893" s="74"/>
      <c r="O893" s="74"/>
      <c r="P893" s="74"/>
      <c r="Q893" s="74"/>
      <c r="R893" s="74"/>
      <c r="S893" s="74"/>
      <c r="T893" s="74"/>
      <c r="U893" s="74"/>
      <c r="V893" s="74"/>
      <c r="W893" s="74"/>
      <c r="X893" s="74"/>
      <c r="Y893" s="74"/>
      <c r="Z893" s="74"/>
      <c r="AA893" s="74"/>
      <c r="AB893" s="3"/>
      <c r="AC893" s="3"/>
      <c r="AD893" s="3"/>
    </row>
    <row r="894" spans="2:30" x14ac:dyDescent="0.2">
      <c r="B894" s="61"/>
      <c r="C894" s="74"/>
      <c r="D894" s="74"/>
      <c r="E894" s="74"/>
      <c r="F894" s="74"/>
      <c r="G894" s="74"/>
      <c r="H894" s="74"/>
      <c r="I894" s="74"/>
      <c r="J894" s="74"/>
      <c r="K894" s="74"/>
      <c r="L894" s="74"/>
      <c r="M894" s="74"/>
      <c r="N894" s="74"/>
      <c r="O894" s="74"/>
      <c r="P894" s="74"/>
      <c r="Q894" s="74"/>
      <c r="R894" s="74"/>
      <c r="S894" s="74"/>
      <c r="T894" s="74"/>
      <c r="U894" s="74"/>
      <c r="V894" s="74"/>
      <c r="W894" s="74"/>
      <c r="X894" s="74"/>
      <c r="Y894" s="74"/>
      <c r="Z894" s="74"/>
      <c r="AA894" s="74"/>
      <c r="AB894" s="3"/>
      <c r="AC894" s="3"/>
      <c r="AD894" s="3"/>
    </row>
    <row r="895" spans="2:30" x14ac:dyDescent="0.2">
      <c r="B895" s="61"/>
      <c r="C895" s="74"/>
      <c r="D895" s="74"/>
      <c r="E895" s="74"/>
      <c r="F895" s="74"/>
      <c r="G895" s="74"/>
      <c r="H895" s="74"/>
      <c r="I895" s="74"/>
      <c r="J895" s="74"/>
      <c r="K895" s="74"/>
      <c r="L895" s="74"/>
      <c r="M895" s="74"/>
      <c r="N895" s="74"/>
      <c r="O895" s="74"/>
      <c r="P895" s="74"/>
      <c r="Q895" s="74"/>
      <c r="R895" s="74"/>
      <c r="S895" s="74"/>
      <c r="T895" s="74"/>
      <c r="U895" s="74"/>
      <c r="V895" s="74"/>
      <c r="W895" s="74"/>
      <c r="X895" s="74"/>
      <c r="Y895" s="74"/>
      <c r="Z895" s="74"/>
      <c r="AA895" s="74"/>
      <c r="AB895" s="3"/>
      <c r="AC895" s="3"/>
      <c r="AD895" s="3"/>
    </row>
    <row r="896" spans="2:30" x14ac:dyDescent="0.2">
      <c r="B896" s="61"/>
      <c r="C896" s="74"/>
      <c r="D896" s="74"/>
      <c r="E896" s="74"/>
      <c r="F896" s="74"/>
      <c r="G896" s="74"/>
      <c r="H896" s="74"/>
      <c r="I896" s="74"/>
      <c r="J896" s="74"/>
      <c r="K896" s="74"/>
      <c r="L896" s="74"/>
      <c r="M896" s="74"/>
      <c r="N896" s="74"/>
      <c r="O896" s="74"/>
      <c r="P896" s="74"/>
      <c r="Q896" s="74"/>
      <c r="R896" s="74"/>
      <c r="S896" s="74"/>
      <c r="T896" s="74"/>
      <c r="U896" s="74"/>
      <c r="V896" s="74"/>
      <c r="W896" s="74"/>
      <c r="X896" s="74"/>
      <c r="Y896" s="74"/>
      <c r="Z896" s="74"/>
      <c r="AA896" s="74"/>
      <c r="AB896" s="3"/>
      <c r="AC896" s="3"/>
      <c r="AD896" s="3"/>
    </row>
    <row r="897" spans="2:30" x14ac:dyDescent="0.2">
      <c r="B897" s="61"/>
      <c r="C897" s="74"/>
      <c r="D897" s="74"/>
      <c r="E897" s="74"/>
      <c r="F897" s="74"/>
      <c r="G897" s="74"/>
      <c r="H897" s="74"/>
      <c r="I897" s="74"/>
      <c r="J897" s="74"/>
      <c r="K897" s="74"/>
      <c r="L897" s="74"/>
      <c r="M897" s="74"/>
      <c r="N897" s="74"/>
      <c r="O897" s="74"/>
      <c r="P897" s="74"/>
      <c r="Q897" s="74"/>
      <c r="R897" s="74"/>
      <c r="S897" s="74"/>
      <c r="T897" s="74"/>
      <c r="U897" s="74"/>
      <c r="V897" s="74"/>
      <c r="W897" s="74"/>
      <c r="X897" s="74"/>
      <c r="Y897" s="74"/>
      <c r="Z897" s="74"/>
      <c r="AA897" s="74"/>
      <c r="AB897" s="3"/>
      <c r="AC897" s="3"/>
      <c r="AD897" s="3"/>
    </row>
    <row r="898" spans="2:30" x14ac:dyDescent="0.2">
      <c r="B898" s="61"/>
      <c r="C898" s="74"/>
      <c r="D898" s="74"/>
      <c r="E898" s="74"/>
      <c r="F898" s="74"/>
      <c r="G898" s="74"/>
      <c r="H898" s="74"/>
      <c r="I898" s="74"/>
      <c r="J898" s="74"/>
      <c r="K898" s="74"/>
      <c r="L898" s="74"/>
      <c r="M898" s="74"/>
      <c r="N898" s="74"/>
      <c r="O898" s="74"/>
      <c r="P898" s="74"/>
      <c r="Q898" s="74"/>
      <c r="R898" s="74"/>
      <c r="S898" s="74"/>
      <c r="T898" s="74"/>
      <c r="U898" s="74"/>
      <c r="V898" s="74"/>
      <c r="W898" s="74"/>
      <c r="X898" s="74"/>
      <c r="Y898" s="74"/>
      <c r="Z898" s="74"/>
      <c r="AA898" s="74"/>
      <c r="AB898" s="3"/>
      <c r="AC898" s="3"/>
      <c r="AD898" s="3"/>
    </row>
    <row r="899" spans="2:30" x14ac:dyDescent="0.2">
      <c r="B899" s="61"/>
      <c r="C899" s="74"/>
      <c r="D899" s="74"/>
      <c r="E899" s="74"/>
      <c r="F899" s="74"/>
      <c r="G899" s="74"/>
      <c r="H899" s="74"/>
      <c r="I899" s="74"/>
      <c r="J899" s="74"/>
      <c r="K899" s="74"/>
      <c r="L899" s="74"/>
      <c r="M899" s="74"/>
      <c r="N899" s="74"/>
      <c r="O899" s="74"/>
      <c r="P899" s="74"/>
      <c r="Q899" s="74"/>
      <c r="R899" s="74"/>
      <c r="S899" s="74"/>
      <c r="T899" s="74"/>
      <c r="U899" s="74"/>
      <c r="V899" s="74"/>
      <c r="W899" s="74"/>
      <c r="X899" s="74"/>
      <c r="Y899" s="74"/>
      <c r="Z899" s="74"/>
      <c r="AA899" s="74"/>
      <c r="AB899" s="3"/>
      <c r="AC899" s="3"/>
      <c r="AD899" s="3"/>
    </row>
    <row r="900" spans="2:30" x14ac:dyDescent="0.2">
      <c r="B900" s="61"/>
      <c r="C900" s="74"/>
      <c r="D900" s="74"/>
      <c r="E900" s="74"/>
      <c r="F900" s="74"/>
      <c r="G900" s="74"/>
      <c r="H900" s="74"/>
      <c r="I900" s="74"/>
      <c r="J900" s="74"/>
      <c r="K900" s="74"/>
      <c r="L900" s="74"/>
      <c r="M900" s="74"/>
      <c r="N900" s="74"/>
      <c r="O900" s="74"/>
      <c r="P900" s="74"/>
      <c r="Q900" s="74"/>
      <c r="R900" s="74"/>
      <c r="S900" s="74"/>
      <c r="T900" s="74"/>
      <c r="U900" s="74"/>
      <c r="V900" s="74"/>
      <c r="W900" s="74"/>
      <c r="X900" s="74"/>
      <c r="Y900" s="74"/>
      <c r="Z900" s="74"/>
      <c r="AA900" s="74"/>
      <c r="AB900" s="3"/>
      <c r="AC900" s="3"/>
      <c r="AD900" s="3"/>
    </row>
    <row r="901" spans="2:30" x14ac:dyDescent="0.2">
      <c r="B901" s="61"/>
      <c r="C901" s="74"/>
      <c r="D901" s="74"/>
      <c r="E901" s="74"/>
      <c r="F901" s="74"/>
      <c r="G901" s="74"/>
      <c r="H901" s="74"/>
      <c r="I901" s="74"/>
      <c r="J901" s="74"/>
      <c r="K901" s="74"/>
      <c r="L901" s="74"/>
      <c r="M901" s="74"/>
      <c r="N901" s="74"/>
      <c r="O901" s="74"/>
      <c r="P901" s="74"/>
      <c r="Q901" s="74"/>
      <c r="R901" s="74"/>
      <c r="S901" s="74"/>
      <c r="T901" s="74"/>
      <c r="U901" s="74"/>
      <c r="V901" s="74"/>
      <c r="W901" s="74"/>
      <c r="X901" s="74"/>
      <c r="Y901" s="74"/>
      <c r="Z901" s="74"/>
      <c r="AA901" s="74"/>
      <c r="AB901" s="3"/>
      <c r="AC901" s="3"/>
      <c r="AD901" s="3"/>
    </row>
    <row r="902" spans="2:30" x14ac:dyDescent="0.2">
      <c r="B902" s="61"/>
      <c r="C902" s="74"/>
      <c r="D902" s="74"/>
      <c r="E902" s="74"/>
      <c r="F902" s="74"/>
      <c r="G902" s="74"/>
      <c r="H902" s="74"/>
      <c r="I902" s="74"/>
      <c r="J902" s="74"/>
      <c r="K902" s="74"/>
      <c r="L902" s="74"/>
      <c r="M902" s="74"/>
      <c r="N902" s="74"/>
      <c r="O902" s="74"/>
      <c r="P902" s="74"/>
      <c r="Q902" s="74"/>
      <c r="R902" s="74"/>
      <c r="S902" s="74"/>
      <c r="T902" s="74"/>
      <c r="U902" s="74"/>
      <c r="V902" s="74"/>
      <c r="W902" s="74"/>
      <c r="X902" s="74"/>
      <c r="Y902" s="74"/>
      <c r="Z902" s="74"/>
      <c r="AA902" s="74"/>
      <c r="AB902" s="3"/>
      <c r="AC902" s="3"/>
      <c r="AD902" s="3"/>
    </row>
    <row r="903" spans="2:30" x14ac:dyDescent="0.2">
      <c r="B903" s="61"/>
      <c r="C903" s="74"/>
      <c r="D903" s="74"/>
      <c r="E903" s="74"/>
      <c r="F903" s="74"/>
      <c r="G903" s="74"/>
      <c r="H903" s="74"/>
      <c r="I903" s="74"/>
      <c r="J903" s="74"/>
      <c r="K903" s="74"/>
      <c r="L903" s="74"/>
      <c r="M903" s="74"/>
      <c r="N903" s="74"/>
      <c r="O903" s="74"/>
      <c r="P903" s="74"/>
      <c r="Q903" s="74"/>
      <c r="R903" s="74"/>
      <c r="S903" s="74"/>
      <c r="T903" s="74"/>
      <c r="U903" s="74"/>
      <c r="V903" s="74"/>
      <c r="W903" s="74"/>
      <c r="X903" s="74"/>
      <c r="Y903" s="74"/>
      <c r="Z903" s="74"/>
      <c r="AA903" s="74"/>
      <c r="AB903" s="3"/>
      <c r="AC903" s="3"/>
      <c r="AD903" s="3"/>
    </row>
    <row r="904" spans="2:30" x14ac:dyDescent="0.2">
      <c r="B904" s="61"/>
      <c r="C904" s="74"/>
      <c r="D904" s="74"/>
      <c r="E904" s="74"/>
      <c r="F904" s="74"/>
      <c r="G904" s="74"/>
      <c r="H904" s="74"/>
      <c r="I904" s="74"/>
      <c r="J904" s="74"/>
      <c r="K904" s="74"/>
      <c r="L904" s="74"/>
      <c r="M904" s="74"/>
      <c r="N904" s="74"/>
      <c r="O904" s="74"/>
      <c r="P904" s="74"/>
      <c r="Q904" s="74"/>
      <c r="R904" s="74"/>
      <c r="S904" s="74"/>
      <c r="T904" s="74"/>
      <c r="U904" s="74"/>
      <c r="V904" s="74"/>
      <c r="W904" s="74"/>
      <c r="X904" s="74"/>
      <c r="Y904" s="74"/>
      <c r="Z904" s="74"/>
      <c r="AA904" s="74"/>
      <c r="AB904" s="3"/>
      <c r="AC904" s="3"/>
      <c r="AD904" s="3"/>
    </row>
    <row r="905" spans="2:30" x14ac:dyDescent="0.2">
      <c r="B905" s="61"/>
      <c r="C905" s="74"/>
      <c r="D905" s="74"/>
      <c r="E905" s="74"/>
      <c r="F905" s="74"/>
      <c r="G905" s="74"/>
      <c r="H905" s="74"/>
      <c r="I905" s="74"/>
      <c r="J905" s="74"/>
      <c r="K905" s="74"/>
      <c r="L905" s="74"/>
      <c r="M905" s="74"/>
      <c r="N905" s="74"/>
      <c r="O905" s="74"/>
      <c r="P905" s="74"/>
      <c r="Q905" s="74"/>
      <c r="R905" s="74"/>
      <c r="S905" s="74"/>
      <c r="T905" s="74"/>
      <c r="U905" s="74"/>
      <c r="V905" s="74"/>
      <c r="W905" s="74"/>
      <c r="X905" s="74"/>
      <c r="Y905" s="74"/>
      <c r="Z905" s="74"/>
      <c r="AA905" s="74"/>
      <c r="AB905" s="3"/>
      <c r="AC905" s="3"/>
      <c r="AD905" s="3"/>
    </row>
    <row r="906" spans="2:30" x14ac:dyDescent="0.2">
      <c r="B906" s="61"/>
      <c r="C906" s="74"/>
      <c r="D906" s="74"/>
      <c r="E906" s="74"/>
      <c r="F906" s="74"/>
      <c r="G906" s="74"/>
      <c r="H906" s="74"/>
      <c r="I906" s="74"/>
      <c r="J906" s="74"/>
      <c r="K906" s="74"/>
      <c r="L906" s="74"/>
      <c r="M906" s="74"/>
      <c r="N906" s="74"/>
      <c r="O906" s="74"/>
      <c r="P906" s="74"/>
      <c r="Q906" s="74"/>
      <c r="R906" s="74"/>
      <c r="S906" s="74"/>
      <c r="T906" s="74"/>
      <c r="U906" s="74"/>
      <c r="V906" s="74"/>
      <c r="W906" s="74"/>
      <c r="X906" s="74"/>
      <c r="Y906" s="74"/>
      <c r="Z906" s="74"/>
      <c r="AA906" s="74"/>
      <c r="AB906" s="3"/>
      <c r="AC906" s="3"/>
      <c r="AD906" s="3"/>
    </row>
    <row r="907" spans="2:30" x14ac:dyDescent="0.2">
      <c r="B907" s="61"/>
      <c r="C907" s="74"/>
      <c r="D907" s="74"/>
      <c r="E907" s="74"/>
      <c r="F907" s="74"/>
      <c r="G907" s="74"/>
      <c r="H907" s="74"/>
      <c r="I907" s="74"/>
      <c r="J907" s="74"/>
      <c r="K907" s="74"/>
      <c r="L907" s="74"/>
      <c r="M907" s="74"/>
      <c r="N907" s="74"/>
      <c r="O907" s="74"/>
      <c r="P907" s="74"/>
      <c r="Q907" s="74"/>
      <c r="R907" s="74"/>
      <c r="S907" s="74"/>
      <c r="T907" s="74"/>
      <c r="U907" s="74"/>
      <c r="V907" s="74"/>
      <c r="W907" s="74"/>
      <c r="X907" s="74"/>
      <c r="Y907" s="74"/>
      <c r="Z907" s="74"/>
      <c r="AA907" s="74"/>
      <c r="AB907" s="3"/>
      <c r="AC907" s="3"/>
      <c r="AD907" s="3"/>
    </row>
    <row r="908" spans="2:30" x14ac:dyDescent="0.2">
      <c r="B908" s="61"/>
      <c r="C908" s="74"/>
      <c r="D908" s="74"/>
      <c r="E908" s="74"/>
      <c r="F908" s="74"/>
      <c r="G908" s="74"/>
      <c r="H908" s="74"/>
      <c r="I908" s="74"/>
      <c r="J908" s="74"/>
      <c r="K908" s="74"/>
      <c r="L908" s="74"/>
      <c r="M908" s="74"/>
      <c r="N908" s="74"/>
      <c r="O908" s="74"/>
      <c r="P908" s="74"/>
      <c r="Q908" s="74"/>
      <c r="R908" s="74"/>
      <c r="S908" s="74"/>
      <c r="T908" s="74"/>
      <c r="U908" s="74"/>
      <c r="V908" s="74"/>
      <c r="W908" s="74"/>
      <c r="X908" s="74"/>
      <c r="Y908" s="74"/>
      <c r="Z908" s="74"/>
      <c r="AA908" s="74"/>
      <c r="AB908" s="3"/>
      <c r="AC908" s="3"/>
      <c r="AD908" s="3"/>
    </row>
    <row r="909" spans="2:30" x14ac:dyDescent="0.2">
      <c r="B909" s="61"/>
      <c r="C909" s="74"/>
      <c r="D909" s="74"/>
      <c r="E909" s="74"/>
      <c r="F909" s="74"/>
      <c r="G909" s="74"/>
      <c r="H909" s="74"/>
      <c r="I909" s="74"/>
      <c r="J909" s="74"/>
      <c r="K909" s="74"/>
      <c r="L909" s="74"/>
      <c r="M909" s="74"/>
      <c r="N909" s="74"/>
      <c r="O909" s="74"/>
      <c r="P909" s="74"/>
      <c r="Q909" s="74"/>
      <c r="R909" s="74"/>
      <c r="S909" s="74"/>
      <c r="T909" s="74"/>
      <c r="U909" s="74"/>
      <c r="V909" s="74"/>
      <c r="W909" s="74"/>
      <c r="X909" s="74"/>
      <c r="Y909" s="74"/>
      <c r="Z909" s="74"/>
      <c r="AA909" s="74"/>
      <c r="AB909" s="3"/>
      <c r="AC909" s="3"/>
      <c r="AD909" s="3"/>
    </row>
    <row r="910" spans="2:30" x14ac:dyDescent="0.2">
      <c r="B910" s="61"/>
      <c r="C910" s="74"/>
      <c r="D910" s="74"/>
      <c r="E910" s="74"/>
      <c r="F910" s="74"/>
      <c r="G910" s="74"/>
      <c r="H910" s="74"/>
      <c r="I910" s="74"/>
      <c r="J910" s="74"/>
      <c r="K910" s="74"/>
      <c r="L910" s="74"/>
      <c r="M910" s="74"/>
      <c r="N910" s="74"/>
      <c r="O910" s="74"/>
      <c r="P910" s="74"/>
      <c r="Q910" s="74"/>
      <c r="R910" s="74"/>
      <c r="S910" s="74"/>
      <c r="T910" s="74"/>
      <c r="U910" s="74"/>
      <c r="V910" s="74"/>
      <c r="W910" s="74"/>
      <c r="X910" s="74"/>
      <c r="Y910" s="74"/>
      <c r="Z910" s="74"/>
      <c r="AA910" s="74"/>
      <c r="AB910" s="3"/>
      <c r="AC910" s="3"/>
      <c r="AD910" s="3"/>
    </row>
    <row r="911" spans="2:30" x14ac:dyDescent="0.2">
      <c r="B911" s="61"/>
      <c r="C911" s="74"/>
      <c r="D911" s="74"/>
      <c r="E911" s="74"/>
      <c r="F911" s="74"/>
      <c r="G911" s="74"/>
      <c r="H911" s="74"/>
      <c r="I911" s="74"/>
      <c r="J911" s="74"/>
      <c r="K911" s="74"/>
      <c r="L911" s="74"/>
      <c r="M911" s="74"/>
      <c r="N911" s="74"/>
      <c r="O911" s="74"/>
      <c r="P911" s="74"/>
      <c r="Q911" s="74"/>
      <c r="R911" s="74"/>
      <c r="S911" s="74"/>
      <c r="T911" s="74"/>
      <c r="U911" s="74"/>
      <c r="V911" s="74"/>
      <c r="W911" s="74"/>
      <c r="X911" s="74"/>
      <c r="Y911" s="74"/>
      <c r="Z911" s="74"/>
      <c r="AA911" s="74"/>
      <c r="AB911" s="3"/>
      <c r="AC911" s="3"/>
      <c r="AD911" s="3"/>
    </row>
    <row r="912" spans="2:30" x14ac:dyDescent="0.2">
      <c r="B912" s="61"/>
      <c r="C912" s="74"/>
      <c r="D912" s="74"/>
      <c r="E912" s="74"/>
      <c r="F912" s="74"/>
      <c r="G912" s="74"/>
      <c r="H912" s="74"/>
      <c r="I912" s="74"/>
      <c r="J912" s="74"/>
      <c r="K912" s="74"/>
      <c r="L912" s="74"/>
      <c r="M912" s="74"/>
      <c r="N912" s="74"/>
      <c r="O912" s="74"/>
      <c r="P912" s="74"/>
      <c r="Q912" s="74"/>
      <c r="R912" s="74"/>
      <c r="S912" s="74"/>
      <c r="T912" s="74"/>
      <c r="U912" s="74"/>
      <c r="V912" s="74"/>
      <c r="W912" s="74"/>
      <c r="X912" s="74"/>
      <c r="Y912" s="74"/>
      <c r="Z912" s="74"/>
      <c r="AA912" s="74"/>
      <c r="AB912" s="3"/>
      <c r="AC912" s="3"/>
      <c r="AD912" s="3"/>
    </row>
    <row r="913" spans="2:30" x14ac:dyDescent="0.2">
      <c r="B913" s="61"/>
      <c r="C913" s="74"/>
      <c r="D913" s="74"/>
      <c r="E913" s="74"/>
      <c r="F913" s="74"/>
      <c r="G913" s="74"/>
      <c r="H913" s="74"/>
      <c r="I913" s="74"/>
      <c r="J913" s="74"/>
      <c r="K913" s="74"/>
      <c r="L913" s="74"/>
      <c r="M913" s="74"/>
      <c r="N913" s="74"/>
      <c r="O913" s="74"/>
      <c r="P913" s="74"/>
      <c r="Q913" s="74"/>
      <c r="R913" s="74"/>
      <c r="S913" s="74"/>
      <c r="T913" s="74"/>
      <c r="U913" s="74"/>
      <c r="V913" s="74"/>
      <c r="W913" s="74"/>
      <c r="X913" s="74"/>
      <c r="Y913" s="74"/>
      <c r="Z913" s="74"/>
      <c r="AA913" s="74"/>
      <c r="AB913" s="3"/>
      <c r="AC913" s="3"/>
      <c r="AD913" s="3"/>
    </row>
    <row r="914" spans="2:30" x14ac:dyDescent="0.2">
      <c r="B914" s="61"/>
      <c r="C914" s="74"/>
      <c r="D914" s="74"/>
      <c r="E914" s="74"/>
      <c r="F914" s="74"/>
      <c r="G914" s="74"/>
      <c r="H914" s="74"/>
      <c r="I914" s="74"/>
      <c r="J914" s="74"/>
      <c r="K914" s="74"/>
      <c r="L914" s="74"/>
      <c r="M914" s="74"/>
      <c r="N914" s="74"/>
      <c r="O914" s="74"/>
      <c r="P914" s="74"/>
      <c r="Q914" s="74"/>
      <c r="R914" s="74"/>
      <c r="S914" s="74"/>
      <c r="T914" s="74"/>
      <c r="U914" s="74"/>
      <c r="V914" s="74"/>
      <c r="W914" s="74"/>
      <c r="X914" s="74"/>
      <c r="Y914" s="74"/>
      <c r="Z914" s="74"/>
      <c r="AA914" s="74"/>
      <c r="AB914" s="3"/>
      <c r="AC914" s="3"/>
      <c r="AD914" s="3"/>
    </row>
    <row r="915" spans="2:30" x14ac:dyDescent="0.2">
      <c r="B915" s="61"/>
      <c r="C915" s="74"/>
      <c r="D915" s="74"/>
      <c r="E915" s="74"/>
      <c r="F915" s="74"/>
      <c r="G915" s="74"/>
      <c r="H915" s="74"/>
      <c r="I915" s="74"/>
      <c r="J915" s="74"/>
      <c r="K915" s="74"/>
      <c r="L915" s="74"/>
      <c r="M915" s="74"/>
      <c r="N915" s="74"/>
      <c r="O915" s="74"/>
      <c r="P915" s="74"/>
      <c r="Q915" s="74"/>
      <c r="R915" s="74"/>
      <c r="S915" s="74"/>
      <c r="T915" s="74"/>
      <c r="U915" s="74"/>
      <c r="V915" s="74"/>
      <c r="W915" s="74"/>
      <c r="X915" s="74"/>
      <c r="Y915" s="74"/>
      <c r="Z915" s="74"/>
      <c r="AA915" s="74"/>
      <c r="AB915" s="3"/>
      <c r="AC915" s="3"/>
      <c r="AD915" s="3"/>
    </row>
    <row r="916" spans="2:30" x14ac:dyDescent="0.2">
      <c r="B916" s="61"/>
      <c r="C916" s="74"/>
      <c r="D916" s="74"/>
      <c r="E916" s="74"/>
      <c r="F916" s="74"/>
      <c r="G916" s="74"/>
      <c r="H916" s="74"/>
      <c r="I916" s="74"/>
      <c r="J916" s="74"/>
      <c r="K916" s="74"/>
      <c r="L916" s="74"/>
      <c r="M916" s="74"/>
      <c r="N916" s="74"/>
      <c r="O916" s="74"/>
      <c r="P916" s="74"/>
      <c r="Q916" s="74"/>
      <c r="R916" s="74"/>
      <c r="S916" s="74"/>
      <c r="T916" s="74"/>
      <c r="U916" s="74"/>
      <c r="V916" s="74"/>
      <c r="W916" s="74"/>
      <c r="X916" s="74"/>
      <c r="Y916" s="74"/>
      <c r="Z916" s="74"/>
      <c r="AA916" s="74"/>
      <c r="AB916" s="3"/>
      <c r="AC916" s="3"/>
      <c r="AD916" s="3"/>
    </row>
    <row r="917" spans="2:30" x14ac:dyDescent="0.2">
      <c r="B917" s="61"/>
      <c r="C917" s="74"/>
      <c r="D917" s="74"/>
      <c r="E917" s="74"/>
      <c r="F917" s="74"/>
      <c r="G917" s="74"/>
      <c r="H917" s="74"/>
      <c r="I917" s="74"/>
      <c r="J917" s="74"/>
      <c r="K917" s="74"/>
      <c r="L917" s="74"/>
      <c r="M917" s="74"/>
      <c r="N917" s="74"/>
      <c r="O917" s="74"/>
      <c r="P917" s="74"/>
      <c r="Q917" s="74"/>
      <c r="R917" s="74"/>
      <c r="S917" s="74"/>
      <c r="T917" s="74"/>
      <c r="U917" s="74"/>
      <c r="V917" s="74"/>
      <c r="W917" s="74"/>
      <c r="X917" s="74"/>
      <c r="Y917" s="74"/>
      <c r="Z917" s="74"/>
      <c r="AA917" s="74"/>
      <c r="AB917" s="3"/>
      <c r="AC917" s="3"/>
      <c r="AD917" s="3"/>
    </row>
    <row r="918" spans="2:30" x14ac:dyDescent="0.2">
      <c r="B918" s="61"/>
      <c r="C918" s="74"/>
      <c r="D918" s="74"/>
      <c r="E918" s="74"/>
      <c r="F918" s="74"/>
      <c r="G918" s="74"/>
      <c r="H918" s="74"/>
      <c r="I918" s="74"/>
      <c r="J918" s="74"/>
      <c r="K918" s="74"/>
      <c r="L918" s="74"/>
      <c r="M918" s="74"/>
      <c r="N918" s="74"/>
      <c r="O918" s="74"/>
      <c r="P918" s="74"/>
      <c r="Q918" s="74"/>
      <c r="R918" s="74"/>
      <c r="S918" s="74"/>
      <c r="T918" s="74"/>
      <c r="U918" s="74"/>
      <c r="V918" s="74"/>
      <c r="W918" s="74"/>
      <c r="X918" s="74"/>
      <c r="Y918" s="74"/>
      <c r="Z918" s="74"/>
      <c r="AA918" s="74"/>
      <c r="AB918" s="3"/>
      <c r="AC918" s="3"/>
      <c r="AD918" s="3"/>
    </row>
    <row r="919" spans="2:30" x14ac:dyDescent="0.2">
      <c r="B919" s="61"/>
      <c r="C919" s="74"/>
      <c r="D919" s="74"/>
      <c r="E919" s="74"/>
      <c r="F919" s="74"/>
      <c r="G919" s="74"/>
      <c r="H919" s="74"/>
      <c r="I919" s="74"/>
      <c r="J919" s="74"/>
      <c r="K919" s="74"/>
      <c r="L919" s="74"/>
      <c r="M919" s="74"/>
      <c r="N919" s="74"/>
      <c r="O919" s="74"/>
      <c r="P919" s="74"/>
      <c r="Q919" s="74"/>
      <c r="R919" s="74"/>
      <c r="S919" s="74"/>
      <c r="T919" s="74"/>
      <c r="U919" s="74"/>
      <c r="V919" s="74"/>
      <c r="W919" s="74"/>
      <c r="X919" s="74"/>
      <c r="Y919" s="74"/>
      <c r="Z919" s="74"/>
      <c r="AA919" s="74"/>
      <c r="AB919" s="3"/>
      <c r="AC919" s="3"/>
      <c r="AD919" s="3"/>
    </row>
    <row r="920" spans="2:30" x14ac:dyDescent="0.2">
      <c r="B920" s="61"/>
      <c r="C920" s="74"/>
      <c r="D920" s="74"/>
      <c r="E920" s="74"/>
      <c r="F920" s="74"/>
      <c r="G920" s="74"/>
      <c r="H920" s="74"/>
      <c r="I920" s="74"/>
      <c r="J920" s="74"/>
      <c r="K920" s="74"/>
      <c r="L920" s="74"/>
      <c r="M920" s="74"/>
      <c r="N920" s="74"/>
      <c r="O920" s="74"/>
      <c r="P920" s="74"/>
      <c r="Q920" s="74"/>
      <c r="R920" s="74"/>
      <c r="S920" s="74"/>
      <c r="T920" s="74"/>
      <c r="U920" s="74"/>
      <c r="V920" s="74"/>
      <c r="W920" s="74"/>
      <c r="X920" s="74"/>
      <c r="Y920" s="74"/>
      <c r="Z920" s="74"/>
      <c r="AA920" s="74"/>
      <c r="AB920" s="3"/>
      <c r="AC920" s="3"/>
      <c r="AD920" s="3"/>
    </row>
    <row r="921" spans="2:30" x14ac:dyDescent="0.2">
      <c r="B921" s="61"/>
      <c r="C921" s="74"/>
      <c r="D921" s="74"/>
      <c r="E921" s="74"/>
      <c r="F921" s="74"/>
      <c r="G921" s="74"/>
      <c r="H921" s="74"/>
      <c r="I921" s="74"/>
      <c r="J921" s="74"/>
      <c r="K921" s="74"/>
      <c r="L921" s="74"/>
      <c r="M921" s="74"/>
      <c r="N921" s="74"/>
      <c r="O921" s="74"/>
      <c r="P921" s="74"/>
      <c r="Q921" s="74"/>
      <c r="R921" s="74"/>
      <c r="S921" s="74"/>
      <c r="T921" s="74"/>
      <c r="U921" s="74"/>
      <c r="V921" s="74"/>
      <c r="W921" s="74"/>
      <c r="X921" s="74"/>
      <c r="Y921" s="74"/>
      <c r="Z921" s="74"/>
      <c r="AA921" s="74"/>
      <c r="AB921" s="3"/>
      <c r="AC921" s="3"/>
      <c r="AD921" s="3"/>
    </row>
    <row r="922" spans="2:30" x14ac:dyDescent="0.2">
      <c r="B922" s="61"/>
      <c r="C922" s="74"/>
      <c r="D922" s="74"/>
      <c r="E922" s="74"/>
      <c r="F922" s="74"/>
      <c r="G922" s="74"/>
      <c r="H922" s="74"/>
      <c r="I922" s="74"/>
      <c r="J922" s="74"/>
      <c r="K922" s="74"/>
      <c r="L922" s="74"/>
      <c r="M922" s="74"/>
      <c r="N922" s="74"/>
      <c r="O922" s="74"/>
      <c r="P922" s="74"/>
      <c r="Q922" s="74"/>
      <c r="R922" s="74"/>
      <c r="S922" s="74"/>
      <c r="T922" s="74"/>
      <c r="U922" s="74"/>
      <c r="V922" s="74"/>
      <c r="W922" s="74"/>
      <c r="X922" s="74"/>
      <c r="Y922" s="74"/>
      <c r="Z922" s="74"/>
      <c r="AA922" s="74"/>
      <c r="AB922" s="3"/>
      <c r="AC922" s="3"/>
      <c r="AD922" s="3"/>
    </row>
    <row r="923" spans="2:30" x14ac:dyDescent="0.2">
      <c r="B923" s="61"/>
      <c r="C923" s="74"/>
      <c r="D923" s="74"/>
      <c r="E923" s="74"/>
      <c r="F923" s="74"/>
      <c r="G923" s="74"/>
      <c r="H923" s="74"/>
      <c r="I923" s="74"/>
      <c r="J923" s="74"/>
      <c r="K923" s="74"/>
      <c r="L923" s="74"/>
      <c r="M923" s="74"/>
      <c r="N923" s="74"/>
      <c r="O923" s="74"/>
      <c r="P923" s="74"/>
      <c r="Q923" s="74"/>
      <c r="R923" s="74"/>
      <c r="S923" s="74"/>
      <c r="T923" s="74"/>
      <c r="U923" s="74"/>
      <c r="V923" s="74"/>
      <c r="W923" s="74"/>
      <c r="X923" s="74"/>
      <c r="Y923" s="74"/>
      <c r="Z923" s="74"/>
      <c r="AA923" s="74"/>
      <c r="AB923" s="3"/>
      <c r="AC923" s="3"/>
      <c r="AD923" s="3"/>
    </row>
    <row r="924" spans="2:30" x14ac:dyDescent="0.2">
      <c r="B924" s="61"/>
      <c r="C924" s="74"/>
      <c r="D924" s="74"/>
      <c r="E924" s="74"/>
      <c r="F924" s="74"/>
      <c r="G924" s="74"/>
      <c r="H924" s="74"/>
      <c r="I924" s="74"/>
      <c r="J924" s="74"/>
      <c r="K924" s="74"/>
      <c r="L924" s="74"/>
      <c r="M924" s="74"/>
      <c r="N924" s="74"/>
      <c r="O924" s="74"/>
      <c r="P924" s="74"/>
      <c r="Q924" s="74"/>
      <c r="R924" s="74"/>
      <c r="S924" s="74"/>
      <c r="T924" s="74"/>
      <c r="U924" s="74"/>
      <c r="V924" s="74"/>
      <c r="W924" s="74"/>
      <c r="X924" s="74"/>
      <c r="Y924" s="74"/>
      <c r="Z924" s="74"/>
      <c r="AA924" s="74"/>
      <c r="AB924" s="3"/>
      <c r="AC924" s="3"/>
      <c r="AD924" s="3"/>
    </row>
    <row r="925" spans="2:30" x14ac:dyDescent="0.2">
      <c r="B925" s="61"/>
      <c r="C925" s="74"/>
      <c r="D925" s="74"/>
      <c r="E925" s="74"/>
      <c r="F925" s="74"/>
      <c r="G925" s="74"/>
      <c r="H925" s="74"/>
      <c r="I925" s="74"/>
      <c r="J925" s="74"/>
      <c r="K925" s="74"/>
      <c r="L925" s="74"/>
      <c r="M925" s="74"/>
      <c r="N925" s="74"/>
      <c r="O925" s="74"/>
      <c r="P925" s="74"/>
      <c r="Q925" s="74"/>
      <c r="R925" s="74"/>
      <c r="S925" s="74"/>
      <c r="T925" s="74"/>
      <c r="U925" s="74"/>
      <c r="V925" s="74"/>
      <c r="W925" s="74"/>
      <c r="X925" s="74"/>
      <c r="Y925" s="74"/>
      <c r="Z925" s="74"/>
      <c r="AA925" s="74"/>
      <c r="AB925" s="3"/>
      <c r="AC925" s="3"/>
      <c r="AD925" s="3"/>
    </row>
    <row r="926" spans="2:30" x14ac:dyDescent="0.2">
      <c r="B926" s="61"/>
      <c r="C926" s="74"/>
      <c r="D926" s="74"/>
      <c r="E926" s="74"/>
      <c r="F926" s="74"/>
      <c r="G926" s="74"/>
      <c r="H926" s="74"/>
      <c r="I926" s="74"/>
      <c r="J926" s="74"/>
      <c r="K926" s="74"/>
      <c r="L926" s="74"/>
      <c r="M926" s="74"/>
      <c r="N926" s="74"/>
      <c r="O926" s="74"/>
      <c r="P926" s="74"/>
      <c r="Q926" s="74"/>
      <c r="R926" s="74"/>
      <c r="S926" s="74"/>
      <c r="T926" s="74"/>
      <c r="U926" s="74"/>
      <c r="V926" s="74"/>
      <c r="W926" s="74"/>
      <c r="X926" s="74"/>
      <c r="Y926" s="74"/>
      <c r="Z926" s="74"/>
      <c r="AA926" s="74"/>
      <c r="AB926" s="3"/>
      <c r="AC926" s="3"/>
      <c r="AD926" s="3"/>
    </row>
    <row r="927" spans="2:30" x14ac:dyDescent="0.2">
      <c r="B927" s="61"/>
      <c r="C927" s="74"/>
      <c r="D927" s="74"/>
      <c r="E927" s="74"/>
      <c r="F927" s="74"/>
      <c r="G927" s="74"/>
      <c r="H927" s="74"/>
      <c r="I927" s="74"/>
      <c r="J927" s="74"/>
      <c r="K927" s="74"/>
      <c r="L927" s="74"/>
      <c r="M927" s="74"/>
      <c r="N927" s="74"/>
      <c r="O927" s="74"/>
      <c r="P927" s="74"/>
      <c r="Q927" s="74"/>
      <c r="R927" s="74"/>
      <c r="S927" s="74"/>
      <c r="T927" s="74"/>
      <c r="U927" s="74"/>
      <c r="V927" s="74"/>
      <c r="W927" s="74"/>
      <c r="X927" s="74"/>
      <c r="Y927" s="74"/>
      <c r="Z927" s="74"/>
      <c r="AA927" s="74"/>
      <c r="AB927" s="3"/>
      <c r="AC927" s="3"/>
      <c r="AD927" s="3"/>
    </row>
    <row r="928" spans="2:30" x14ac:dyDescent="0.2">
      <c r="AB928" s="3"/>
      <c r="AC928" s="3"/>
      <c r="AD928" s="3"/>
    </row>
    <row r="929" spans="28:30" x14ac:dyDescent="0.2">
      <c r="AB929" s="3"/>
      <c r="AC929" s="3"/>
      <c r="AD929" s="3"/>
    </row>
    <row r="930" spans="28:30" x14ac:dyDescent="0.2">
      <c r="AB930" s="3"/>
      <c r="AC930" s="3"/>
      <c r="AD930" s="3"/>
    </row>
    <row r="931" spans="28:30" x14ac:dyDescent="0.2">
      <c r="AB931" s="3"/>
      <c r="AC931" s="3"/>
      <c r="AD931" s="3"/>
    </row>
  </sheetData>
  <autoFilter ref="A2:AJ405"/>
  <phoneticPr fontId="1" type="noConversion"/>
  <pageMargins left="0.75" right="0.75" top="1" bottom="1" header="0" footer="0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V88"/>
  <sheetViews>
    <sheetView showGridLines="0" zoomScale="110" zoomScaleNormal="110" workbookViewId="0">
      <selection activeCell="E25" sqref="E25"/>
    </sheetView>
  </sheetViews>
  <sheetFormatPr baseColWidth="10" defaultRowHeight="12.75" x14ac:dyDescent="0.2"/>
  <cols>
    <col min="1" max="2" width="8.42578125" customWidth="1"/>
    <col min="3" max="3" width="10.5703125" customWidth="1"/>
    <col min="4" max="9" width="5.7109375" customWidth="1"/>
    <col min="10" max="10" width="8.5703125" customWidth="1"/>
    <col min="11" max="13" width="5.7109375" customWidth="1"/>
    <col min="14" max="15" width="4.140625" customWidth="1"/>
  </cols>
  <sheetData>
    <row r="1" spans="1:22" ht="12.75" customHeight="1" x14ac:dyDescent="0.2">
      <c r="A1" s="223" t="s">
        <v>14</v>
      </c>
      <c r="B1" s="224"/>
      <c r="C1" s="225"/>
      <c r="D1" s="232" t="s">
        <v>87</v>
      </c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</row>
    <row r="2" spans="1:22" ht="12.75" customHeight="1" x14ac:dyDescent="0.2">
      <c r="A2" s="226"/>
      <c r="B2" s="227"/>
      <c r="C2" s="228"/>
      <c r="D2" s="235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237"/>
    </row>
    <row r="3" spans="1:22" ht="12.75" customHeight="1" x14ac:dyDescent="0.2">
      <c r="A3" s="226"/>
      <c r="B3" s="227"/>
      <c r="C3" s="228"/>
      <c r="D3" s="238" t="s">
        <v>88</v>
      </c>
      <c r="E3" s="239"/>
      <c r="F3" s="239"/>
      <c r="G3" s="239"/>
      <c r="H3" s="239"/>
      <c r="I3" s="239"/>
      <c r="J3" s="239"/>
      <c r="K3" s="239"/>
      <c r="L3" s="239"/>
      <c r="M3" s="239"/>
      <c r="N3" s="239"/>
      <c r="O3" s="240"/>
    </row>
    <row r="4" spans="1:22" ht="12.75" customHeight="1" x14ac:dyDescent="0.2">
      <c r="A4" s="226"/>
      <c r="B4" s="227"/>
      <c r="C4" s="228"/>
      <c r="D4" s="241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3"/>
    </row>
    <row r="5" spans="1:22" ht="12.75" customHeight="1" x14ac:dyDescent="0.2">
      <c r="A5" s="226"/>
      <c r="B5" s="227"/>
      <c r="C5" s="228"/>
      <c r="D5" s="223" t="s">
        <v>86</v>
      </c>
      <c r="E5" s="224"/>
      <c r="F5" s="224"/>
      <c r="G5" s="225"/>
      <c r="H5" s="244">
        <v>42611</v>
      </c>
      <c r="I5" s="245"/>
      <c r="J5" s="248" t="s">
        <v>74</v>
      </c>
      <c r="K5" s="250">
        <v>11</v>
      </c>
      <c r="L5" s="252" t="s">
        <v>15</v>
      </c>
      <c r="M5" s="248"/>
      <c r="N5" s="248"/>
      <c r="O5" s="250"/>
    </row>
    <row r="6" spans="1:22" ht="12.75" customHeight="1" x14ac:dyDescent="0.2">
      <c r="A6" s="229"/>
      <c r="B6" s="230"/>
      <c r="C6" s="231"/>
      <c r="D6" s="229"/>
      <c r="E6" s="230"/>
      <c r="F6" s="230"/>
      <c r="G6" s="231"/>
      <c r="H6" s="246"/>
      <c r="I6" s="247"/>
      <c r="J6" s="249"/>
      <c r="K6" s="251"/>
      <c r="L6" s="253"/>
      <c r="M6" s="249"/>
      <c r="N6" s="249"/>
      <c r="O6" s="251"/>
      <c r="V6" s="10"/>
    </row>
    <row r="7" spans="1:22" ht="24.95" customHeight="1" x14ac:dyDescent="0.2">
      <c r="A7" s="212" t="s">
        <v>47</v>
      </c>
      <c r="B7" s="201"/>
      <c r="C7" s="213"/>
      <c r="D7" s="213"/>
      <c r="E7" s="213"/>
      <c r="F7" s="213"/>
      <c r="G7" s="214"/>
      <c r="H7" s="212" t="s">
        <v>76</v>
      </c>
      <c r="I7" s="201"/>
      <c r="J7" s="201"/>
      <c r="K7" s="215"/>
      <c r="L7" s="215"/>
      <c r="M7" s="215"/>
      <c r="N7" s="215"/>
      <c r="O7" s="216"/>
    </row>
    <row r="8" spans="1:22" ht="24.95" customHeight="1" x14ac:dyDescent="0.2">
      <c r="A8" s="212" t="s">
        <v>48</v>
      </c>
      <c r="B8" s="201"/>
      <c r="C8" s="206"/>
      <c r="D8" s="206"/>
      <c r="E8" s="206"/>
      <c r="F8" s="206"/>
      <c r="G8" s="217"/>
      <c r="H8" s="218">
        <f>VLOOKUP(Auxiliar!B1,Auxiliar!A3:AO479,26,FALSE)</f>
        <v>45631</v>
      </c>
      <c r="I8" s="219"/>
      <c r="J8" s="219"/>
      <c r="K8" s="220" t="s">
        <v>249</v>
      </c>
      <c r="L8" s="220"/>
      <c r="M8" s="220"/>
      <c r="N8" s="221" t="str">
        <f>VLOOKUP(Auxiliar!B1,Auxiliar!A3:AO479,27,FALSE)</f>
        <v>E</v>
      </c>
      <c r="O8" s="222"/>
      <c r="P8" s="3"/>
    </row>
    <row r="9" spans="1:22" ht="28.5" customHeight="1" x14ac:dyDescent="0.2">
      <c r="A9" s="150" t="s">
        <v>72</v>
      </c>
      <c r="B9" s="201"/>
      <c r="C9" s="202" t="s">
        <v>75</v>
      </c>
      <c r="D9" s="202"/>
      <c r="E9" s="202"/>
      <c r="F9" s="202"/>
      <c r="G9" s="203"/>
      <c r="H9" s="150" t="s">
        <v>49</v>
      </c>
      <c r="I9" s="204"/>
      <c r="J9" s="204"/>
      <c r="K9" s="41"/>
      <c r="L9" s="41"/>
      <c r="M9" s="205" t="s">
        <v>164</v>
      </c>
      <c r="N9" s="206"/>
      <c r="O9" s="42"/>
    </row>
    <row r="10" spans="1:22" ht="24.95" customHeight="1" x14ac:dyDescent="0.2">
      <c r="A10" s="281" t="s">
        <v>134</v>
      </c>
      <c r="B10" s="281"/>
      <c r="C10" s="281"/>
      <c r="D10" s="281"/>
      <c r="E10" s="281"/>
      <c r="F10" s="281"/>
      <c r="G10" s="281"/>
      <c r="H10" s="281" t="s">
        <v>135</v>
      </c>
      <c r="I10" s="282"/>
      <c r="J10" s="282"/>
      <c r="K10" s="282"/>
      <c r="L10" s="282"/>
      <c r="M10" s="282"/>
      <c r="N10" s="282"/>
      <c r="O10" s="282"/>
    </row>
    <row r="11" spans="1:22" ht="15.95" customHeight="1" x14ac:dyDescent="0.2">
      <c r="A11" s="291" t="s">
        <v>83</v>
      </c>
      <c r="B11" s="292"/>
      <c r="C11" s="292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4"/>
    </row>
    <row r="12" spans="1:22" ht="15.95" customHeight="1" x14ac:dyDescent="0.2">
      <c r="A12" s="166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67"/>
    </row>
    <row r="13" spans="1:22" ht="15.95" customHeight="1" x14ac:dyDescent="0.2">
      <c r="A13" s="290"/>
      <c r="B13" s="126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262"/>
    </row>
    <row r="14" spans="1:22" ht="15.95" customHeight="1" x14ac:dyDescent="0.2">
      <c r="A14" s="290"/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262"/>
    </row>
    <row r="15" spans="1:22" ht="15.95" customHeight="1" x14ac:dyDescent="0.2">
      <c r="A15" s="290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262"/>
    </row>
    <row r="16" spans="1:22" ht="15.95" customHeight="1" x14ac:dyDescent="0.2">
      <c r="A16" s="290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262"/>
    </row>
    <row r="17" spans="1:16" ht="15.95" customHeight="1" x14ac:dyDescent="0.2">
      <c r="A17" s="106"/>
      <c r="B17" s="114"/>
      <c r="C17" s="104"/>
      <c r="D17" s="107"/>
      <c r="E17" s="107"/>
      <c r="F17" s="107"/>
      <c r="G17" s="107"/>
      <c r="H17" s="108"/>
      <c r="I17" s="108"/>
      <c r="J17" s="108"/>
      <c r="K17" s="108"/>
      <c r="L17" s="108"/>
      <c r="M17" s="108"/>
      <c r="N17" s="108"/>
      <c r="O17" s="101"/>
    </row>
    <row r="18" spans="1:16" ht="15.95" customHeight="1" x14ac:dyDescent="0.2">
      <c r="A18" s="115"/>
      <c r="B18" s="116"/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7"/>
    </row>
    <row r="19" spans="1:16" ht="15.95" customHeight="1" x14ac:dyDescent="0.2">
      <c r="A19" s="115"/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7"/>
    </row>
    <row r="20" spans="1:16" ht="15.95" customHeight="1" x14ac:dyDescent="0.2">
      <c r="A20" s="115"/>
      <c r="B20" s="116"/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7"/>
    </row>
    <row r="21" spans="1:16" ht="15.95" customHeight="1" x14ac:dyDescent="0.2">
      <c r="A21" s="115"/>
      <c r="B21" s="116"/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7"/>
    </row>
    <row r="22" spans="1:16" ht="15.95" customHeight="1" x14ac:dyDescent="0.2">
      <c r="A22" s="105"/>
      <c r="B22" s="109"/>
      <c r="C22" s="109"/>
      <c r="D22" s="109"/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10"/>
    </row>
    <row r="23" spans="1:16" ht="15.95" customHeight="1" x14ac:dyDescent="0.2">
      <c r="A23" s="115"/>
      <c r="B23" s="116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7"/>
    </row>
    <row r="24" spans="1:16" ht="15.95" customHeight="1" x14ac:dyDescent="0.2">
      <c r="A24" s="115"/>
      <c r="B24" s="116"/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7"/>
    </row>
    <row r="25" spans="1:16" ht="15.95" customHeight="1" x14ac:dyDescent="0.2">
      <c r="A25" s="115"/>
      <c r="B25" s="116"/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7"/>
      <c r="P25" s="288" t="e">
        <f>D11:O28</f>
        <v>#VALUE!</v>
      </c>
    </row>
    <row r="26" spans="1:16" ht="15.95" customHeight="1" x14ac:dyDescent="0.2">
      <c r="A26" s="115"/>
      <c r="B26" s="116"/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7"/>
      <c r="P26" s="288"/>
    </row>
    <row r="27" spans="1:16" ht="15.95" customHeight="1" x14ac:dyDescent="0.2">
      <c r="A27" s="115"/>
      <c r="B27" s="116"/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7"/>
      <c r="P27" s="288"/>
    </row>
    <row r="28" spans="1:16" ht="15.95" customHeight="1" x14ac:dyDescent="0.2">
      <c r="A28" s="105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10"/>
      <c r="P28" s="288"/>
    </row>
    <row r="29" spans="1:16" ht="15.95" customHeight="1" x14ac:dyDescent="0.2">
      <c r="A29" s="115"/>
      <c r="B29" s="116"/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7"/>
      <c r="P29" s="288"/>
    </row>
    <row r="30" spans="1:16" ht="15.95" customHeight="1" x14ac:dyDescent="0.2">
      <c r="A30" s="115"/>
      <c r="B30" s="116"/>
      <c r="C30" s="116"/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7"/>
      <c r="P30" s="288"/>
    </row>
    <row r="31" spans="1:16" ht="15.95" customHeight="1" x14ac:dyDescent="0.2">
      <c r="A31" s="115"/>
      <c r="B31" s="116"/>
      <c r="C31" s="116"/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7"/>
      <c r="P31" s="102"/>
    </row>
    <row r="32" spans="1:16" ht="15.95" customHeight="1" x14ac:dyDescent="0.2">
      <c r="A32" s="105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10"/>
      <c r="P32" s="102"/>
    </row>
    <row r="33" spans="1:16" ht="15.95" customHeight="1" x14ac:dyDescent="0.2">
      <c r="A33" s="115"/>
      <c r="B33" s="116"/>
      <c r="C33" s="116"/>
      <c r="D33" s="116"/>
      <c r="E33" s="116"/>
      <c r="F33" s="116"/>
      <c r="G33" s="116"/>
      <c r="H33" s="116"/>
      <c r="I33" s="116"/>
      <c r="J33" s="116"/>
      <c r="K33" s="116"/>
      <c r="L33" s="116"/>
      <c r="M33" s="116"/>
      <c r="N33" s="116"/>
      <c r="O33" s="117"/>
      <c r="P33" s="103"/>
    </row>
    <row r="34" spans="1:16" ht="15.95" customHeight="1" x14ac:dyDescent="0.2">
      <c r="A34" s="105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10"/>
      <c r="P34" s="103"/>
    </row>
    <row r="35" spans="1:16" ht="15.95" customHeight="1" x14ac:dyDescent="0.2">
      <c r="A35" s="115"/>
      <c r="B35" s="116"/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6"/>
      <c r="O35" s="117"/>
      <c r="P35" s="103"/>
    </row>
    <row r="36" spans="1:16" ht="15.95" customHeight="1" x14ac:dyDescent="0.2">
      <c r="A36" s="115"/>
      <c r="B36" s="116"/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7"/>
    </row>
    <row r="37" spans="1:16" ht="15.95" customHeight="1" x14ac:dyDescent="0.2">
      <c r="A37" s="115"/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7"/>
    </row>
    <row r="38" spans="1:16" ht="15.95" customHeight="1" x14ac:dyDescent="0.2">
      <c r="A38" s="115"/>
      <c r="B38" s="116"/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7"/>
    </row>
    <row r="39" spans="1:16" ht="15.95" customHeight="1" x14ac:dyDescent="0.2">
      <c r="A39" s="115"/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7"/>
    </row>
    <row r="40" spans="1:16" ht="15.95" customHeight="1" x14ac:dyDescent="0.2">
      <c r="A40" s="115"/>
      <c r="B40" s="116"/>
      <c r="C40" s="116"/>
      <c r="D40" s="116"/>
      <c r="E40" s="116"/>
      <c r="F40" s="116"/>
      <c r="G40" s="116"/>
      <c r="H40" s="116"/>
      <c r="I40" s="116"/>
      <c r="J40" s="116"/>
      <c r="K40" s="116"/>
      <c r="L40" s="116"/>
      <c r="M40" s="116"/>
      <c r="N40" s="116"/>
      <c r="O40" s="117"/>
    </row>
    <row r="41" spans="1:16" ht="15.95" customHeight="1" x14ac:dyDescent="0.2">
      <c r="A41" s="115"/>
      <c r="B41" s="116"/>
      <c r="C41" s="116"/>
      <c r="D41" s="116"/>
      <c r="E41" s="116"/>
      <c r="F41" s="116"/>
      <c r="G41" s="116"/>
      <c r="H41" s="116"/>
      <c r="I41" s="116"/>
      <c r="J41" s="116"/>
      <c r="K41" s="116"/>
      <c r="L41" s="116"/>
      <c r="M41" s="116"/>
      <c r="N41" s="116"/>
      <c r="O41" s="117"/>
    </row>
    <row r="42" spans="1:16" ht="15.95" customHeight="1" x14ac:dyDescent="0.2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1:16" ht="24" customHeight="1" thickBot="1" x14ac:dyDescent="0.25">
      <c r="A43" s="283" t="s">
        <v>107</v>
      </c>
      <c r="B43" s="284"/>
      <c r="C43" s="285" t="s">
        <v>108</v>
      </c>
      <c r="D43" s="286"/>
      <c r="E43" s="287" t="s">
        <v>109</v>
      </c>
      <c r="F43" s="285"/>
      <c r="G43" s="286"/>
      <c r="H43" s="287" t="s">
        <v>112</v>
      </c>
      <c r="I43" s="285"/>
      <c r="J43" s="286"/>
      <c r="K43" s="287" t="s">
        <v>110</v>
      </c>
      <c r="L43" s="286"/>
      <c r="M43" s="287" t="s">
        <v>111</v>
      </c>
      <c r="N43" s="285"/>
      <c r="O43" s="289"/>
    </row>
    <row r="44" spans="1:16" ht="27.95" customHeight="1" thickBot="1" x14ac:dyDescent="0.25">
      <c r="A44" s="144"/>
      <c r="B44" s="145"/>
      <c r="C44" s="136"/>
      <c r="D44" s="137"/>
      <c r="E44" s="138"/>
      <c r="F44" s="136"/>
      <c r="G44" s="137"/>
      <c r="H44" s="138"/>
      <c r="I44" s="136"/>
      <c r="J44" s="137"/>
      <c r="K44" s="138"/>
      <c r="L44" s="137"/>
      <c r="M44" s="138"/>
      <c r="N44" s="136"/>
      <c r="O44" s="139"/>
    </row>
    <row r="45" spans="1:16" ht="24" customHeight="1" x14ac:dyDescent="0.2"/>
    <row r="46" spans="1:16" ht="16.5" customHeight="1" x14ac:dyDescent="0.2"/>
    <row r="47" spans="1:16" ht="18.95" customHeight="1" x14ac:dyDescent="0.2"/>
    <row r="48" spans="1:16" ht="16.5" customHeight="1" x14ac:dyDescent="0.2"/>
    <row r="49" spans="1:15" ht="18" hidden="1" customHeight="1" x14ac:dyDescent="0.2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</row>
    <row r="50" spans="1:15" ht="34.5" customHeight="1" x14ac:dyDescent="0.2">
      <c r="A50" s="4"/>
      <c r="B50" s="6"/>
      <c r="C50" s="4"/>
      <c r="D50" s="7"/>
      <c r="E50" s="8"/>
      <c r="F50" s="8"/>
      <c r="G50" s="8"/>
      <c r="H50" s="8"/>
      <c r="I50" s="8"/>
      <c r="J50" s="8"/>
      <c r="K50" s="8"/>
      <c r="L50" s="9"/>
      <c r="M50" s="8"/>
      <c r="N50" s="4"/>
      <c r="O50" s="4"/>
    </row>
    <row r="51" spans="1:15" ht="12" hidden="1" customHeight="1" x14ac:dyDescent="0.2">
      <c r="A51" s="4"/>
      <c r="B51" s="6"/>
      <c r="C51" s="4"/>
      <c r="D51" s="7"/>
      <c r="E51" s="8"/>
      <c r="F51" s="8"/>
      <c r="G51" s="8"/>
      <c r="H51" s="8"/>
      <c r="I51" s="8"/>
      <c r="J51" s="8"/>
      <c r="K51" s="8"/>
      <c r="L51" s="9"/>
      <c r="M51" s="8"/>
      <c r="N51" s="4"/>
      <c r="O51" s="4"/>
    </row>
    <row r="52" spans="1:15" ht="27" customHeight="1" x14ac:dyDescent="0.25">
      <c r="A52" s="127" t="s">
        <v>51</v>
      </c>
      <c r="B52" s="127"/>
      <c r="C52" s="127"/>
      <c r="D52" s="127"/>
      <c r="E52" s="127"/>
      <c r="F52" s="127"/>
      <c r="G52" s="127"/>
      <c r="H52" s="11"/>
      <c r="I52" s="128" t="s">
        <v>18</v>
      </c>
      <c r="J52" s="128"/>
      <c r="K52" s="128"/>
      <c r="L52" s="128"/>
      <c r="M52" s="128"/>
      <c r="N52" s="128"/>
      <c r="O52" s="128"/>
    </row>
    <row r="53" spans="1:15" ht="33" customHeight="1" x14ac:dyDescent="0.2"/>
    <row r="54" spans="1:15" ht="15" customHeight="1" x14ac:dyDescent="0.2"/>
    <row r="55" spans="1:15" ht="24" customHeight="1" x14ac:dyDescent="0.2"/>
    <row r="56" spans="1:15" ht="24" customHeight="1" x14ac:dyDescent="0.2"/>
    <row r="57" spans="1:15" ht="24" customHeight="1" x14ac:dyDescent="0.2"/>
    <row r="58" spans="1:15" ht="15" customHeight="1" x14ac:dyDescent="0.2"/>
    <row r="59" spans="1:15" ht="32.1" customHeight="1" x14ac:dyDescent="0.2"/>
    <row r="60" spans="1:15" ht="32.1" customHeight="1" x14ac:dyDescent="0.2"/>
    <row r="61" spans="1:15" ht="32.1" customHeight="1" x14ac:dyDescent="0.2"/>
    <row r="62" spans="1:15" ht="32.1" customHeight="1" x14ac:dyDescent="0.2"/>
    <row r="63" spans="1:15" ht="32.1" customHeight="1" x14ac:dyDescent="0.2"/>
    <row r="64" spans="1:15" ht="32.1" customHeight="1" x14ac:dyDescent="0.2"/>
    <row r="65" ht="32.1" customHeight="1" x14ac:dyDescent="0.2"/>
    <row r="66" ht="32.1" customHeight="1" x14ac:dyDescent="0.2"/>
    <row r="67" ht="32.1" customHeight="1" x14ac:dyDescent="0.2"/>
    <row r="68" ht="32.1" customHeight="1" x14ac:dyDescent="0.2"/>
    <row r="69" ht="32.1" customHeight="1" x14ac:dyDescent="0.2"/>
    <row r="70" ht="32.1" customHeight="1" x14ac:dyDescent="0.2"/>
    <row r="71" ht="32.1" customHeight="1" x14ac:dyDescent="0.2"/>
    <row r="72" ht="32.1" customHeight="1" x14ac:dyDescent="0.2"/>
    <row r="73" ht="32.1" customHeight="1" x14ac:dyDescent="0.2"/>
    <row r="74" ht="32.1" customHeight="1" x14ac:dyDescent="0.2"/>
    <row r="75" ht="32.1" customHeight="1" x14ac:dyDescent="0.2"/>
    <row r="76" ht="32.1" customHeight="1" x14ac:dyDescent="0.2"/>
    <row r="77" ht="32.1" customHeight="1" x14ac:dyDescent="0.2"/>
    <row r="78" ht="32.1" customHeight="1" x14ac:dyDescent="0.2"/>
    <row r="79" ht="32.1" customHeight="1" x14ac:dyDescent="0.2"/>
    <row r="80" ht="32.1" customHeight="1" x14ac:dyDescent="0.2"/>
    <row r="81" ht="32.1" customHeight="1" x14ac:dyDescent="0.2"/>
    <row r="82" ht="32.1" customHeight="1" x14ac:dyDescent="0.2"/>
    <row r="83" ht="24" customHeight="1" x14ac:dyDescent="0.2"/>
    <row r="84" ht="24" customHeight="1" x14ac:dyDescent="0.2"/>
    <row r="85" ht="24" customHeight="1" x14ac:dyDescent="0.2"/>
    <row r="86" ht="24" customHeight="1" x14ac:dyDescent="0.2"/>
    <row r="87" ht="24" customHeight="1" x14ac:dyDescent="0.2"/>
    <row r="88" ht="24" customHeight="1" x14ac:dyDescent="0.2"/>
  </sheetData>
  <mergeCells count="45">
    <mergeCell ref="A16:O16"/>
    <mergeCell ref="A49:O49"/>
    <mergeCell ref="A52:G52"/>
    <mergeCell ref="I52:O52"/>
    <mergeCell ref="A11:C11"/>
    <mergeCell ref="D11:O11"/>
    <mergeCell ref="A12:O12"/>
    <mergeCell ref="A13:O13"/>
    <mergeCell ref="A14:O14"/>
    <mergeCell ref="A15:O15"/>
    <mergeCell ref="A43:B44"/>
    <mergeCell ref="C43:D43"/>
    <mergeCell ref="E43:G43"/>
    <mergeCell ref="H43:J43"/>
    <mergeCell ref="P25:P30"/>
    <mergeCell ref="K43:L43"/>
    <mergeCell ref="M43:O43"/>
    <mergeCell ref="C44:D44"/>
    <mergeCell ref="E44:G44"/>
    <mergeCell ref="H44:J44"/>
    <mergeCell ref="K44:L44"/>
    <mergeCell ref="M44:O44"/>
    <mergeCell ref="H10:O10"/>
    <mergeCell ref="A7:B7"/>
    <mergeCell ref="C7:G7"/>
    <mergeCell ref="H7:J7"/>
    <mergeCell ref="K7:O7"/>
    <mergeCell ref="A8:B8"/>
    <mergeCell ref="C8:G8"/>
    <mergeCell ref="H8:J8"/>
    <mergeCell ref="K8:M8"/>
    <mergeCell ref="N8:O8"/>
    <mergeCell ref="A9:B9"/>
    <mergeCell ref="C9:G9"/>
    <mergeCell ref="H9:J9"/>
    <mergeCell ref="M9:N9"/>
    <mergeCell ref="A10:G10"/>
    <mergeCell ref="A1:C6"/>
    <mergeCell ref="D1:O2"/>
    <mergeCell ref="D3:O4"/>
    <mergeCell ref="D5:G6"/>
    <mergeCell ref="H5:I6"/>
    <mergeCell ref="J5:J6"/>
    <mergeCell ref="K5:K6"/>
    <mergeCell ref="L5:O6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locked="0" defaultSize="0" autoLine="0" autoPict="0">
                <anchor moveWithCells="1">
                  <from>
                    <xdr:col>10</xdr:col>
                    <xdr:colOff>57150</xdr:colOff>
                    <xdr:row>6</xdr:row>
                    <xdr:rowOff>66675</xdr:rowOff>
                  </from>
                  <to>
                    <xdr:col>14</xdr:col>
                    <xdr:colOff>219075</xdr:colOff>
                    <xdr:row>6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R016-03</vt:lpstr>
      <vt:lpstr>SIMBOLOGIA</vt:lpstr>
      <vt:lpstr>Auxiliar</vt:lpstr>
      <vt:lpstr>Hoja observaciones</vt:lpstr>
    </vt:vector>
  </TitlesOfParts>
  <Company>Usuario Final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Bettio</dc:creator>
  <cp:lastModifiedBy>Lorenzo Contigiani</cp:lastModifiedBy>
  <cp:lastPrinted>2025-12-19T15:20:06Z</cp:lastPrinted>
  <dcterms:created xsi:type="dcterms:W3CDTF">2008-05-02T14:04:52Z</dcterms:created>
  <dcterms:modified xsi:type="dcterms:W3CDTF">2026-01-12T19:49:58Z</dcterms:modified>
</cp:coreProperties>
</file>