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55\utn\REGISTROS\R016-01\"/>
    </mc:Choice>
  </mc:AlternateContent>
  <bookViews>
    <workbookView xWindow="0" yWindow="0" windowWidth="16560" windowHeight="7545" activeTab="2"/>
  </bookViews>
  <sheets>
    <sheet name="R016-04" sheetId="1" r:id="rId1"/>
    <sheet name="SIMBOLOGIA" sheetId="2" r:id="rId2"/>
    <sheet name="Auxiliar" sheetId="3" r:id="rId3"/>
  </sheets>
  <definedNames>
    <definedName name="_xlnm._FilterDatabase" localSheetId="2" hidden="1">Auxiliar!$A$1:$AD$194</definedName>
  </definedNames>
  <calcPr calcId="162913"/>
</workbook>
</file>

<file path=xl/calcChain.xml><?xml version="1.0" encoding="utf-8"?>
<calcChain xmlns="http://schemas.openxmlformats.org/spreadsheetml/2006/main">
  <c r="X8" i="1" l="1"/>
  <c r="AB8" i="1"/>
  <c r="R14" i="1"/>
  <c r="S14" i="1"/>
  <c r="S15" i="1"/>
  <c r="R16" i="1"/>
  <c r="S16" i="1"/>
  <c r="S17" i="1"/>
  <c r="R18" i="1"/>
  <c r="S18" i="1"/>
  <c r="S19" i="1"/>
  <c r="S20" i="1"/>
  <c r="S21" i="1"/>
  <c r="H8" i="1"/>
  <c r="L8" i="1"/>
  <c r="B18" i="1"/>
  <c r="C18" i="1"/>
  <c r="C21" i="1"/>
  <c r="C20" i="1"/>
  <c r="C19" i="1"/>
  <c r="C17" i="1"/>
  <c r="C16" i="1"/>
  <c r="B16" i="1"/>
  <c r="C15" i="1"/>
  <c r="C14" i="1"/>
  <c r="B14" i="1"/>
</calcChain>
</file>

<file path=xl/sharedStrings.xml><?xml version="1.0" encoding="utf-8"?>
<sst xmlns="http://schemas.openxmlformats.org/spreadsheetml/2006/main" count="2291" uniqueCount="447">
  <si>
    <t>ITEM</t>
  </si>
  <si>
    <t>Nº 1</t>
  </si>
  <si>
    <t>Nº 2</t>
  </si>
  <si>
    <t>Nº 3</t>
  </si>
  <si>
    <t>Nº 4</t>
  </si>
  <si>
    <t>Nº 5</t>
  </si>
  <si>
    <t>Nº 6</t>
  </si>
  <si>
    <t>Nº 7</t>
  </si>
  <si>
    <t>Nº 8</t>
  </si>
  <si>
    <t>Nº 10</t>
  </si>
  <si>
    <t>OK</t>
  </si>
  <si>
    <t>NOT  OK</t>
  </si>
  <si>
    <t xml:space="preserve">        d</t>
  </si>
  <si>
    <t xml:space="preserve">                                        </t>
  </si>
  <si>
    <t>Nº 9</t>
  </si>
  <si>
    <r>
      <t>MEDICIONES /</t>
    </r>
    <r>
      <rPr>
        <sz val="7"/>
        <rFont val="Arial"/>
        <family val="2"/>
      </rPr>
      <t>ACTUAL READINGS</t>
    </r>
    <r>
      <rPr>
        <sz val="8"/>
        <rFont val="Arial"/>
      </rPr>
      <t xml:space="preserve"> (µm)</t>
    </r>
  </si>
  <si>
    <t>PERMANENTE</t>
  </si>
  <si>
    <r>
      <t xml:space="preserve">D.NOMINAL / </t>
    </r>
    <r>
      <rPr>
        <sz val="5"/>
        <rFont val="Arial"/>
        <family val="2"/>
      </rPr>
      <t>NOMINAL DIM.</t>
    </r>
    <r>
      <rPr>
        <sz val="7"/>
        <rFont val="Arial"/>
      </rPr>
      <t xml:space="preserve">   (mm)</t>
    </r>
  </si>
  <si>
    <t xml:space="preserve"> C:</t>
  </si>
  <si>
    <t>D:</t>
  </si>
  <si>
    <r>
      <t>V</t>
    </r>
    <r>
      <rPr>
        <vertAlign val="subscript"/>
        <sz val="12"/>
        <rFont val="Arial"/>
      </rPr>
      <t>Dp</t>
    </r>
    <r>
      <rPr>
        <sz val="12"/>
        <rFont val="Arial"/>
        <family val="2"/>
      </rPr>
      <t>:</t>
    </r>
  </si>
  <si>
    <t>B:</t>
  </si>
  <si>
    <t>d:</t>
  </si>
  <si>
    <r>
      <t>V</t>
    </r>
    <r>
      <rPr>
        <vertAlign val="subscript"/>
        <sz val="12"/>
        <rFont val="Arial"/>
      </rPr>
      <t>dp</t>
    </r>
    <r>
      <rPr>
        <sz val="12"/>
        <rFont val="Arial"/>
        <family val="2"/>
      </rPr>
      <t>:</t>
    </r>
  </si>
  <si>
    <r>
      <t>V</t>
    </r>
    <r>
      <rPr>
        <vertAlign val="subscript"/>
        <sz val="12"/>
        <rFont val="Arial"/>
      </rPr>
      <t>dmp</t>
    </r>
    <r>
      <rPr>
        <sz val="12"/>
        <rFont val="Arial"/>
        <family val="2"/>
      </rPr>
      <t>:</t>
    </r>
  </si>
  <si>
    <t>Diámetro exterior del rodamiento / Bearing outside diameter</t>
  </si>
  <si>
    <t>Conicidad del agujero del aro interior (diferencia de medida en ambos lados) / Mean bore diameter variation</t>
  </si>
  <si>
    <t>Ancho del aro exterior / Outer ring width</t>
  </si>
  <si>
    <t>Variación del diámetro exterior en un plano radial simple / Outside diameter variation in single radial plane</t>
  </si>
  <si>
    <t>Ancho del aro interior / Inner ring width</t>
  </si>
  <si>
    <t>Diámetro del agujero del aro interior del rodamiento / Bearing bore diameter</t>
  </si>
  <si>
    <t>Variación diametral del agujero del aro interior en un plano radial simple / Bore diameter variation in a single radial plane</t>
  </si>
  <si>
    <t>GR:</t>
  </si>
  <si>
    <t>Juego radial</t>
  </si>
  <si>
    <r>
      <t xml:space="preserve">UBIC. EN DEPOSITO / </t>
    </r>
    <r>
      <rPr>
        <sz val="6"/>
        <rFont val="Arial"/>
        <family val="2"/>
      </rPr>
      <t>LOCATION IN DEPOSITS</t>
    </r>
    <r>
      <rPr>
        <sz val="8"/>
        <rFont val="Arial"/>
      </rPr>
      <t>:</t>
    </r>
  </si>
  <si>
    <r>
      <t xml:space="preserve">PROVEEDOR / </t>
    </r>
    <r>
      <rPr>
        <sz val="6"/>
        <rFont val="Arial"/>
        <family val="2"/>
      </rPr>
      <t>SUPPLIER</t>
    </r>
    <r>
      <rPr>
        <sz val="8"/>
        <rFont val="Arial"/>
      </rPr>
      <t>:</t>
    </r>
  </si>
  <si>
    <r>
      <t xml:space="preserve">CRITERIO DE MUESTRA / </t>
    </r>
    <r>
      <rPr>
        <sz val="6"/>
        <rFont val="Arial"/>
        <family val="2"/>
      </rPr>
      <t>SAMPLE DISCRETION</t>
    </r>
    <r>
      <rPr>
        <sz val="8"/>
        <rFont val="Arial"/>
      </rPr>
      <t>:</t>
    </r>
  </si>
  <si>
    <r>
      <t xml:space="preserve">        SIGNIFICADO DE LA SIMBOLOGIA            </t>
    </r>
    <r>
      <rPr>
        <sz val="12"/>
        <rFont val="Arial"/>
      </rPr>
      <t>Symbol Meaning</t>
    </r>
  </si>
  <si>
    <r>
      <t xml:space="preserve">    FIRMA DEL INSPECTOR DE CALIDAD Y FECHA   /   </t>
    </r>
    <r>
      <rPr>
        <sz val="9"/>
        <rFont val="Arial"/>
        <family val="2"/>
      </rPr>
      <t>NAME AND SIGNATURE OF THE INSPECTOR QUALITY</t>
    </r>
  </si>
  <si>
    <t>Codigo</t>
  </si>
  <si>
    <t>Elegido</t>
  </si>
  <si>
    <t>B</t>
  </si>
  <si>
    <t>d</t>
  </si>
  <si>
    <t>d+</t>
  </si>
  <si>
    <t>d-</t>
  </si>
  <si>
    <r>
      <t>LUGAR DE INSPEC.</t>
    </r>
    <r>
      <rPr>
        <sz val="8"/>
        <rFont val="Arial"/>
      </rPr>
      <t xml:space="preserve"> /    </t>
    </r>
    <r>
      <rPr>
        <sz val="5"/>
        <rFont val="Arial"/>
        <family val="2"/>
      </rPr>
      <t>NAME OF INSPECTION FACILITY</t>
    </r>
    <r>
      <rPr>
        <sz val="8"/>
        <rFont val="Arial"/>
      </rPr>
      <t xml:space="preserve">: </t>
    </r>
  </si>
  <si>
    <t>Rev.</t>
  </si>
  <si>
    <t>Fecha Rev.</t>
  </si>
  <si>
    <t xml:space="preserve">       B</t>
  </si>
  <si>
    <t xml:space="preserve">       T</t>
  </si>
  <si>
    <r>
      <t xml:space="preserve">PISTA CONO / </t>
    </r>
    <r>
      <rPr>
        <sz val="5"/>
        <rFont val="Arial"/>
        <family val="2"/>
      </rPr>
      <t>RACEWAY CONE</t>
    </r>
  </si>
  <si>
    <t>T</t>
  </si>
  <si>
    <t>D</t>
  </si>
  <si>
    <t>C</t>
  </si>
  <si>
    <t>PERFIL CUB</t>
  </si>
  <si>
    <t>PERFIL CONO</t>
  </si>
  <si>
    <t>PERFIL ROD.</t>
  </si>
  <si>
    <t>PISTA CUBETA</t>
  </si>
  <si>
    <r>
      <t xml:space="preserve">RESPALDO CONO / </t>
    </r>
    <r>
      <rPr>
        <sz val="5"/>
        <rFont val="Arial"/>
        <family val="2"/>
      </rPr>
      <t>BACK CONE</t>
    </r>
  </si>
  <si>
    <t>B+</t>
  </si>
  <si>
    <t>B-</t>
  </si>
  <si>
    <t>Ancho ensamble rodamiento conico</t>
  </si>
  <si>
    <t>T+</t>
  </si>
  <si>
    <t>T-</t>
  </si>
  <si>
    <t>D+</t>
  </si>
  <si>
    <t>D-</t>
  </si>
  <si>
    <t>C+</t>
  </si>
  <si>
    <t>C-</t>
  </si>
  <si>
    <r>
      <t>TOLERANCIA /</t>
    </r>
    <r>
      <rPr>
        <sz val="5"/>
        <rFont val="Arial"/>
        <family val="2"/>
      </rPr>
      <t>TOLERANCE</t>
    </r>
    <r>
      <rPr>
        <sz val="7"/>
        <rFont val="Arial"/>
      </rPr>
      <t xml:space="preserve"> (µm)</t>
    </r>
  </si>
  <si>
    <t>RUG. RESPALDO CONO</t>
  </si>
  <si>
    <t>RUG.PISTA CONO</t>
  </si>
  <si>
    <t>HRC CUB+</t>
  </si>
  <si>
    <t>HRC CUB-</t>
  </si>
  <si>
    <t>HRC CONO+</t>
  </si>
  <si>
    <t>HRC CONO-</t>
  </si>
  <si>
    <t>Dimensión axial del chaflán en el aro exterior / Outer ring axial chamfer dimension</t>
  </si>
  <si>
    <t>Dimensión radial del chaflán en el aro exterior / Outer ring radial chamfer dimension</t>
  </si>
  <si>
    <r>
      <t>Re</t>
    </r>
    <r>
      <rPr>
        <vertAlign val="subscript"/>
        <sz val="12"/>
        <rFont val="Arial"/>
        <family val="2"/>
      </rPr>
      <t>A</t>
    </r>
    <r>
      <rPr>
        <sz val="12"/>
        <rFont val="Arial"/>
        <family val="2"/>
      </rPr>
      <t>:</t>
    </r>
  </si>
  <si>
    <r>
      <t>Re</t>
    </r>
    <r>
      <rPr>
        <vertAlign val="subscript"/>
        <sz val="12"/>
        <rFont val="Arial"/>
        <family val="2"/>
      </rPr>
      <t>R</t>
    </r>
    <r>
      <rPr>
        <sz val="12"/>
        <rFont val="Arial"/>
        <family val="2"/>
      </rPr>
      <t>:</t>
    </r>
  </si>
  <si>
    <r>
      <t>ri</t>
    </r>
    <r>
      <rPr>
        <vertAlign val="subscript"/>
        <sz val="12"/>
        <rFont val="Arial"/>
        <family val="2"/>
      </rPr>
      <t>A</t>
    </r>
    <r>
      <rPr>
        <sz val="12"/>
        <rFont val="Arial"/>
        <family val="2"/>
      </rPr>
      <t>:</t>
    </r>
  </si>
  <si>
    <t>Dimensión axial del chaflán en el aro interior / Inner ring axial chamfer dimension</t>
  </si>
  <si>
    <r>
      <t>ri</t>
    </r>
    <r>
      <rPr>
        <vertAlign val="subscript"/>
        <sz val="12"/>
        <rFont val="Arial"/>
        <family val="2"/>
      </rPr>
      <t>R</t>
    </r>
    <r>
      <rPr>
        <sz val="12"/>
        <rFont val="Arial"/>
        <family val="2"/>
      </rPr>
      <t>:</t>
    </r>
  </si>
  <si>
    <t>Dimensión radial del claflán en el aro interior / Innedir ring radial chamfer dimension</t>
  </si>
  <si>
    <r>
      <t xml:space="preserve">PRODUCTO / </t>
    </r>
    <r>
      <rPr>
        <sz val="6"/>
        <rFont val="Arial"/>
        <family val="2"/>
      </rPr>
      <t>PRODUCT</t>
    </r>
    <r>
      <rPr>
        <sz val="8"/>
        <rFont val="Arial"/>
      </rPr>
      <t>:</t>
    </r>
  </si>
  <si>
    <r>
      <t>GRABADO</t>
    </r>
    <r>
      <rPr>
        <sz val="6"/>
        <rFont val="Arial"/>
        <family val="2"/>
      </rPr>
      <t xml:space="preserve"> / </t>
    </r>
    <r>
      <rPr>
        <sz val="5"/>
        <rFont val="Arial"/>
        <family val="2"/>
      </rPr>
      <t>MARKING</t>
    </r>
  </si>
  <si>
    <t>ASPECTO</t>
  </si>
  <si>
    <t>GIRO</t>
  </si>
  <si>
    <t>RUIDO, SALTO</t>
  </si>
  <si>
    <t>RUGOSIDAD</t>
  </si>
  <si>
    <t>PAG. 01 - 01</t>
  </si>
  <si>
    <t>OBSERVACION:</t>
  </si>
  <si>
    <t>CODIGO DE PROD.</t>
  </si>
  <si>
    <t>* IDENTIFICAR EL TIPO DE DEFECTO CON LETRA INICIAL RESALTADA</t>
  </si>
  <si>
    <r>
      <t>*</t>
    </r>
    <r>
      <rPr>
        <b/>
        <sz val="7"/>
        <rFont val="Arial"/>
        <family val="2"/>
      </rPr>
      <t>R</t>
    </r>
    <r>
      <rPr>
        <sz val="7"/>
        <rFont val="Arial"/>
        <family val="2"/>
      </rPr>
      <t xml:space="preserve">ayas, </t>
    </r>
    <r>
      <rPr>
        <b/>
        <sz val="7"/>
        <rFont val="Arial"/>
        <family val="2"/>
      </rPr>
      <t>G</t>
    </r>
    <r>
      <rPr>
        <sz val="7"/>
        <rFont val="Arial"/>
        <family val="2"/>
      </rPr>
      <t xml:space="preserve">olpes, </t>
    </r>
    <r>
      <rPr>
        <b/>
        <sz val="7"/>
        <rFont val="Arial"/>
        <family val="2"/>
      </rPr>
      <t>O</t>
    </r>
    <r>
      <rPr>
        <sz val="7"/>
        <rFont val="Arial"/>
        <family val="2"/>
      </rPr>
      <t xml:space="preserve">xido, </t>
    </r>
    <r>
      <rPr>
        <b/>
        <sz val="7"/>
        <rFont val="Arial"/>
        <family val="2"/>
      </rPr>
      <t>D</t>
    </r>
    <r>
      <rPr>
        <sz val="7"/>
        <rFont val="Arial"/>
        <family val="2"/>
      </rPr>
      <t>esprendimiento de material</t>
    </r>
  </si>
  <si>
    <t>BPB-053-X-33112</t>
  </si>
  <si>
    <t>REGISTRO DE INSPECCION DE PRODUCTO -CONO- CUBETA</t>
  </si>
  <si>
    <t>R016 - 01</t>
  </si>
  <si>
    <t>JRME2047</t>
  </si>
  <si>
    <t>MID-058-JRME2047</t>
  </si>
  <si>
    <t>TAPERED ROLLER BEARING INSPECTION RECORD</t>
  </si>
  <si>
    <t>DTR2549FM=JRME2549</t>
  </si>
  <si>
    <t>MID-054-JRME2549</t>
  </si>
  <si>
    <t>HM518410</t>
  </si>
  <si>
    <t>BPB-050-HM518410</t>
  </si>
  <si>
    <t>DTR2549FM=JRME2549 (CONO)</t>
  </si>
  <si>
    <t>BPB-054-Y-30205-MX</t>
  </si>
  <si>
    <t>30205 CUBETA</t>
  </si>
  <si>
    <t>30205 CONO</t>
  </si>
  <si>
    <t>JRME2549-16 (CUB)</t>
  </si>
  <si>
    <t>BPB-054-JRME2549-16</t>
  </si>
  <si>
    <t>BPB-053-X-32212-MX 
BPB-054-Y-32212-MX</t>
  </si>
  <si>
    <t>BPB-053-X-30210-MX
BPB-054-Y-30210-MX</t>
  </si>
  <si>
    <t>BPB-058-30207-MX</t>
  </si>
  <si>
    <t>740 (CONO)</t>
  </si>
  <si>
    <t>742 (CUBETA)</t>
  </si>
  <si>
    <t>752 (CUBETA)</t>
  </si>
  <si>
    <t>HM518445</t>
  </si>
  <si>
    <t>30208 (CUBETA)</t>
  </si>
  <si>
    <t>BPB-054-Y-30208-MX</t>
  </si>
  <si>
    <t>BPB-050-HM-518445</t>
  </si>
  <si>
    <t>BPB-054-752</t>
  </si>
  <si>
    <t>BPB-054-742</t>
  </si>
  <si>
    <t>BPB-053-759</t>
  </si>
  <si>
    <t>BPB-053-740</t>
  </si>
  <si>
    <t>30207 CONO</t>
  </si>
  <si>
    <t>30207 CUBETA</t>
  </si>
  <si>
    <t>BPB-053-X-30207-MX</t>
  </si>
  <si>
    <t>BPB-054-Y-30207-MX</t>
  </si>
  <si>
    <t>SET 9</t>
  </si>
  <si>
    <t>SET 10</t>
  </si>
  <si>
    <t>SET 20</t>
  </si>
  <si>
    <t>SET 80</t>
  </si>
  <si>
    <t>BPB-031-SET-9</t>
  </si>
  <si>
    <t>BPB-031-SET-10</t>
  </si>
  <si>
    <t>BPB-031-SET-20</t>
  </si>
  <si>
    <t>BPB-031-SET-80</t>
  </si>
  <si>
    <t>S33SR</t>
  </si>
  <si>
    <t>BPB-048-S33SR</t>
  </si>
  <si>
    <t>BPB-054-Y-32213-MX</t>
  </si>
  <si>
    <t>BPB-054-Y-32216-MX</t>
  </si>
  <si>
    <t>32213 (CUBETA)</t>
  </si>
  <si>
    <t>32216 (CUBETA)</t>
  </si>
  <si>
    <t>BPB-054-29620</t>
  </si>
  <si>
    <t>NO</t>
  </si>
  <si>
    <t>DTR4080FM</t>
  </si>
  <si>
    <t>DTR3572FM</t>
  </si>
  <si>
    <t>BPB-053-HM-212049</t>
  </si>
  <si>
    <t>BPB-053-LM-48548</t>
  </si>
  <si>
    <t>BPB-053-L-45449</t>
  </si>
  <si>
    <t>HM-212049 (CONO)</t>
  </si>
  <si>
    <t>LM-48548 (CONO)</t>
  </si>
  <si>
    <t>L-45449 (CONO)</t>
  </si>
  <si>
    <t>LM-29749 (CONO)</t>
  </si>
  <si>
    <t>BPB-053-LM-29749</t>
  </si>
  <si>
    <t>LM-12749 (CONO)</t>
  </si>
  <si>
    <t>BPB-053-LM-12749</t>
  </si>
  <si>
    <t>LM-11749 (CONO)</t>
  </si>
  <si>
    <t>BPB-053-LM-11749</t>
  </si>
  <si>
    <t>LM-104949 (CONO)</t>
  </si>
  <si>
    <t>BPB-053-LM-104949</t>
  </si>
  <si>
    <t>LM-67048 (CONO)</t>
  </si>
  <si>
    <t>BPB-053-LM-67048</t>
  </si>
  <si>
    <t xml:space="preserve">BPB-054-Y-32210-MX
BPB-053-X-32210-MX                  </t>
  </si>
  <si>
    <t>BBT-329013</t>
  </si>
  <si>
    <t xml:space="preserve">BPB-                           </t>
  </si>
  <si>
    <t>HM-88610 (CUBETA)</t>
  </si>
  <si>
    <t>BPB-054-HM-88610</t>
  </si>
  <si>
    <t>BPB-053-DTR3572-CONE
BPB-054-DTR3572-CUP</t>
  </si>
  <si>
    <t>BPB-053-DTR4080-CONE
BPB-054-DTR4080-CUP</t>
  </si>
  <si>
    <t>HM-212011 (CUBETA)</t>
  </si>
  <si>
    <t>L-45410 (CUBETA)</t>
  </si>
  <si>
    <t>LM-29710 (CUBETA)</t>
  </si>
  <si>
    <t>LM-48510 (CUBETA)</t>
  </si>
  <si>
    <t>BPB-054-HM-212011</t>
  </si>
  <si>
    <t>BPB-054-L-45410</t>
  </si>
  <si>
    <t>BPB-054-LM-29710</t>
  </si>
  <si>
    <t>BPB-LM-48510</t>
  </si>
  <si>
    <t>BPB-054-X-32213-MX
BPB-053X-32213-MX</t>
  </si>
  <si>
    <t>BPB-053-X-30214-MX
BPB-054-Y-30214-MX</t>
  </si>
  <si>
    <t>BPB-053-31594</t>
  </si>
  <si>
    <t>BPB-053-29685</t>
  </si>
  <si>
    <t>BPB-053-15123</t>
  </si>
  <si>
    <t>378A</t>
  </si>
  <si>
    <t>BPB-053-580</t>
  </si>
  <si>
    <t>BPB-053-387A</t>
  </si>
  <si>
    <t>BPB-054-15245</t>
  </si>
  <si>
    <t>BPB-054-31520</t>
  </si>
  <si>
    <t xml:space="preserve">BPB-054-Y-30209-MX
BPB-053-X-30209-MX                  </t>
  </si>
  <si>
    <t>LM102949 (CONO)</t>
  </si>
  <si>
    <t>BPB-053-LM102949</t>
  </si>
  <si>
    <t>BPB-054-Y-30206-MX
BPB-053-X-30206-MX</t>
  </si>
  <si>
    <t>DTR2552</t>
  </si>
  <si>
    <t>BPB-053-020-DTR2552
BPB-054-010-DTR2552</t>
  </si>
  <si>
    <t>BPB-054-572</t>
  </si>
  <si>
    <t>LM12710</t>
  </si>
  <si>
    <t>BPB-054-LM-12710</t>
  </si>
  <si>
    <t>LM102910</t>
  </si>
  <si>
    <t>BPB-054-LM-102910</t>
  </si>
  <si>
    <t>BPB-054-Y-32011-MX</t>
  </si>
  <si>
    <t>LM11710</t>
  </si>
  <si>
    <t>BPB-054-LM-11710</t>
  </si>
  <si>
    <t>BPB-054-Y-32005-MX</t>
  </si>
  <si>
    <t>Y-32005-MX</t>
  </si>
  <si>
    <t>BPB-053-X-32005-MX</t>
  </si>
  <si>
    <t>X-32005-MX</t>
  </si>
  <si>
    <t>30208-MX</t>
  </si>
  <si>
    <t>BPB-058-30208-MX</t>
  </si>
  <si>
    <t>X-32007-MX</t>
  </si>
  <si>
    <t>BPB-053-X-32007</t>
  </si>
  <si>
    <t>Y-32007-MX</t>
  </si>
  <si>
    <t>BPB-054-Y-32007</t>
  </si>
  <si>
    <t>LM104911</t>
  </si>
  <si>
    <t>BPB-054-LM104911</t>
  </si>
  <si>
    <t xml:space="preserve">  </t>
  </si>
  <si>
    <t>382-A</t>
  </si>
  <si>
    <t>BPB-054-382-A</t>
  </si>
  <si>
    <t>BPB-054-25521</t>
  </si>
  <si>
    <t>BPB-053-X-32011</t>
  </si>
  <si>
    <t>X-32011</t>
  </si>
  <si>
    <t>LM44649</t>
  </si>
  <si>
    <t>BPB-053-LM 44649</t>
  </si>
  <si>
    <t>LM44610</t>
  </si>
  <si>
    <t>BPB-054-LM44610</t>
  </si>
  <si>
    <t>TCY305</t>
  </si>
  <si>
    <t>BPB-054-TCY305</t>
  </si>
  <si>
    <t>TCX305</t>
  </si>
  <si>
    <t>X320-32X</t>
  </si>
  <si>
    <t>BPB-053-X320-32X</t>
  </si>
  <si>
    <t>BPB-053-Y-32211</t>
  </si>
  <si>
    <t>HM-88649</t>
  </si>
  <si>
    <t>BPB-053-HM 88649</t>
  </si>
  <si>
    <t>TCY212</t>
  </si>
  <si>
    <t>TCX212</t>
  </si>
  <si>
    <t>L44610</t>
  </si>
  <si>
    <t>L44643</t>
  </si>
  <si>
    <t>BPB-053-L-44643</t>
  </si>
  <si>
    <t>BPB-054-L-44610</t>
  </si>
  <si>
    <t>X30210</t>
  </si>
  <si>
    <t>BPB-053-X-30210-MX</t>
  </si>
  <si>
    <t>Y30211</t>
  </si>
  <si>
    <t>BPB-054-Y-30211-MX</t>
  </si>
  <si>
    <t>Y30209</t>
  </si>
  <si>
    <t>BPB-054-Y-30209-MX</t>
  </si>
  <si>
    <t>X-32212-MX</t>
  </si>
  <si>
    <t>BPB-053-X-32212-MX</t>
  </si>
  <si>
    <t>BPB-053-TCX212</t>
  </si>
  <si>
    <t>Resultado final de la inspección</t>
  </si>
  <si>
    <t>Total Lote</t>
  </si>
  <si>
    <t>Aprobado</t>
  </si>
  <si>
    <t>Scrap</t>
  </si>
  <si>
    <t>Retrabajar</t>
  </si>
  <si>
    <t>TCX308</t>
  </si>
  <si>
    <t>BPB-053-TCX308</t>
  </si>
  <si>
    <t>BPB-053-TCX305</t>
  </si>
  <si>
    <t>JM205149</t>
  </si>
  <si>
    <t>BPB-053-JM-205149</t>
  </si>
  <si>
    <t>X-30209</t>
  </si>
  <si>
    <t>BPB-053-X-30209-MX</t>
  </si>
  <si>
    <t>DTR-3060-FM</t>
  </si>
  <si>
    <t>BPB-048-DTR-3060-FM</t>
  </si>
  <si>
    <t>X-32216</t>
  </si>
  <si>
    <t>BPB-053-X-32216-MX</t>
  </si>
  <si>
    <t>DTR2047-FM</t>
  </si>
  <si>
    <t>BPB-048-DTR-2047-FM</t>
  </si>
  <si>
    <t>X-30211</t>
  </si>
  <si>
    <t>BPB-053-X-30211-MX</t>
  </si>
  <si>
    <t>BPB-053-32213-MX</t>
  </si>
  <si>
    <t>X-32213</t>
  </si>
  <si>
    <t>Y30210</t>
  </si>
  <si>
    <t>BPB-054-Y-30210-MX</t>
  </si>
  <si>
    <t>JM205110</t>
  </si>
  <si>
    <t>BPB-054-JM-205110</t>
  </si>
  <si>
    <t>TDY008</t>
  </si>
  <si>
    <t>BPB-054-TDY008</t>
  </si>
  <si>
    <t>TDY006</t>
  </si>
  <si>
    <t>BPB-054-TDY009</t>
  </si>
  <si>
    <t>BPB-054-TDY006</t>
  </si>
  <si>
    <t>TDY009</t>
  </si>
  <si>
    <t>DTR-2549-FM</t>
  </si>
  <si>
    <t>BPB-048-DTR-2549-FM</t>
  </si>
  <si>
    <t>TDX009</t>
  </si>
  <si>
    <t>BPB-053-TDX009</t>
  </si>
  <si>
    <t>TDX006</t>
  </si>
  <si>
    <t>30208(cono)</t>
  </si>
  <si>
    <t>BPB-053-TDX006</t>
  </si>
  <si>
    <t>BPB-053-X-30208</t>
  </si>
  <si>
    <t>32211(cono)</t>
  </si>
  <si>
    <t>BPB-053-X-32211</t>
  </si>
  <si>
    <t>TDX008</t>
  </si>
  <si>
    <t>BPB-053-TDX008</t>
  </si>
  <si>
    <t>BPB-054-TCY212</t>
  </si>
  <si>
    <t>BPB-053-30205</t>
  </si>
  <si>
    <t>JL819310</t>
  </si>
  <si>
    <t>BPB-054-JL819310</t>
  </si>
  <si>
    <t>BPB-053-X-30206-MX</t>
  </si>
  <si>
    <t>X-30206</t>
  </si>
  <si>
    <t>DTR-3062-FM</t>
  </si>
  <si>
    <t>BPB-048-DTR3062-FM</t>
  </si>
  <si>
    <t>BPB-054-Y-30206-MX</t>
  </si>
  <si>
    <t>Y-30206</t>
  </si>
  <si>
    <t>TDY208</t>
  </si>
  <si>
    <t>BPB-054-TDY208</t>
  </si>
  <si>
    <t>TDX-208</t>
  </si>
  <si>
    <t>BPB-053-TDX208</t>
  </si>
  <si>
    <t>LM-67010</t>
  </si>
  <si>
    <t>BPB-054-LM-67010</t>
  </si>
  <si>
    <t>Y-32212</t>
  </si>
  <si>
    <t>BPB-054-Y-32212-MX</t>
  </si>
  <si>
    <t>Y-30310</t>
  </si>
  <si>
    <t>BPB-054-Y-30310-MX</t>
  </si>
  <si>
    <t>X-30310</t>
  </si>
  <si>
    <t>BPB-053-X-30310-MX</t>
  </si>
  <si>
    <t>X-32214</t>
  </si>
  <si>
    <t>BPB-053-X-32214-MX</t>
  </si>
  <si>
    <t>Y-32214</t>
  </si>
  <si>
    <t>BPB-054-Y-32214-MX</t>
  </si>
  <si>
    <t>759 (CONO)</t>
  </si>
  <si>
    <t>TCX203</t>
  </si>
  <si>
    <t>BPB-053-TCX203</t>
  </si>
  <si>
    <t>DTR3565-FM</t>
  </si>
  <si>
    <t>BPB-048-DTR3565-FM</t>
  </si>
  <si>
    <t>BPB-058-30211-MX</t>
  </si>
  <si>
    <t>TD013</t>
  </si>
  <si>
    <t>TDY207</t>
  </si>
  <si>
    <t>BPB-054-TDY207</t>
  </si>
  <si>
    <t>TDX207</t>
  </si>
  <si>
    <t>TDX215</t>
  </si>
  <si>
    <t>TDX310</t>
  </si>
  <si>
    <t>TCX216</t>
  </si>
  <si>
    <t>TCY211</t>
  </si>
  <si>
    <t>BPB-054-TCY211</t>
  </si>
  <si>
    <t>BPB-053-TDX207</t>
  </si>
  <si>
    <t>BPB-053-TDX215</t>
  </si>
  <si>
    <t>BPB-053-TCX216</t>
  </si>
  <si>
    <t>BPB-053-TDX310</t>
  </si>
  <si>
    <t>TCY203</t>
  </si>
  <si>
    <t>TCY204</t>
  </si>
  <si>
    <t>TCY209</t>
  </si>
  <si>
    <t>TCY216</t>
  </si>
  <si>
    <t>BPB-054-TCY203</t>
  </si>
  <si>
    <t>BPB-054-TCY204</t>
  </si>
  <si>
    <t>BPB-054-TCY209</t>
  </si>
  <si>
    <t>BPB-054-TCY216</t>
  </si>
  <si>
    <t>TDY310</t>
  </si>
  <si>
    <t>BPB-054-TDY310</t>
  </si>
  <si>
    <t>BPB-054-TDY215</t>
  </si>
  <si>
    <t>TDY215</t>
  </si>
  <si>
    <t>BPB-058-33010</t>
  </si>
  <si>
    <t>BPB-058-33117</t>
  </si>
  <si>
    <t>TCY205</t>
  </si>
  <si>
    <t>BPB-054-TCY205</t>
  </si>
  <si>
    <t>BPB-054-TDY217</t>
  </si>
  <si>
    <t>010-DTR2047</t>
  </si>
  <si>
    <t>BPB-054-DTR-2047</t>
  </si>
  <si>
    <t>TCY206</t>
  </si>
  <si>
    <t>-</t>
  </si>
  <si>
    <t>BPB-054-TCY206</t>
  </si>
  <si>
    <t>JRME-3062-01</t>
  </si>
  <si>
    <t>BPB-053-TCX211</t>
  </si>
  <si>
    <t>TCX211</t>
  </si>
  <si>
    <t>TDY217</t>
  </si>
  <si>
    <t>TDX217</t>
  </si>
  <si>
    <t>TCY208</t>
  </si>
  <si>
    <t>BPB-053-TDX217</t>
  </si>
  <si>
    <t>BPB-054-TCY208</t>
  </si>
  <si>
    <t>TCX209</t>
  </si>
  <si>
    <t>BPB-053-TCX209</t>
  </si>
  <si>
    <t>TDX208</t>
  </si>
  <si>
    <t>TCX204</t>
  </si>
  <si>
    <t>BPB-053-TCX204</t>
  </si>
  <si>
    <t>TCX205</t>
  </si>
  <si>
    <t>BPB-053-TCX205</t>
  </si>
  <si>
    <t>TCX206</t>
  </si>
  <si>
    <t>BPB-053-TCX206</t>
  </si>
  <si>
    <t>TCX208</t>
  </si>
  <si>
    <t>BPB-053-TCX208</t>
  </si>
  <si>
    <t>MID-054-JRME-2549-CUP</t>
  </si>
  <si>
    <t>DTR2549FM=JRME2549 (CUP)</t>
  </si>
  <si>
    <t>TDY216</t>
  </si>
  <si>
    <t>BPB-054-TDY216</t>
  </si>
  <si>
    <t>TDY212</t>
  </si>
  <si>
    <t>BPB-054-TDY212</t>
  </si>
  <si>
    <t xml:space="preserve">      DOC. DE REF.
        (PO#/PI#):</t>
  </si>
  <si>
    <r>
      <t xml:space="preserve">   PARTIDA/
     </t>
    </r>
    <r>
      <rPr>
        <sz val="6"/>
        <rFont val="Arial"/>
        <family val="2"/>
      </rPr>
      <t>BATCH:</t>
    </r>
  </si>
  <si>
    <t>TDY213</t>
  </si>
  <si>
    <t>BPB-054-TDY213</t>
  </si>
  <si>
    <t>TCY210</t>
  </si>
  <si>
    <t>BPB-054-TCY210</t>
  </si>
  <si>
    <t>TDY007</t>
  </si>
  <si>
    <t>CONVEX</t>
  </si>
  <si>
    <t>BPB-054-TDY007</t>
  </si>
  <si>
    <t>TDY211</t>
  </si>
  <si>
    <t>TDY218</t>
  </si>
  <si>
    <t>BPB-054-TDY218</t>
  </si>
  <si>
    <t>BPB-054-TDY211</t>
  </si>
  <si>
    <t>TDX007</t>
  </si>
  <si>
    <t>……………………</t>
  </si>
  <si>
    <t>TDX212</t>
  </si>
  <si>
    <t>TDX216</t>
  </si>
  <si>
    <t>TDX218</t>
  </si>
  <si>
    <t>Y-320-32X</t>
  </si>
  <si>
    <t>TY 8410</t>
  </si>
  <si>
    <t>BPB-054-TY8410</t>
  </si>
  <si>
    <t>TCX309</t>
  </si>
  <si>
    <t>TTX110</t>
  </si>
  <si>
    <t>BPB-054-TTX110</t>
  </si>
  <si>
    <t>TDX211</t>
  </si>
  <si>
    <t>BPB-053-TDX211</t>
  </si>
  <si>
    <t>TDY210</t>
  </si>
  <si>
    <t>………………….</t>
  </si>
  <si>
    <t>TCY309</t>
  </si>
  <si>
    <t>BPB-054-TCY309</t>
  </si>
  <si>
    <t>MID-053-JRME-2549-CONO</t>
  </si>
  <si>
    <t>TX1845</t>
  </si>
  <si>
    <t>BPB-053-TX1845</t>
  </si>
  <si>
    <t>TDY209</t>
  </si>
  <si>
    <t>……………………..</t>
  </si>
  <si>
    <t>TDX209</t>
  </si>
  <si>
    <t>TDX213</t>
  </si>
  <si>
    <t>TCY207</t>
  </si>
  <si>
    <t>BPB-054-TCY207</t>
  </si>
  <si>
    <t>PEGASUS BEARING S.A.</t>
  </si>
  <si>
    <t>REV</t>
  </si>
  <si>
    <t>REV.1</t>
  </si>
  <si>
    <t>B&amp;P-005-TCX210</t>
  </si>
  <si>
    <t>TCX210-ZANG</t>
  </si>
  <si>
    <t>B&amp;P-054-TCY207</t>
  </si>
  <si>
    <t>TCY207-DEFA</t>
  </si>
  <si>
    <t>X-30207-DEFA</t>
  </si>
  <si>
    <t>B&amp;P-053-X-30207</t>
  </si>
  <si>
    <t>TDY010-DEFA</t>
  </si>
  <si>
    <t>B&amp;P-054-TDY010</t>
  </si>
  <si>
    <t>X-32010-DEFA</t>
  </si>
  <si>
    <t>B&amp;P-053-X-32010</t>
  </si>
  <si>
    <t>TTY110-DEFA</t>
  </si>
  <si>
    <t>B&amp;P-054-TTY110</t>
  </si>
  <si>
    <t>X-33110-DEFA</t>
  </si>
  <si>
    <t>B&amp;P-053-X-33110</t>
  </si>
  <si>
    <t>TTY207-DEFA</t>
  </si>
  <si>
    <t>B&amp;P-054-TTY207</t>
  </si>
  <si>
    <t>X-33207-DEFA</t>
  </si>
  <si>
    <t>B&amp;P-053-X-33207</t>
  </si>
  <si>
    <t>TDY207-DEFA</t>
  </si>
  <si>
    <t>B&amp;P-054-TDY207</t>
  </si>
  <si>
    <t>X-32207-DEFA</t>
  </si>
  <si>
    <t>B&amp;P-053-X-32207</t>
  </si>
  <si>
    <t>Numero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</si>
</sst>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0"/>
      <name val="Arial"/>
    </font>
    <font>
      <sz val="10"/>
      <name val="Arial"/>
    </font>
    <font>
      <sz val="8"/>
      <name val="Arial"/>
    </font>
    <font>
      <sz val="7"/>
      <name val="Arial"/>
    </font>
    <font>
      <b/>
      <sz val="12"/>
      <name val="Arial"/>
      <family val="2"/>
    </font>
    <font>
      <sz val="7"/>
      <name val="Arial"/>
      <family val="2"/>
    </font>
    <font>
      <sz val="6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5"/>
      <name val="Arial"/>
      <family val="2"/>
    </font>
    <font>
      <sz val="12"/>
      <name val="Arial"/>
    </font>
    <font>
      <sz val="9"/>
      <name val="Arial"/>
      <family val="2"/>
    </font>
    <font>
      <b/>
      <sz val="11"/>
      <name val="Arial"/>
      <family val="2"/>
    </font>
    <font>
      <sz val="16"/>
      <name val="Arial"/>
    </font>
    <font>
      <sz val="14"/>
      <name val="Arial"/>
    </font>
    <font>
      <vertAlign val="subscript"/>
      <sz val="12"/>
      <name val="Arial"/>
    </font>
    <font>
      <vertAlign val="subscript"/>
      <sz val="12"/>
      <name val="Arial"/>
      <family val="2"/>
    </font>
    <font>
      <sz val="16"/>
      <name val="Arial"/>
      <family val="2"/>
    </font>
    <font>
      <b/>
      <sz val="9"/>
      <name val="Arial"/>
      <family val="2"/>
    </font>
    <font>
      <b/>
      <sz val="12"/>
      <name val="Arial"/>
    </font>
    <font>
      <b/>
      <sz val="7"/>
      <name val="Arial"/>
      <family val="2"/>
    </font>
    <font>
      <b/>
      <i/>
      <sz val="12"/>
      <name val="Arial"/>
      <family val="2"/>
    </font>
    <font>
      <i/>
      <sz val="9"/>
      <name val="Arial"/>
      <family val="2"/>
    </font>
    <font>
      <b/>
      <sz val="9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225">
    <xf numFmtId="0" fontId="0" fillId="0" borderId="0" xfId="0"/>
    <xf numFmtId="0" fontId="0" fillId="0" borderId="1" xfId="0" applyBorder="1"/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3" fillId="0" borderId="1" xfId="0" applyFont="1" applyBorder="1" applyAlignment="1">
      <alignment horizontal="center" wrapText="1"/>
    </xf>
    <xf numFmtId="0" fontId="11" fillId="0" borderId="0" xfId="0" applyFont="1" applyBorder="1" applyAlignment="1">
      <alignment vertical="top"/>
    </xf>
    <xf numFmtId="0" fontId="0" fillId="0" borderId="2" xfId="0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8" fillId="0" borderId="0" xfId="0" applyFont="1"/>
    <xf numFmtId="0" fontId="8" fillId="2" borderId="0" xfId="0" applyFont="1" applyFill="1"/>
    <xf numFmtId="0" fontId="0" fillId="0" borderId="1" xfId="0" applyFill="1" applyBorder="1" applyAlignment="1">
      <alignment horizontal="center"/>
    </xf>
    <xf numFmtId="0" fontId="0" fillId="0" borderId="4" xfId="0" applyFill="1" applyBorder="1" applyAlignment="1">
      <alignment horizontal="center" wrapText="1"/>
    </xf>
    <xf numFmtId="0" fontId="0" fillId="0" borderId="5" xfId="0" applyFill="1" applyBorder="1" applyAlignment="1">
      <alignment horizontal="center" wrapText="1"/>
    </xf>
    <xf numFmtId="0" fontId="0" fillId="0" borderId="4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 wrapText="1"/>
    </xf>
    <xf numFmtId="0" fontId="9" fillId="0" borderId="7" xfId="0" applyFont="1" applyFill="1" applyBorder="1" applyAlignment="1"/>
    <xf numFmtId="0" fontId="9" fillId="0" borderId="8" xfId="0" applyFont="1" applyFill="1" applyBorder="1" applyAlignment="1"/>
    <xf numFmtId="0" fontId="9" fillId="0" borderId="9" xfId="0" applyFont="1" applyFill="1" applyBorder="1" applyAlignment="1"/>
    <xf numFmtId="0" fontId="5" fillId="0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 applyProtection="1">
      <alignment horizontal="center"/>
      <protection locked="0"/>
    </xf>
    <xf numFmtId="0" fontId="4" fillId="0" borderId="0" xfId="0" applyFont="1"/>
    <xf numFmtId="0" fontId="4" fillId="2" borderId="10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8" xfId="0" applyBorder="1"/>
    <xf numFmtId="0" fontId="1" fillId="0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wrapText="1"/>
    </xf>
    <xf numFmtId="0" fontId="8" fillId="0" borderId="1" xfId="0" applyFont="1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/>
    </xf>
    <xf numFmtId="0" fontId="0" fillId="0" borderId="0" xfId="0" applyAlignment="1">
      <alignment horizontal="right" vertical="center" wrapText="1"/>
    </xf>
    <xf numFmtId="0" fontId="9" fillId="0" borderId="5" xfId="0" applyFont="1" applyFill="1" applyBorder="1" applyAlignment="1">
      <alignment horizontal="center"/>
    </xf>
    <xf numFmtId="0" fontId="8" fillId="2" borderId="0" xfId="0" applyFont="1" applyFill="1" applyProtection="1"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 applyProtection="1">
      <alignment horizontal="center"/>
      <protection locked="0"/>
    </xf>
    <xf numFmtId="0" fontId="8" fillId="0" borderId="0" xfId="0" applyFont="1" applyProtection="1">
      <protection locked="0"/>
    </xf>
    <xf numFmtId="0" fontId="4" fillId="2" borderId="0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3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/>
    </xf>
    <xf numFmtId="0" fontId="0" fillId="7" borderId="1" xfId="0" applyFill="1" applyBorder="1"/>
    <xf numFmtId="0" fontId="0" fillId="0" borderId="0" xfId="0" applyAlignment="1">
      <alignment horizontal="right" vertical="center"/>
    </xf>
    <xf numFmtId="0" fontId="0" fillId="0" borderId="4" xfId="0" applyFill="1" applyBorder="1" applyAlignment="1">
      <alignment horizontal="center"/>
    </xf>
    <xf numFmtId="0" fontId="9" fillId="0" borderId="11" xfId="0" applyFont="1" applyFill="1" applyBorder="1" applyAlignment="1">
      <alignment horizontal="center"/>
    </xf>
    <xf numFmtId="0" fontId="8" fillId="0" borderId="9" xfId="0" applyFont="1" applyBorder="1" applyAlignment="1" applyProtection="1">
      <alignment horizontal="center" vertical="center"/>
      <protection locked="0"/>
    </xf>
    <xf numFmtId="0" fontId="0" fillId="0" borderId="9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8" fillId="0" borderId="11" xfId="0" applyFont="1" applyBorder="1" applyAlignment="1" applyProtection="1">
      <alignment horizontal="center"/>
      <protection locked="0"/>
    </xf>
    <xf numFmtId="0" fontId="8" fillId="0" borderId="9" xfId="0" applyFont="1" applyBorder="1" applyAlignment="1" applyProtection="1">
      <alignment horizontal="center"/>
      <protection locked="0"/>
    </xf>
    <xf numFmtId="0" fontId="4" fillId="0" borderId="0" xfId="0" applyFont="1" applyBorder="1" applyAlignment="1">
      <alignment horizontal="right"/>
    </xf>
    <xf numFmtId="0" fontId="8" fillId="0" borderId="2" xfId="0" applyFont="1" applyBorder="1" applyAlignment="1">
      <alignment horizontal="center" wrapText="1"/>
    </xf>
    <xf numFmtId="0" fontId="19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2" xfId="0" applyFont="1" applyBorder="1" applyAlignment="1">
      <alignment horizontal="center" vertical="center" wrapText="1"/>
    </xf>
    <xf numFmtId="0" fontId="0" fillId="7" borderId="3" xfId="0" applyFill="1" applyBorder="1"/>
    <xf numFmtId="0" fontId="13" fillId="0" borderId="2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0" fontId="13" fillId="0" borderId="2" xfId="0" applyNumberFormat="1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left" vertical="center" wrapText="1"/>
    </xf>
    <xf numFmtId="0" fontId="0" fillId="0" borderId="2" xfId="0" applyBorder="1"/>
    <xf numFmtId="0" fontId="0" fillId="0" borderId="0" xfId="0" applyBorder="1" applyAlignment="1">
      <alignment horizontal="right" vertical="center"/>
    </xf>
    <xf numFmtId="0" fontId="13" fillId="0" borderId="3" xfId="0" applyNumberFormat="1" applyFont="1" applyBorder="1" applyAlignment="1">
      <alignment horizontal="center" vertical="center" wrapText="1"/>
    </xf>
    <xf numFmtId="0" fontId="13" fillId="0" borderId="9" xfId="0" applyNumberFormat="1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0" borderId="14" xfId="0" applyFont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24" fillId="7" borderId="15" xfId="0" applyFont="1" applyFill="1" applyBorder="1" applyAlignment="1">
      <alignment horizontal="center" vertical="center" wrapText="1"/>
    </xf>
    <xf numFmtId="0" fontId="24" fillId="7" borderId="16" xfId="0" applyFont="1" applyFill="1" applyBorder="1" applyAlignment="1">
      <alignment horizontal="center" vertical="center" wrapText="1"/>
    </xf>
    <xf numFmtId="0" fontId="12" fillId="0" borderId="18" xfId="0" applyFont="1" applyFill="1" applyBorder="1" applyAlignment="1">
      <alignment horizontal="center" vertical="center" wrapText="1"/>
    </xf>
    <xf numFmtId="0" fontId="12" fillId="0" borderId="19" xfId="0" applyFont="1" applyFill="1" applyBorder="1" applyAlignment="1">
      <alignment horizontal="center" vertical="center" wrapText="1"/>
    </xf>
    <xf numFmtId="0" fontId="12" fillId="0" borderId="21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center" wrapText="1"/>
    </xf>
    <xf numFmtId="49" fontId="15" fillId="7" borderId="22" xfId="0" applyNumberFormat="1" applyFont="1" applyFill="1" applyBorder="1" applyAlignment="1">
      <alignment horizontal="center" vertical="distributed"/>
    </xf>
    <xf numFmtId="49" fontId="15" fillId="7" borderId="23" xfId="0" applyNumberFormat="1" applyFont="1" applyFill="1" applyBorder="1" applyAlignment="1">
      <alignment horizontal="center" vertical="distributed"/>
    </xf>
    <xf numFmtId="49" fontId="15" fillId="7" borderId="24" xfId="0" applyNumberFormat="1" applyFont="1" applyFill="1" applyBorder="1" applyAlignment="1">
      <alignment horizontal="center" vertical="distributed"/>
    </xf>
    <xf numFmtId="49" fontId="15" fillId="7" borderId="20" xfId="0" applyNumberFormat="1" applyFont="1" applyFill="1" applyBorder="1" applyAlignment="1">
      <alignment horizontal="center" vertical="distributed"/>
    </xf>
    <xf numFmtId="0" fontId="24" fillId="7" borderId="25" xfId="0" applyFont="1" applyFill="1" applyBorder="1" applyAlignment="1">
      <alignment horizontal="center" vertical="center" wrapText="1"/>
    </xf>
    <xf numFmtId="0" fontId="23" fillId="7" borderId="10" xfId="0" applyFont="1" applyFill="1" applyBorder="1" applyAlignment="1">
      <alignment horizontal="center" vertical="center" wrapText="1"/>
    </xf>
    <xf numFmtId="0" fontId="23" fillId="7" borderId="12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5" fillId="0" borderId="3" xfId="0" applyFont="1" applyFill="1" applyBorder="1" applyAlignment="1">
      <alignment horizontal="center" vertical="center" wrapText="1"/>
    </xf>
    <xf numFmtId="0" fontId="5" fillId="0" borderId="9" xfId="0" applyFont="1" applyFill="1" applyBorder="1" applyAlignment="1">
      <alignment horizontal="center" vertical="center" wrapText="1"/>
    </xf>
    <xf numFmtId="0" fontId="5" fillId="0" borderId="11" xfId="0" applyFont="1" applyFill="1" applyBorder="1" applyAlignment="1">
      <alignment horizontal="center" vertical="center" wrapText="1"/>
    </xf>
    <xf numFmtId="0" fontId="13" fillId="0" borderId="3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14" fontId="13" fillId="0" borderId="10" xfId="0" applyNumberFormat="1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 shrinkToFit="1"/>
    </xf>
    <xf numFmtId="0" fontId="3" fillId="0" borderId="5" xfId="0" applyFont="1" applyBorder="1" applyAlignment="1">
      <alignment horizontal="center" vertical="center" wrapText="1" shrinkToFit="1"/>
    </xf>
    <xf numFmtId="0" fontId="3" fillId="0" borderId="5" xfId="0" applyFont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center" vertical="center" textRotation="90" wrapText="1"/>
    </xf>
    <xf numFmtId="0" fontId="5" fillId="7" borderId="5" xfId="0" applyFont="1" applyFill="1" applyBorder="1" applyAlignment="1">
      <alignment horizontal="center" vertical="center" textRotation="90" wrapText="1"/>
    </xf>
    <xf numFmtId="0" fontId="11" fillId="0" borderId="9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right"/>
    </xf>
    <xf numFmtId="0" fontId="9" fillId="0" borderId="0" xfId="0" applyFont="1" applyBorder="1" applyAlignment="1">
      <alignment horizontal="center" vertical="top" wrapText="1"/>
    </xf>
    <xf numFmtId="0" fontId="3" fillId="0" borderId="2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 shrinkToFit="1"/>
    </xf>
    <xf numFmtId="0" fontId="3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0" fontId="19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wrapText="1"/>
    </xf>
    <xf numFmtId="0" fontId="8" fillId="0" borderId="12" xfId="0" applyFont="1" applyBorder="1" applyAlignment="1">
      <alignment horizontal="center" wrapText="1"/>
    </xf>
    <xf numFmtId="0" fontId="8" fillId="0" borderId="2" xfId="0" applyFont="1" applyBorder="1" applyAlignment="1">
      <alignment horizontal="center" wrapText="1"/>
    </xf>
    <xf numFmtId="0" fontId="8" fillId="0" borderId="0" xfId="0" applyFont="1" applyBorder="1" applyAlignment="1">
      <alignment horizontal="center" wrapText="1"/>
    </xf>
    <xf numFmtId="14" fontId="13" fillId="0" borderId="3" xfId="0" applyNumberFormat="1" applyFont="1" applyBorder="1" applyAlignment="1">
      <alignment horizontal="center" vertical="center" wrapText="1"/>
    </xf>
    <xf numFmtId="14" fontId="13" fillId="0" borderId="9" xfId="0" applyNumberFormat="1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8" fillId="0" borderId="13" xfId="0" applyFont="1" applyBorder="1" applyAlignment="1">
      <alignment horizontal="center" wrapText="1"/>
    </xf>
    <xf numFmtId="0" fontId="8" fillId="0" borderId="26" xfId="0" applyFont="1" applyBorder="1" applyAlignment="1">
      <alignment horizontal="center" wrapText="1"/>
    </xf>
    <xf numFmtId="0" fontId="19" fillId="0" borderId="26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/>
    </xf>
    <xf numFmtId="0" fontId="13" fillId="0" borderId="11" xfId="0" applyNumberFormat="1" applyFont="1" applyBorder="1" applyAlignment="1">
      <alignment horizontal="center" vertical="center" wrapText="1"/>
    </xf>
    <xf numFmtId="0" fontId="11" fillId="0" borderId="11" xfId="0" applyFont="1" applyBorder="1" applyAlignment="1">
      <alignment horizontal="left" vertical="center" wrapText="1"/>
    </xf>
    <xf numFmtId="0" fontId="23" fillId="7" borderId="13" xfId="0" applyFont="1" applyFill="1" applyBorder="1" applyAlignment="1">
      <alignment horizontal="center" vertical="center" wrapText="1"/>
    </xf>
    <xf numFmtId="49" fontId="15" fillId="7" borderId="27" xfId="0" applyNumberFormat="1" applyFont="1" applyFill="1" applyBorder="1" applyAlignment="1">
      <alignment horizontal="center" vertical="distributed"/>
    </xf>
    <xf numFmtId="49" fontId="15" fillId="7" borderId="18" xfId="0" applyNumberFormat="1" applyFont="1" applyFill="1" applyBorder="1" applyAlignment="1">
      <alignment horizontal="center" vertical="distributed"/>
    </xf>
    <xf numFmtId="0" fontId="24" fillId="7" borderId="17" xfId="0" applyFont="1" applyFill="1" applyBorder="1" applyAlignment="1">
      <alignment horizontal="center" vertical="center" wrapText="1"/>
    </xf>
    <xf numFmtId="0" fontId="12" fillId="0" borderId="20" xfId="0" applyFont="1" applyFill="1" applyBorder="1" applyAlignment="1">
      <alignment horizontal="center" vertical="center" wrapText="1"/>
    </xf>
    <xf numFmtId="0" fontId="15" fillId="7" borderId="10" xfId="0" applyFont="1" applyFill="1" applyBorder="1" applyAlignment="1">
      <alignment horizontal="center"/>
    </xf>
    <xf numFmtId="0" fontId="15" fillId="7" borderId="12" xfId="0" applyFont="1" applyFill="1" applyBorder="1" applyAlignment="1">
      <alignment horizontal="center"/>
    </xf>
    <xf numFmtId="0" fontId="15" fillId="7" borderId="13" xfId="0" applyFont="1" applyFill="1" applyBorder="1" applyAlignment="1">
      <alignment horizontal="center"/>
    </xf>
    <xf numFmtId="0" fontId="11" fillId="0" borderId="9" xfId="0" applyFont="1" applyBorder="1" applyAlignment="1">
      <alignment horizontal="left" vertical="center"/>
    </xf>
    <xf numFmtId="0" fontId="11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4" xfId="0" applyBorder="1" applyAlignment="1">
      <alignment horizontal="center"/>
    </xf>
    <xf numFmtId="0" fontId="14" fillId="0" borderId="10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14" fillId="0" borderId="2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7" borderId="3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2" fmlaLink="Auxiliar!$B$1" fmlaRange="Auxiliar!$B$3:$B$400" sel="111" val="107"/>
</file>

<file path=xl/ctrlProps/ctrlProp2.xml><?xml version="1.0" encoding="utf-8"?>
<formControlPr xmlns="http://schemas.microsoft.com/office/spreadsheetml/2009/9/main" objectType="Drop" dropStyle="combo" dx="22" fmlaLink="Auxiliar!$B$1" fmlaRange="Auxiliar!$B$3:$B$400" sel="111" val="1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13</xdr:row>
      <xdr:rowOff>76200</xdr:rowOff>
    </xdr:from>
    <xdr:to>
      <xdr:col>0</xdr:col>
      <xdr:colOff>217113</xdr:colOff>
      <xdr:row>14</xdr:row>
      <xdr:rowOff>78365</xdr:rowOff>
    </xdr:to>
    <xdr:sp macro="" textlink="">
      <xdr:nvSpPr>
        <xdr:cNvPr id="1043" name="Oval 19"/>
        <xdr:cNvSpPr>
          <a:spLocks noChangeArrowheads="1"/>
        </xdr:cNvSpPr>
      </xdr:nvSpPr>
      <xdr:spPr bwMode="auto">
        <a:xfrm>
          <a:off x="47625" y="2743200"/>
          <a:ext cx="171450" cy="161925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1</a:t>
          </a:r>
        </a:p>
      </xdr:txBody>
    </xdr:sp>
    <xdr:clientData/>
  </xdr:twoCellAnchor>
  <xdr:twoCellAnchor>
    <xdr:from>
      <xdr:col>0</xdr:col>
      <xdr:colOff>38100</xdr:colOff>
      <xdr:row>15</xdr:row>
      <xdr:rowOff>57150</xdr:rowOff>
    </xdr:from>
    <xdr:to>
      <xdr:col>0</xdr:col>
      <xdr:colOff>209550</xdr:colOff>
      <xdr:row>16</xdr:row>
      <xdr:rowOff>66675</xdr:rowOff>
    </xdr:to>
    <xdr:sp macro="" textlink="">
      <xdr:nvSpPr>
        <xdr:cNvPr id="1046" name="Oval 22"/>
        <xdr:cNvSpPr>
          <a:spLocks noChangeArrowheads="1"/>
        </xdr:cNvSpPr>
      </xdr:nvSpPr>
      <xdr:spPr bwMode="auto">
        <a:xfrm>
          <a:off x="38100" y="3028950"/>
          <a:ext cx="171450" cy="161925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4</a:t>
          </a:r>
        </a:p>
      </xdr:txBody>
    </xdr:sp>
    <xdr:clientData/>
  </xdr:twoCellAnchor>
  <xdr:twoCellAnchor>
    <xdr:from>
      <xdr:col>0</xdr:col>
      <xdr:colOff>38100</xdr:colOff>
      <xdr:row>17</xdr:row>
      <xdr:rowOff>47625</xdr:rowOff>
    </xdr:from>
    <xdr:to>
      <xdr:col>0</xdr:col>
      <xdr:colOff>209550</xdr:colOff>
      <xdr:row>18</xdr:row>
      <xdr:rowOff>40737</xdr:rowOff>
    </xdr:to>
    <xdr:sp macro="" textlink="">
      <xdr:nvSpPr>
        <xdr:cNvPr id="1050" name="Oval 26"/>
        <xdr:cNvSpPr>
          <a:spLocks noChangeArrowheads="1"/>
        </xdr:cNvSpPr>
      </xdr:nvSpPr>
      <xdr:spPr bwMode="auto">
        <a:xfrm>
          <a:off x="38100" y="3333750"/>
          <a:ext cx="171450" cy="142875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8</a:t>
          </a:r>
        </a:p>
      </xdr:txBody>
    </xdr:sp>
    <xdr:clientData/>
  </xdr:twoCellAnchor>
  <xdr:twoCellAnchor>
    <xdr:from>
      <xdr:col>0</xdr:col>
      <xdr:colOff>38100</xdr:colOff>
      <xdr:row>19</xdr:row>
      <xdr:rowOff>0</xdr:rowOff>
    </xdr:from>
    <xdr:to>
      <xdr:col>0</xdr:col>
      <xdr:colOff>198312</xdr:colOff>
      <xdr:row>19</xdr:row>
      <xdr:rowOff>0</xdr:rowOff>
    </xdr:to>
    <xdr:sp macro="" textlink="">
      <xdr:nvSpPr>
        <xdr:cNvPr id="1051" name="Oval 27"/>
        <xdr:cNvSpPr>
          <a:spLocks noChangeArrowheads="1"/>
        </xdr:cNvSpPr>
      </xdr:nvSpPr>
      <xdr:spPr bwMode="auto">
        <a:xfrm>
          <a:off x="38100" y="3657600"/>
          <a:ext cx="161925" cy="152400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9</a:t>
          </a:r>
        </a:p>
      </xdr:txBody>
    </xdr:sp>
    <xdr:clientData/>
  </xdr:twoCellAnchor>
  <xdr:twoCellAnchor>
    <xdr:from>
      <xdr:col>0</xdr:col>
      <xdr:colOff>38100</xdr:colOff>
      <xdr:row>19</xdr:row>
      <xdr:rowOff>0</xdr:rowOff>
    </xdr:from>
    <xdr:to>
      <xdr:col>0</xdr:col>
      <xdr:colOff>209550</xdr:colOff>
      <xdr:row>19</xdr:row>
      <xdr:rowOff>0</xdr:rowOff>
    </xdr:to>
    <xdr:sp macro="" textlink="">
      <xdr:nvSpPr>
        <xdr:cNvPr id="1055" name="Oval 31"/>
        <xdr:cNvSpPr>
          <a:spLocks noChangeArrowheads="1"/>
        </xdr:cNvSpPr>
      </xdr:nvSpPr>
      <xdr:spPr bwMode="auto">
        <a:xfrm>
          <a:off x="38100" y="3990975"/>
          <a:ext cx="171450" cy="161925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12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6</xdr:row>
          <xdr:rowOff>47625</xdr:rowOff>
        </xdr:from>
        <xdr:to>
          <xdr:col>12</xdr:col>
          <xdr:colOff>352425</xdr:colOff>
          <xdr:row>6</xdr:row>
          <xdr:rowOff>247650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0</xdr:col>
      <xdr:colOff>95250</xdr:colOff>
      <xdr:row>0</xdr:row>
      <xdr:rowOff>85725</xdr:rowOff>
    </xdr:from>
    <xdr:to>
      <xdr:col>2</xdr:col>
      <xdr:colOff>219075</xdr:colOff>
      <xdr:row>2</xdr:row>
      <xdr:rowOff>57150</xdr:rowOff>
    </xdr:to>
    <xdr:pic>
      <xdr:nvPicPr>
        <xdr:cNvPr id="1280" name="4 Imagen" descr="logo B&amp;P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85725"/>
          <a:ext cx="124777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47625</xdr:colOff>
      <xdr:row>13</xdr:row>
      <xdr:rowOff>76200</xdr:rowOff>
    </xdr:from>
    <xdr:to>
      <xdr:col>16</xdr:col>
      <xdr:colOff>217113</xdr:colOff>
      <xdr:row>14</xdr:row>
      <xdr:rowOff>78365</xdr:rowOff>
    </xdr:to>
    <xdr:sp macro="" textlink="">
      <xdr:nvSpPr>
        <xdr:cNvPr id="9" name="Oval 19"/>
        <xdr:cNvSpPr>
          <a:spLocks noChangeArrowheads="1"/>
        </xdr:cNvSpPr>
      </xdr:nvSpPr>
      <xdr:spPr bwMode="auto">
        <a:xfrm>
          <a:off x="47625" y="2727325"/>
          <a:ext cx="169488" cy="160915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1</a:t>
          </a:r>
        </a:p>
      </xdr:txBody>
    </xdr:sp>
    <xdr:clientData/>
  </xdr:twoCellAnchor>
  <xdr:twoCellAnchor>
    <xdr:from>
      <xdr:col>16</xdr:col>
      <xdr:colOff>38100</xdr:colOff>
      <xdr:row>15</xdr:row>
      <xdr:rowOff>57150</xdr:rowOff>
    </xdr:from>
    <xdr:to>
      <xdr:col>16</xdr:col>
      <xdr:colOff>209550</xdr:colOff>
      <xdr:row>16</xdr:row>
      <xdr:rowOff>66675</xdr:rowOff>
    </xdr:to>
    <xdr:sp macro="" textlink="">
      <xdr:nvSpPr>
        <xdr:cNvPr id="10" name="Oval 22"/>
        <xdr:cNvSpPr>
          <a:spLocks noChangeArrowheads="1"/>
        </xdr:cNvSpPr>
      </xdr:nvSpPr>
      <xdr:spPr bwMode="auto">
        <a:xfrm>
          <a:off x="38100" y="3025775"/>
          <a:ext cx="171450" cy="168275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4</a:t>
          </a:r>
        </a:p>
      </xdr:txBody>
    </xdr:sp>
    <xdr:clientData/>
  </xdr:twoCellAnchor>
  <xdr:twoCellAnchor>
    <xdr:from>
      <xdr:col>16</xdr:col>
      <xdr:colOff>38100</xdr:colOff>
      <xdr:row>17</xdr:row>
      <xdr:rowOff>47625</xdr:rowOff>
    </xdr:from>
    <xdr:to>
      <xdr:col>16</xdr:col>
      <xdr:colOff>209550</xdr:colOff>
      <xdr:row>18</xdr:row>
      <xdr:rowOff>40737</xdr:rowOff>
    </xdr:to>
    <xdr:sp macro="" textlink="">
      <xdr:nvSpPr>
        <xdr:cNvPr id="11" name="Oval 26"/>
        <xdr:cNvSpPr>
          <a:spLocks noChangeArrowheads="1"/>
        </xdr:cNvSpPr>
      </xdr:nvSpPr>
      <xdr:spPr bwMode="auto">
        <a:xfrm>
          <a:off x="38100" y="3333750"/>
          <a:ext cx="171450" cy="151862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8</a:t>
          </a:r>
        </a:p>
      </xdr:txBody>
    </xdr:sp>
    <xdr:clientData/>
  </xdr:twoCellAnchor>
  <xdr:twoCellAnchor>
    <xdr:from>
      <xdr:col>16</xdr:col>
      <xdr:colOff>38100</xdr:colOff>
      <xdr:row>19</xdr:row>
      <xdr:rowOff>0</xdr:rowOff>
    </xdr:from>
    <xdr:to>
      <xdr:col>16</xdr:col>
      <xdr:colOff>198312</xdr:colOff>
      <xdr:row>19</xdr:row>
      <xdr:rowOff>0</xdr:rowOff>
    </xdr:to>
    <xdr:sp macro="" textlink="">
      <xdr:nvSpPr>
        <xdr:cNvPr id="12" name="Oval 27"/>
        <xdr:cNvSpPr>
          <a:spLocks noChangeArrowheads="1"/>
        </xdr:cNvSpPr>
      </xdr:nvSpPr>
      <xdr:spPr bwMode="auto">
        <a:xfrm>
          <a:off x="38100" y="3619500"/>
          <a:ext cx="160212" cy="0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9</a:t>
          </a:r>
        </a:p>
      </xdr:txBody>
    </xdr:sp>
    <xdr:clientData/>
  </xdr:twoCellAnchor>
  <xdr:twoCellAnchor>
    <xdr:from>
      <xdr:col>16</xdr:col>
      <xdr:colOff>38100</xdr:colOff>
      <xdr:row>19</xdr:row>
      <xdr:rowOff>0</xdr:rowOff>
    </xdr:from>
    <xdr:to>
      <xdr:col>16</xdr:col>
      <xdr:colOff>209550</xdr:colOff>
      <xdr:row>19</xdr:row>
      <xdr:rowOff>0</xdr:rowOff>
    </xdr:to>
    <xdr:sp macro="" textlink="">
      <xdr:nvSpPr>
        <xdr:cNvPr id="13" name="Oval 31"/>
        <xdr:cNvSpPr>
          <a:spLocks noChangeArrowheads="1"/>
        </xdr:cNvSpPr>
      </xdr:nvSpPr>
      <xdr:spPr bwMode="auto">
        <a:xfrm>
          <a:off x="38100" y="3619500"/>
          <a:ext cx="171450" cy="0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12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57150</xdr:colOff>
          <xdr:row>6</xdr:row>
          <xdr:rowOff>47625</xdr:rowOff>
        </xdr:from>
        <xdr:to>
          <xdr:col>30</xdr:col>
          <xdr:colOff>152400</xdr:colOff>
          <xdr:row>6</xdr:row>
          <xdr:rowOff>247650</xdr:rowOff>
        </xdr:to>
        <xdr:sp macro="" textlink="">
          <xdr:nvSpPr>
            <xdr:cNvPr id="1232" name="Drop Down 208" hidden="1">
              <a:extLst>
                <a:ext uri="{63B3BB69-23CF-44E3-9099-C40C66FF867C}">
                  <a14:compatExt spid="_x0000_s1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16</xdr:col>
      <xdr:colOff>95250</xdr:colOff>
      <xdr:row>0</xdr:row>
      <xdr:rowOff>85725</xdr:rowOff>
    </xdr:from>
    <xdr:to>
      <xdr:col>18</xdr:col>
      <xdr:colOff>142875</xdr:colOff>
      <xdr:row>2</xdr:row>
      <xdr:rowOff>47625</xdr:rowOff>
    </xdr:to>
    <xdr:pic>
      <xdr:nvPicPr>
        <xdr:cNvPr id="1286" name="4 Imagen" descr="logo B&amp;P.JPG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81900" y="85725"/>
          <a:ext cx="12287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38100</xdr:colOff>
      <xdr:row>6</xdr:row>
      <xdr:rowOff>0</xdr:rowOff>
    </xdr:from>
    <xdr:to>
      <xdr:col>15</xdr:col>
      <xdr:colOff>723900</xdr:colOff>
      <xdr:row>12</xdr:row>
      <xdr:rowOff>38100</xdr:rowOff>
    </xdr:to>
    <xdr:pic>
      <xdr:nvPicPr>
        <xdr:cNvPr id="1287" name="Picture 3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971550"/>
          <a:ext cx="685800" cy="155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31</xdr:col>
      <xdr:colOff>47625</xdr:colOff>
      <xdr:row>6</xdr:row>
      <xdr:rowOff>180975</xdr:rowOff>
    </xdr:from>
    <xdr:to>
      <xdr:col>31</xdr:col>
      <xdr:colOff>733425</xdr:colOff>
      <xdr:row>13</xdr:row>
      <xdr:rowOff>47625</xdr:rowOff>
    </xdr:to>
    <xdr:pic>
      <xdr:nvPicPr>
        <xdr:cNvPr id="1288" name="Picture 3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7950" y="1152525"/>
          <a:ext cx="685800" cy="156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</xdr:row>
      <xdr:rowOff>9525</xdr:rowOff>
    </xdr:from>
    <xdr:to>
      <xdr:col>2</xdr:col>
      <xdr:colOff>342900</xdr:colOff>
      <xdr:row>4</xdr:row>
      <xdr:rowOff>142875</xdr:rowOff>
    </xdr:to>
    <xdr:pic>
      <xdr:nvPicPr>
        <xdr:cNvPr id="2081" name="Picture 1" descr="SOLID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333375"/>
          <a:ext cx="16478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E68"/>
  <sheetViews>
    <sheetView showGridLines="0" zoomScale="118" zoomScaleNormal="118" workbookViewId="0">
      <selection activeCell="D20" sqref="D20"/>
    </sheetView>
  </sheetViews>
  <sheetFormatPr baseColWidth="10" defaultRowHeight="12.75" x14ac:dyDescent="0.2"/>
  <cols>
    <col min="1" max="2" width="8.42578125" customWidth="1"/>
    <col min="3" max="3" width="9.7109375" customWidth="1"/>
    <col min="4" max="10" width="5.7109375" customWidth="1"/>
    <col min="11" max="11" width="13.7109375" customWidth="1"/>
    <col min="12" max="13" width="5.7109375" customWidth="1"/>
    <col min="14" max="15" width="4.140625" customWidth="1"/>
    <col min="16" max="16" width="12.28515625" customWidth="1"/>
    <col min="17" max="17" width="9.7109375" customWidth="1"/>
    <col min="18" max="18" width="8" customWidth="1"/>
    <col min="19" max="19" width="8.7109375" customWidth="1"/>
    <col min="20" max="24" width="5.7109375" customWidth="1"/>
    <col min="25" max="25" width="8.28515625" customWidth="1"/>
    <col min="26" max="26" width="6.140625" customWidth="1"/>
    <col min="27" max="27" width="6.85546875" customWidth="1"/>
    <col min="28" max="28" width="5" customWidth="1"/>
    <col min="29" max="29" width="4.140625" customWidth="1"/>
    <col min="30" max="30" width="6.42578125" customWidth="1"/>
    <col min="31" max="31" width="6.28515625" customWidth="1"/>
  </cols>
  <sheetData>
    <row r="1" spans="1:31" ht="12.75" customHeight="1" x14ac:dyDescent="0.2">
      <c r="A1" s="143" t="s">
        <v>13</v>
      </c>
      <c r="B1" s="144"/>
      <c r="C1" s="145"/>
      <c r="D1" s="167" t="s">
        <v>95</v>
      </c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72"/>
      <c r="Q1" s="143" t="s">
        <v>13</v>
      </c>
      <c r="R1" s="144"/>
      <c r="S1" s="145"/>
      <c r="T1" s="167" t="s">
        <v>95</v>
      </c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84"/>
    </row>
    <row r="2" spans="1:31" ht="12.75" customHeight="1" x14ac:dyDescent="0.2">
      <c r="A2" s="146"/>
      <c r="B2" s="147"/>
      <c r="C2" s="148"/>
      <c r="D2" s="169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72"/>
      <c r="Q2" s="146"/>
      <c r="R2" s="147"/>
      <c r="S2" s="148"/>
      <c r="T2" s="169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85"/>
    </row>
    <row r="3" spans="1:31" ht="12.75" customHeight="1" x14ac:dyDescent="0.2">
      <c r="A3" s="146"/>
      <c r="B3" s="147"/>
      <c r="C3" s="148"/>
      <c r="D3" s="163" t="s">
        <v>99</v>
      </c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4"/>
      <c r="P3" s="73"/>
      <c r="Q3" s="146"/>
      <c r="R3" s="147"/>
      <c r="S3" s="148"/>
      <c r="T3" s="163" t="s">
        <v>99</v>
      </c>
      <c r="U3" s="164"/>
      <c r="V3" s="164"/>
      <c r="W3" s="164"/>
      <c r="X3" s="164"/>
      <c r="Y3" s="164"/>
      <c r="Z3" s="164"/>
      <c r="AA3" s="164"/>
      <c r="AB3" s="164"/>
      <c r="AC3" s="164"/>
      <c r="AD3" s="164"/>
      <c r="AE3" s="186"/>
    </row>
    <row r="4" spans="1:31" ht="12.75" customHeight="1" x14ac:dyDescent="0.2">
      <c r="A4" s="146"/>
      <c r="B4" s="147"/>
      <c r="C4" s="148"/>
      <c r="D4" s="165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73"/>
      <c r="Q4" s="146"/>
      <c r="R4" s="147"/>
      <c r="S4" s="148"/>
      <c r="T4" s="165"/>
      <c r="U4" s="166"/>
      <c r="V4" s="166"/>
      <c r="W4" s="166"/>
      <c r="X4" s="166"/>
      <c r="Y4" s="166"/>
      <c r="Z4" s="166"/>
      <c r="AA4" s="166"/>
      <c r="AB4" s="166"/>
      <c r="AC4" s="166"/>
      <c r="AD4" s="166"/>
      <c r="AE4" s="187"/>
    </row>
    <row r="5" spans="1:31" ht="12.75" customHeight="1" x14ac:dyDescent="0.2">
      <c r="A5" s="146"/>
      <c r="B5" s="147"/>
      <c r="C5" s="148"/>
      <c r="D5" s="143" t="s">
        <v>96</v>
      </c>
      <c r="E5" s="144"/>
      <c r="F5" s="144"/>
      <c r="G5" s="145"/>
      <c r="H5" s="125">
        <v>42676</v>
      </c>
      <c r="I5" s="87"/>
      <c r="J5" s="87" t="s">
        <v>423</v>
      </c>
      <c r="K5" s="88"/>
      <c r="L5" s="123" t="s">
        <v>89</v>
      </c>
      <c r="M5" s="87"/>
      <c r="N5" s="87"/>
      <c r="O5" s="87"/>
      <c r="P5" s="78"/>
      <c r="Q5" s="146"/>
      <c r="R5" s="147"/>
      <c r="S5" s="148"/>
      <c r="T5" s="143" t="s">
        <v>96</v>
      </c>
      <c r="U5" s="144"/>
      <c r="V5" s="144"/>
      <c r="W5" s="145"/>
      <c r="X5" s="125">
        <v>42676</v>
      </c>
      <c r="Y5" s="87"/>
      <c r="Z5" s="87" t="s">
        <v>423</v>
      </c>
      <c r="AA5" s="88"/>
      <c r="AB5" s="123" t="s">
        <v>89</v>
      </c>
      <c r="AC5" s="87"/>
      <c r="AD5" s="87"/>
      <c r="AE5" s="88"/>
    </row>
    <row r="6" spans="1:31" ht="12.75" customHeight="1" x14ac:dyDescent="0.2">
      <c r="A6" s="149"/>
      <c r="B6" s="150"/>
      <c r="C6" s="151"/>
      <c r="D6" s="149"/>
      <c r="E6" s="150"/>
      <c r="F6" s="150"/>
      <c r="G6" s="151"/>
      <c r="H6" s="124"/>
      <c r="I6" s="89"/>
      <c r="J6" s="89"/>
      <c r="K6" s="90"/>
      <c r="L6" s="124"/>
      <c r="M6" s="89"/>
      <c r="N6" s="89"/>
      <c r="O6" s="89"/>
      <c r="P6" s="78"/>
      <c r="Q6" s="149"/>
      <c r="R6" s="150"/>
      <c r="S6" s="151"/>
      <c r="T6" s="149"/>
      <c r="U6" s="150"/>
      <c r="V6" s="150"/>
      <c r="W6" s="151"/>
      <c r="X6" s="124"/>
      <c r="Y6" s="89"/>
      <c r="Z6" s="89"/>
      <c r="AA6" s="90"/>
      <c r="AB6" s="124"/>
      <c r="AC6" s="89"/>
      <c r="AD6" s="89"/>
      <c r="AE6" s="90"/>
    </row>
    <row r="7" spans="1:31" ht="24.95" customHeight="1" x14ac:dyDescent="0.2">
      <c r="A7" s="139" t="s">
        <v>34</v>
      </c>
      <c r="B7" s="122"/>
      <c r="C7" s="173"/>
      <c r="D7" s="173"/>
      <c r="E7" s="173"/>
      <c r="F7" s="173"/>
      <c r="G7" s="174"/>
      <c r="H7" s="139" t="s">
        <v>83</v>
      </c>
      <c r="I7" s="122"/>
      <c r="J7" s="122"/>
      <c r="K7" s="175"/>
      <c r="L7" s="175"/>
      <c r="M7" s="175"/>
      <c r="N7" s="175"/>
      <c r="O7" s="175"/>
      <c r="P7" s="79"/>
      <c r="Q7" s="139" t="s">
        <v>34</v>
      </c>
      <c r="R7" s="122"/>
      <c r="S7" s="173"/>
      <c r="T7" s="173"/>
      <c r="U7" s="173"/>
      <c r="V7" s="173"/>
      <c r="W7" s="174"/>
      <c r="X7" s="139" t="s">
        <v>83</v>
      </c>
      <c r="Y7" s="122"/>
      <c r="Z7" s="122"/>
      <c r="AA7" s="175"/>
      <c r="AB7" s="175"/>
      <c r="AC7" s="175"/>
      <c r="AD7" s="175"/>
      <c r="AE7" s="188"/>
    </row>
    <row r="8" spans="1:31" ht="24.95" customHeight="1" x14ac:dyDescent="0.2">
      <c r="A8" s="139" t="s">
        <v>35</v>
      </c>
      <c r="B8" s="122"/>
      <c r="C8" s="138" t="s">
        <v>421</v>
      </c>
      <c r="D8" s="138"/>
      <c r="E8" s="138"/>
      <c r="F8" s="138"/>
      <c r="G8" s="142"/>
      <c r="H8" s="171">
        <f>VLOOKUP(Auxiliar!B1,Auxiliar!A3:AS258,29,FALSE)</f>
        <v>41193</v>
      </c>
      <c r="I8" s="172"/>
      <c r="J8" s="172"/>
      <c r="K8" s="63" t="s">
        <v>422</v>
      </c>
      <c r="L8" s="85">
        <f>VLOOKUP(Auxiliar!B1,Auxiliar!A3:AW258,30,FALSE)</f>
        <v>5</v>
      </c>
      <c r="M8" s="86"/>
      <c r="N8" s="86"/>
      <c r="O8" s="86"/>
      <c r="P8" s="80"/>
      <c r="Q8" s="139" t="s">
        <v>35</v>
      </c>
      <c r="R8" s="122"/>
      <c r="S8" s="138" t="s">
        <v>421</v>
      </c>
      <c r="T8" s="138"/>
      <c r="U8" s="138"/>
      <c r="V8" s="138"/>
      <c r="W8" s="142"/>
      <c r="X8" s="171">
        <f>VLOOKUP(Auxiliar!B1,Auxiliar!A3:AS258,29,FALSE)</f>
        <v>41193</v>
      </c>
      <c r="Y8" s="172"/>
      <c r="Z8" s="172"/>
      <c r="AA8" s="84" t="s">
        <v>422</v>
      </c>
      <c r="AB8" s="85">
        <f>VLOOKUP(Auxiliar!B1,Auxiliar!A3:AW258,30,FALSE)</f>
        <v>5</v>
      </c>
      <c r="AC8" s="86"/>
      <c r="AD8" s="86"/>
      <c r="AE8" s="189"/>
    </row>
    <row r="9" spans="1:31" ht="24.95" customHeight="1" x14ac:dyDescent="0.2">
      <c r="A9" s="121" t="s">
        <v>45</v>
      </c>
      <c r="B9" s="122"/>
      <c r="C9" s="140" t="s">
        <v>421</v>
      </c>
      <c r="D9" s="140"/>
      <c r="E9" s="140"/>
      <c r="F9" s="140"/>
      <c r="G9" s="141"/>
      <c r="H9" s="121" t="s">
        <v>36</v>
      </c>
      <c r="I9" s="122"/>
      <c r="J9" s="122"/>
      <c r="K9" s="138" t="s">
        <v>213</v>
      </c>
      <c r="L9" s="138"/>
      <c r="M9" s="138"/>
      <c r="N9" s="138"/>
      <c r="O9" s="138"/>
      <c r="P9" s="81"/>
      <c r="Q9" s="121" t="s">
        <v>45</v>
      </c>
      <c r="R9" s="122"/>
      <c r="S9" s="140" t="s">
        <v>421</v>
      </c>
      <c r="T9" s="140"/>
      <c r="U9" s="140"/>
      <c r="V9" s="140"/>
      <c r="W9" s="141"/>
      <c r="X9" s="121" t="s">
        <v>36</v>
      </c>
      <c r="Y9" s="122"/>
      <c r="Z9" s="122"/>
      <c r="AA9" s="138" t="s">
        <v>213</v>
      </c>
      <c r="AB9" s="138"/>
      <c r="AC9" s="138"/>
      <c r="AD9" s="138"/>
      <c r="AE9" s="142"/>
    </row>
    <row r="10" spans="1:31" ht="24.95" customHeight="1" x14ac:dyDescent="0.2">
      <c r="A10" s="180" t="s">
        <v>382</v>
      </c>
      <c r="B10" s="181"/>
      <c r="C10" s="181"/>
      <c r="D10" s="181"/>
      <c r="E10" s="181"/>
      <c r="F10" s="181"/>
      <c r="G10" s="182"/>
      <c r="H10" s="180" t="s">
        <v>383</v>
      </c>
      <c r="I10" s="183"/>
      <c r="J10" s="183"/>
      <c r="K10" s="183"/>
      <c r="L10" s="183"/>
      <c r="M10" s="183"/>
      <c r="N10" s="183"/>
      <c r="O10" s="183"/>
      <c r="P10" s="82"/>
      <c r="Q10" s="180" t="s">
        <v>382</v>
      </c>
      <c r="R10" s="181"/>
      <c r="S10" s="181"/>
      <c r="T10" s="181"/>
      <c r="U10" s="181"/>
      <c r="V10" s="181"/>
      <c r="W10" s="182"/>
      <c r="X10" s="180" t="s">
        <v>383</v>
      </c>
      <c r="Y10" s="183"/>
      <c r="Z10" s="183"/>
      <c r="AA10" s="183"/>
      <c r="AB10" s="183"/>
      <c r="AC10" s="183"/>
      <c r="AD10" s="183"/>
      <c r="AE10" s="190"/>
    </row>
    <row r="11" spans="1:31" ht="10.5" customHeight="1" x14ac:dyDescent="0.2">
      <c r="A11" s="162" t="s">
        <v>0</v>
      </c>
      <c r="B11" s="132" t="s">
        <v>17</v>
      </c>
      <c r="C11" s="132" t="s">
        <v>68</v>
      </c>
      <c r="D11" s="155" t="s">
        <v>15</v>
      </c>
      <c r="E11" s="156"/>
      <c r="F11" s="156"/>
      <c r="G11" s="156"/>
      <c r="H11" s="156"/>
      <c r="I11" s="156"/>
      <c r="J11" s="156"/>
      <c r="K11" s="156"/>
      <c r="L11" s="156"/>
      <c r="M11" s="157"/>
      <c r="N11" s="128" t="s">
        <v>10</v>
      </c>
      <c r="O11" s="130" t="s">
        <v>11</v>
      </c>
      <c r="P11" s="76"/>
      <c r="Q11" s="162" t="s">
        <v>0</v>
      </c>
      <c r="R11" s="132" t="s">
        <v>17</v>
      </c>
      <c r="S11" s="132" t="s">
        <v>68</v>
      </c>
      <c r="T11" s="155" t="s">
        <v>15</v>
      </c>
      <c r="U11" s="156"/>
      <c r="V11" s="156"/>
      <c r="W11" s="156"/>
      <c r="X11" s="156"/>
      <c r="Y11" s="156"/>
      <c r="Z11" s="156"/>
      <c r="AA11" s="156"/>
      <c r="AB11" s="156"/>
      <c r="AC11" s="157"/>
      <c r="AD11" s="128" t="s">
        <v>10</v>
      </c>
      <c r="AE11" s="128" t="s">
        <v>11</v>
      </c>
    </row>
    <row r="12" spans="1:31" ht="9.75" customHeight="1" x14ac:dyDescent="0.2">
      <c r="A12" s="162"/>
      <c r="B12" s="133"/>
      <c r="C12" s="133"/>
      <c r="D12" s="158"/>
      <c r="E12" s="159"/>
      <c r="F12" s="159"/>
      <c r="G12" s="159"/>
      <c r="H12" s="159"/>
      <c r="I12" s="159"/>
      <c r="J12" s="159"/>
      <c r="K12" s="159"/>
      <c r="L12" s="159"/>
      <c r="M12" s="160"/>
      <c r="N12" s="134"/>
      <c r="O12" s="154"/>
      <c r="P12" s="76"/>
      <c r="Q12" s="162"/>
      <c r="R12" s="133"/>
      <c r="S12" s="133"/>
      <c r="T12" s="158"/>
      <c r="U12" s="159"/>
      <c r="V12" s="159"/>
      <c r="W12" s="159"/>
      <c r="X12" s="159"/>
      <c r="Y12" s="159"/>
      <c r="Z12" s="159"/>
      <c r="AA12" s="159"/>
      <c r="AB12" s="159"/>
      <c r="AC12" s="160"/>
      <c r="AD12" s="134"/>
      <c r="AE12" s="134"/>
    </row>
    <row r="13" spans="1:31" ht="14.25" customHeight="1" x14ac:dyDescent="0.2">
      <c r="A13" s="162"/>
      <c r="B13" s="161"/>
      <c r="C13" s="133"/>
      <c r="D13" s="2" t="s">
        <v>1</v>
      </c>
      <c r="E13" s="2" t="s">
        <v>2</v>
      </c>
      <c r="F13" s="2" t="s">
        <v>3</v>
      </c>
      <c r="G13" s="2" t="s">
        <v>4</v>
      </c>
      <c r="H13" s="2" t="s">
        <v>5</v>
      </c>
      <c r="I13" s="2" t="s">
        <v>6</v>
      </c>
      <c r="J13" s="2" t="s">
        <v>7</v>
      </c>
      <c r="K13" s="2" t="s">
        <v>8</v>
      </c>
      <c r="L13" s="2" t="s">
        <v>14</v>
      </c>
      <c r="M13" s="2" t="s">
        <v>9</v>
      </c>
      <c r="N13" s="129"/>
      <c r="O13" s="131"/>
      <c r="P13" s="76"/>
      <c r="Q13" s="162"/>
      <c r="R13" s="161"/>
      <c r="S13" s="133"/>
      <c r="T13" s="2" t="s">
        <v>1</v>
      </c>
      <c r="U13" s="2" t="s">
        <v>2</v>
      </c>
      <c r="V13" s="2" t="s">
        <v>3</v>
      </c>
      <c r="W13" s="2" t="s">
        <v>4</v>
      </c>
      <c r="X13" s="2" t="s">
        <v>5</v>
      </c>
      <c r="Y13" s="2" t="s">
        <v>6</v>
      </c>
      <c r="Z13" s="2" t="s">
        <v>7</v>
      </c>
      <c r="AA13" s="2" t="s">
        <v>8</v>
      </c>
      <c r="AB13" s="2" t="s">
        <v>14</v>
      </c>
      <c r="AC13" s="2" t="s">
        <v>9</v>
      </c>
      <c r="AD13" s="129"/>
      <c r="AE13" s="129"/>
    </row>
    <row r="14" spans="1:31" ht="12" customHeight="1" x14ac:dyDescent="0.2">
      <c r="A14" s="128" t="s">
        <v>12</v>
      </c>
      <c r="B14" s="107" t="str">
        <f>VLOOKUP(Auxiliar!B1,Auxiliar!A3:AS258,3,FALSE)</f>
        <v>NO</v>
      </c>
      <c r="C14" s="16" t="str">
        <f>VLOOKUP(Auxiliar!B1,Auxiliar!A3:AS258,4,FALSE)</f>
        <v>NO</v>
      </c>
      <c r="D14" s="176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30"/>
      <c r="P14" s="76"/>
      <c r="Q14" s="128" t="s">
        <v>12</v>
      </c>
      <c r="R14" s="107" t="str">
        <f>VLOOKUP(Auxiliar!B1,Auxiliar!A3:AS258,3,FALSE)</f>
        <v>NO</v>
      </c>
      <c r="S14" s="16" t="str">
        <f>VLOOKUP(Auxiliar!B1,Auxiliar!A3:AS258,4,FALSE)</f>
        <v>NO</v>
      </c>
      <c r="T14" s="176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</row>
    <row r="15" spans="1:31" ht="12" customHeight="1" x14ac:dyDescent="0.2">
      <c r="A15" s="129"/>
      <c r="B15" s="108"/>
      <c r="C15" s="17" t="str">
        <f>VLOOKUP(Auxiliar!B1,Auxiliar!A3:AS258,5,FALSE)</f>
        <v>NO</v>
      </c>
      <c r="D15" s="177"/>
      <c r="E15" s="129"/>
      <c r="F15" s="129"/>
      <c r="G15" s="129"/>
      <c r="H15" s="129"/>
      <c r="I15" s="129"/>
      <c r="J15" s="129"/>
      <c r="K15" s="129"/>
      <c r="L15" s="129"/>
      <c r="M15" s="129"/>
      <c r="N15" s="129"/>
      <c r="O15" s="131"/>
      <c r="P15" s="76"/>
      <c r="Q15" s="129"/>
      <c r="R15" s="108"/>
      <c r="S15" s="17" t="str">
        <f>VLOOKUP(Auxiliar!B1,Auxiliar!A3:AS258,5,FALSE)</f>
        <v>NO</v>
      </c>
      <c r="T15" s="177"/>
      <c r="U15" s="129"/>
      <c r="V15" s="129"/>
      <c r="W15" s="129"/>
      <c r="X15" s="129"/>
      <c r="Y15" s="129"/>
      <c r="Z15" s="129"/>
      <c r="AA15" s="129"/>
      <c r="AB15" s="129"/>
      <c r="AC15" s="129"/>
      <c r="AD15" s="129"/>
      <c r="AE15" s="129"/>
    </row>
    <row r="16" spans="1:31" ht="12" customHeight="1" x14ac:dyDescent="0.2">
      <c r="A16" s="105" t="s">
        <v>48</v>
      </c>
      <c r="B16" s="107" t="str">
        <f>VLOOKUP(Auxiliar!B1,Auxiliar!A3:AS258,6,FALSE)</f>
        <v>NO</v>
      </c>
      <c r="C16" s="18" t="str">
        <f>VLOOKUP(Auxiliar!B1,Auxiliar!A3:AS258,7,FALSE)</f>
        <v>NO</v>
      </c>
      <c r="D16" s="178"/>
      <c r="E16" s="113"/>
      <c r="F16" s="113"/>
      <c r="G16" s="113"/>
      <c r="H16" s="113"/>
      <c r="I16" s="113"/>
      <c r="J16" s="113"/>
      <c r="K16" s="113"/>
      <c r="L16" s="128"/>
      <c r="M16" s="113"/>
      <c r="N16" s="111"/>
      <c r="O16" s="126"/>
      <c r="P16" s="74"/>
      <c r="Q16" s="105" t="s">
        <v>48</v>
      </c>
      <c r="R16" s="107" t="str">
        <f>VLOOKUP(Auxiliar!B1,Auxiliar!A3:AS258,6,FALSE)</f>
        <v>NO</v>
      </c>
      <c r="S16" s="18" t="str">
        <f>VLOOKUP(Auxiliar!B1,Auxiliar!A3:AS258,7,FALSE)</f>
        <v>NO</v>
      </c>
      <c r="T16" s="178"/>
      <c r="U16" s="113"/>
      <c r="V16" s="113"/>
      <c r="W16" s="113"/>
      <c r="X16" s="113"/>
      <c r="Y16" s="113"/>
      <c r="Z16" s="113"/>
      <c r="AA16" s="113"/>
      <c r="AB16" s="128"/>
      <c r="AC16" s="113"/>
      <c r="AD16" s="111"/>
      <c r="AE16" s="111"/>
    </row>
    <row r="17" spans="1:31" ht="12" customHeight="1" x14ac:dyDescent="0.2">
      <c r="A17" s="106"/>
      <c r="B17" s="108"/>
      <c r="C17" s="17" t="str">
        <f>VLOOKUP(Auxiliar!B1,Auxiliar!A3:AS258,8,FALSE)</f>
        <v>NO</v>
      </c>
      <c r="D17" s="179"/>
      <c r="E17" s="114"/>
      <c r="F17" s="114"/>
      <c r="G17" s="114"/>
      <c r="H17" s="114"/>
      <c r="I17" s="114"/>
      <c r="J17" s="114"/>
      <c r="K17" s="114"/>
      <c r="L17" s="129"/>
      <c r="M17" s="114"/>
      <c r="N17" s="112"/>
      <c r="O17" s="127"/>
      <c r="P17" s="74"/>
      <c r="Q17" s="106"/>
      <c r="R17" s="108"/>
      <c r="S17" s="17" t="str">
        <f>VLOOKUP(Auxiliar!B1,Auxiliar!A3:AS258,8,FALSE)</f>
        <v>NO</v>
      </c>
      <c r="T17" s="179"/>
      <c r="U17" s="114"/>
      <c r="V17" s="114"/>
      <c r="W17" s="114"/>
      <c r="X17" s="114"/>
      <c r="Y17" s="114"/>
      <c r="Z17" s="114"/>
      <c r="AA17" s="114"/>
      <c r="AB17" s="129"/>
      <c r="AC17" s="114"/>
      <c r="AD17" s="112"/>
      <c r="AE17" s="112"/>
    </row>
    <row r="18" spans="1:31" ht="12" customHeight="1" x14ac:dyDescent="0.2">
      <c r="A18" s="105" t="s">
        <v>49</v>
      </c>
      <c r="B18" s="107" t="str">
        <f>VLOOKUP(Auxiliar!B1,Auxiliar!A3:AS258,9,FALSE)</f>
        <v>NO</v>
      </c>
      <c r="C18" s="16" t="str">
        <f>VLOOKUP(Auxiliar!B1,Auxiliar!A3:AS258,10,FALSE)</f>
        <v>NO</v>
      </c>
      <c r="D18" s="109"/>
      <c r="E18" s="113"/>
      <c r="F18" s="113"/>
      <c r="G18" s="113"/>
      <c r="H18" s="113"/>
      <c r="I18" s="113"/>
      <c r="J18" s="113"/>
      <c r="K18" s="113"/>
      <c r="L18" s="128"/>
      <c r="M18" s="113"/>
      <c r="N18" s="111"/>
      <c r="O18" s="126"/>
      <c r="P18" s="83"/>
      <c r="Q18" s="105" t="s">
        <v>49</v>
      </c>
      <c r="R18" s="107" t="str">
        <f>VLOOKUP(Auxiliar!B1,Auxiliar!A3:AS258,9,FALSE)</f>
        <v>NO</v>
      </c>
      <c r="S18" s="16" t="str">
        <f>VLOOKUP(Auxiliar!B1,Auxiliar!A3:AS258,10,FALSE)</f>
        <v>NO</v>
      </c>
      <c r="T18" s="109"/>
      <c r="U18" s="113"/>
      <c r="V18" s="113"/>
      <c r="W18" s="113"/>
      <c r="X18" s="113"/>
      <c r="Y18" s="113"/>
      <c r="Z18" s="113"/>
      <c r="AA18" s="113"/>
      <c r="AB18" s="128"/>
      <c r="AC18" s="113"/>
      <c r="AD18" s="111"/>
      <c r="AE18" s="111"/>
    </row>
    <row r="19" spans="1:31" ht="13.5" customHeight="1" x14ac:dyDescent="0.2">
      <c r="A19" s="106"/>
      <c r="B19" s="108"/>
      <c r="C19" s="19" t="str">
        <f>VLOOKUP(Auxiliar!B1,Auxiliar!A3:AS258,11,FALSE)</f>
        <v>NO</v>
      </c>
      <c r="D19" s="110"/>
      <c r="E19" s="114"/>
      <c r="F19" s="114"/>
      <c r="G19" s="114"/>
      <c r="H19" s="114"/>
      <c r="I19" s="114"/>
      <c r="J19" s="114"/>
      <c r="K19" s="114"/>
      <c r="L19" s="129"/>
      <c r="M19" s="114"/>
      <c r="N19" s="112"/>
      <c r="O19" s="127"/>
      <c r="P19" s="83"/>
      <c r="Q19" s="106"/>
      <c r="R19" s="108"/>
      <c r="S19" s="19" t="str">
        <f>VLOOKUP(Auxiliar!B1,Auxiliar!A3:AS258,11,FALSE)</f>
        <v>NO</v>
      </c>
      <c r="T19" s="110"/>
      <c r="U19" s="114"/>
      <c r="V19" s="114"/>
      <c r="W19" s="114"/>
      <c r="X19" s="114"/>
      <c r="Y19" s="114"/>
      <c r="Z19" s="114"/>
      <c r="AA19" s="114"/>
      <c r="AB19" s="129"/>
      <c r="AC19" s="114"/>
      <c r="AD19" s="112"/>
      <c r="AE19" s="112"/>
    </row>
    <row r="20" spans="1:31" ht="30" customHeight="1" x14ac:dyDescent="0.2">
      <c r="A20" s="136" t="s">
        <v>88</v>
      </c>
      <c r="B20" s="58" t="s">
        <v>50</v>
      </c>
      <c r="C20" s="59" t="str">
        <f>VLOOKUP(Auxiliar!B1,Auxiliar!A3:AS258,25,FALSE)</f>
        <v>NO</v>
      </c>
      <c r="D20" s="60"/>
      <c r="E20" s="61"/>
      <c r="F20" s="61"/>
      <c r="G20" s="61"/>
      <c r="H20" s="61"/>
      <c r="I20" s="61"/>
      <c r="J20" s="61"/>
      <c r="K20" s="61"/>
      <c r="L20" s="58"/>
      <c r="M20" s="61"/>
      <c r="N20" s="62"/>
      <c r="O20" s="77"/>
      <c r="P20" s="83"/>
      <c r="Q20" s="136" t="s">
        <v>88</v>
      </c>
      <c r="R20" s="58" t="s">
        <v>50</v>
      </c>
      <c r="S20" s="59" t="str">
        <f>VLOOKUP(Auxiliar!B1,Auxiliar!A3:AS258,25,FALSE)</f>
        <v>NO</v>
      </c>
      <c r="T20" s="60"/>
      <c r="U20" s="61"/>
      <c r="V20" s="61"/>
      <c r="W20" s="61"/>
      <c r="X20" s="61"/>
      <c r="Y20" s="61"/>
      <c r="Z20" s="61"/>
      <c r="AA20" s="61"/>
      <c r="AB20" s="58"/>
      <c r="AC20" s="61"/>
      <c r="AD20" s="62"/>
      <c r="AE20" s="62"/>
    </row>
    <row r="21" spans="1:31" ht="30" customHeight="1" x14ac:dyDescent="0.2">
      <c r="A21" s="137"/>
      <c r="B21" s="58" t="s">
        <v>58</v>
      </c>
      <c r="C21" s="59" t="str">
        <f>VLOOKUP(Auxiliar!B1,Auxiliar!A3:AS258,26,FALSE)</f>
        <v>NO</v>
      </c>
      <c r="D21" s="60"/>
      <c r="E21" s="61"/>
      <c r="F21" s="61"/>
      <c r="G21" s="61"/>
      <c r="H21" s="61"/>
      <c r="I21" s="61"/>
      <c r="J21" s="61"/>
      <c r="K21" s="61"/>
      <c r="L21" s="58"/>
      <c r="M21" s="61"/>
      <c r="N21" s="62"/>
      <c r="O21" s="77"/>
      <c r="P21" s="83"/>
      <c r="Q21" s="137"/>
      <c r="R21" s="58" t="s">
        <v>58</v>
      </c>
      <c r="S21" s="59" t="str">
        <f>VLOOKUP(Auxiliar!B1,Auxiliar!A3:AS258,26,FALSE)</f>
        <v>NO</v>
      </c>
      <c r="T21" s="60"/>
      <c r="U21" s="61"/>
      <c r="V21" s="61"/>
      <c r="W21" s="61"/>
      <c r="X21" s="61"/>
      <c r="Y21" s="61"/>
      <c r="Z21" s="61"/>
      <c r="AA21" s="61"/>
      <c r="AB21" s="58"/>
      <c r="AC21" s="61"/>
      <c r="AD21" s="62"/>
      <c r="AE21" s="62"/>
    </row>
    <row r="22" spans="1:31" ht="24" customHeight="1" x14ac:dyDescent="0.2">
      <c r="A22" s="115" t="s">
        <v>84</v>
      </c>
      <c r="B22" s="116"/>
      <c r="C22" s="117"/>
      <c r="D22" s="6"/>
      <c r="E22" s="3"/>
      <c r="F22" s="3"/>
      <c r="G22" s="3"/>
      <c r="H22" s="3"/>
      <c r="I22" s="3"/>
      <c r="J22" s="3"/>
      <c r="K22" s="3"/>
      <c r="L22" s="2"/>
      <c r="M22" s="3"/>
      <c r="N22" s="1"/>
      <c r="O22" s="12"/>
      <c r="P22" s="83"/>
      <c r="Q22" s="115" t="s">
        <v>84</v>
      </c>
      <c r="R22" s="116"/>
      <c r="S22" s="117"/>
      <c r="T22" s="6"/>
      <c r="U22" s="3"/>
      <c r="V22" s="3"/>
      <c r="W22" s="3"/>
      <c r="X22" s="3"/>
      <c r="Y22" s="3"/>
      <c r="Z22" s="3"/>
      <c r="AA22" s="3"/>
      <c r="AB22" s="2"/>
      <c r="AC22" s="3"/>
      <c r="AD22" s="1"/>
      <c r="AE22" s="1"/>
    </row>
    <row r="23" spans="1:31" ht="24" customHeight="1" x14ac:dyDescent="0.2">
      <c r="A23" s="23" t="s">
        <v>85</v>
      </c>
      <c r="B23" s="118" t="s">
        <v>93</v>
      </c>
      <c r="C23" s="117"/>
      <c r="D23" s="6"/>
      <c r="E23" s="3"/>
      <c r="F23" s="3"/>
      <c r="G23" s="3"/>
      <c r="H23" s="3"/>
      <c r="I23" s="3"/>
      <c r="J23" s="3"/>
      <c r="K23" s="3"/>
      <c r="L23" s="2"/>
      <c r="M23" s="3"/>
      <c r="N23" s="1"/>
      <c r="O23" s="12"/>
      <c r="P23" s="83"/>
      <c r="Q23" s="23" t="s">
        <v>85</v>
      </c>
      <c r="R23" s="118" t="s">
        <v>93</v>
      </c>
      <c r="S23" s="117"/>
      <c r="T23" s="6"/>
      <c r="U23" s="3"/>
      <c r="V23" s="3"/>
      <c r="W23" s="3"/>
      <c r="X23" s="3"/>
      <c r="Y23" s="3"/>
      <c r="Z23" s="3"/>
      <c r="AA23" s="3"/>
      <c r="AB23" s="2"/>
      <c r="AC23" s="3"/>
      <c r="AD23" s="1"/>
      <c r="AE23" s="1"/>
    </row>
    <row r="24" spans="1:31" ht="24" customHeight="1" x14ac:dyDescent="0.2">
      <c r="A24" s="23" t="s">
        <v>86</v>
      </c>
      <c r="B24" s="119" t="s">
        <v>87</v>
      </c>
      <c r="C24" s="119"/>
      <c r="D24" s="6"/>
      <c r="E24" s="3"/>
      <c r="F24" s="3"/>
      <c r="G24" s="3"/>
      <c r="H24" s="3"/>
      <c r="I24" s="3"/>
      <c r="J24" s="3"/>
      <c r="K24" s="3"/>
      <c r="L24" s="2"/>
      <c r="M24" s="3"/>
      <c r="N24" s="1"/>
      <c r="O24" s="12"/>
      <c r="P24" s="83"/>
      <c r="Q24" s="23" t="s">
        <v>86</v>
      </c>
      <c r="R24" s="119" t="s">
        <v>87</v>
      </c>
      <c r="S24" s="119"/>
      <c r="T24" s="6"/>
      <c r="U24" s="3"/>
      <c r="V24" s="3"/>
      <c r="W24" s="3"/>
      <c r="X24" s="3"/>
      <c r="Y24" s="3"/>
      <c r="Z24" s="3"/>
      <c r="AA24" s="3"/>
      <c r="AB24" s="2"/>
      <c r="AC24" s="3"/>
      <c r="AD24" s="1"/>
      <c r="AE24" s="1"/>
    </row>
    <row r="25" spans="1:31" ht="24.75" customHeight="1" thickBot="1" x14ac:dyDescent="0.25">
      <c r="A25" s="103" t="s">
        <v>92</v>
      </c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83"/>
      <c r="Q25" s="103" t="s">
        <v>92</v>
      </c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91"/>
    </row>
    <row r="26" spans="1:31" ht="24.75" customHeight="1" thickBot="1" x14ac:dyDescent="0.25">
      <c r="A26" s="98" t="s">
        <v>246</v>
      </c>
      <c r="B26" s="99"/>
      <c r="C26" s="93" t="s">
        <v>247</v>
      </c>
      <c r="D26" s="102"/>
      <c r="E26" s="92" t="s">
        <v>248</v>
      </c>
      <c r="F26" s="93"/>
      <c r="G26" s="102"/>
      <c r="H26" s="92" t="s">
        <v>250</v>
      </c>
      <c r="I26" s="93"/>
      <c r="J26" s="102"/>
      <c r="K26" s="92" t="s">
        <v>249</v>
      </c>
      <c r="L26" s="102"/>
      <c r="M26" s="92"/>
      <c r="N26" s="93"/>
      <c r="O26" s="93"/>
      <c r="P26" s="83"/>
      <c r="Q26" s="192" t="s">
        <v>246</v>
      </c>
      <c r="R26" s="99"/>
      <c r="S26" s="93" t="s">
        <v>247</v>
      </c>
      <c r="T26" s="102"/>
      <c r="U26" s="92" t="s">
        <v>248</v>
      </c>
      <c r="V26" s="93"/>
      <c r="W26" s="102"/>
      <c r="X26" s="92" t="s">
        <v>250</v>
      </c>
      <c r="Y26" s="93"/>
      <c r="Z26" s="102"/>
      <c r="AA26" s="92" t="s">
        <v>249</v>
      </c>
      <c r="AB26" s="102"/>
      <c r="AC26" s="92"/>
      <c r="AD26" s="93"/>
      <c r="AE26" s="194"/>
    </row>
    <row r="27" spans="1:31" ht="31.9" customHeight="1" thickBot="1" x14ac:dyDescent="0.25">
      <c r="A27" s="100"/>
      <c r="B27" s="101"/>
      <c r="C27" s="95"/>
      <c r="D27" s="96"/>
      <c r="E27" s="94"/>
      <c r="F27" s="95"/>
      <c r="G27" s="96"/>
      <c r="H27" s="94"/>
      <c r="I27" s="95"/>
      <c r="J27" s="96"/>
      <c r="K27" s="94"/>
      <c r="L27" s="96"/>
      <c r="M27" s="94"/>
      <c r="N27" s="95"/>
      <c r="O27" s="95"/>
      <c r="P27" s="83"/>
      <c r="Q27" s="193"/>
      <c r="R27" s="101"/>
      <c r="S27" s="95"/>
      <c r="T27" s="96"/>
      <c r="U27" s="94"/>
      <c r="V27" s="95"/>
      <c r="W27" s="96"/>
      <c r="X27" s="94"/>
      <c r="Y27" s="95"/>
      <c r="Z27" s="96"/>
      <c r="AA27" s="94"/>
      <c r="AB27" s="96"/>
      <c r="AC27" s="94"/>
      <c r="AD27" s="95"/>
      <c r="AE27" s="195"/>
    </row>
    <row r="28" spans="1:31" ht="15.75" customHeight="1" x14ac:dyDescent="0.2">
      <c r="A28" s="120" t="s">
        <v>90</v>
      </c>
      <c r="B28" s="120"/>
      <c r="C28" s="120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Q28" s="120" t="s">
        <v>90</v>
      </c>
      <c r="R28" s="120"/>
      <c r="S28" s="120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</row>
    <row r="29" spans="1:31" ht="24" customHeight="1" x14ac:dyDescent="0.2">
      <c r="A29" s="135"/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Q29" s="135"/>
      <c r="R29" s="135"/>
      <c r="S29" s="135"/>
      <c r="T29" s="135"/>
      <c r="U29" s="135"/>
      <c r="V29" s="135"/>
      <c r="W29" s="135"/>
      <c r="X29" s="135"/>
      <c r="Y29" s="135"/>
      <c r="Z29" s="135"/>
      <c r="AA29" s="135"/>
      <c r="AB29" s="135"/>
      <c r="AC29" s="135"/>
      <c r="AD29" s="135"/>
      <c r="AE29" s="135"/>
    </row>
    <row r="30" spans="1:31" ht="24" customHeight="1" x14ac:dyDescent="0.2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  <c r="AC30" s="91"/>
      <c r="AD30" s="91"/>
      <c r="AE30" s="91"/>
    </row>
    <row r="31" spans="1:31" ht="24" customHeight="1" x14ac:dyDescent="0.2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Q31" s="91"/>
      <c r="R31" s="9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</row>
    <row r="32" spans="1:31" ht="24" customHeight="1" x14ac:dyDescent="0.2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</row>
    <row r="33" spans="1:31" ht="24" customHeight="1" x14ac:dyDescent="0.2">
      <c r="A33" s="49"/>
      <c r="B33" s="49"/>
      <c r="C33" s="49"/>
      <c r="D33" s="49"/>
      <c r="E33" s="49"/>
      <c r="F33" s="49"/>
      <c r="G33" s="38"/>
      <c r="H33" s="38"/>
      <c r="I33" s="38"/>
      <c r="J33" s="38"/>
      <c r="K33" s="38"/>
      <c r="L33" s="38"/>
      <c r="M33" s="38"/>
      <c r="N33" s="38"/>
      <c r="O33" s="38"/>
      <c r="P33" s="75"/>
      <c r="Q33" s="49"/>
      <c r="R33" s="49"/>
      <c r="S33" s="49"/>
      <c r="T33" s="49"/>
      <c r="U33" s="49"/>
      <c r="V33" s="49"/>
      <c r="W33" s="38"/>
      <c r="X33" s="38"/>
      <c r="Y33" s="38"/>
      <c r="Z33" s="38"/>
      <c r="AA33" s="38"/>
      <c r="AB33" s="38"/>
      <c r="AC33" s="38"/>
      <c r="AD33" s="38"/>
      <c r="AE33" s="38"/>
    </row>
    <row r="34" spans="1:31" ht="30.75" customHeight="1" x14ac:dyDescent="0.2">
      <c r="A34" s="39"/>
      <c r="B34" s="39"/>
      <c r="C34" s="39"/>
      <c r="D34" s="39"/>
      <c r="E34" s="39"/>
      <c r="F34" s="39"/>
      <c r="G34" s="39"/>
      <c r="H34" s="5"/>
      <c r="I34" s="5"/>
      <c r="P34" s="5"/>
      <c r="Q34" s="39"/>
      <c r="R34" s="39"/>
      <c r="S34" s="39"/>
      <c r="T34" s="39"/>
      <c r="U34" s="39"/>
      <c r="V34" s="39"/>
      <c r="W34" s="39"/>
      <c r="X34" s="5"/>
      <c r="Y34" s="5"/>
    </row>
    <row r="35" spans="1:31" ht="25.5" customHeight="1" x14ac:dyDescent="0.25">
      <c r="A35" s="153" t="s">
        <v>38</v>
      </c>
      <c r="B35" s="153"/>
      <c r="C35" s="153"/>
      <c r="D35" s="153"/>
      <c r="E35" s="153"/>
      <c r="F35" s="153"/>
      <c r="G35" s="153"/>
      <c r="H35" s="7"/>
      <c r="I35" s="152" t="s">
        <v>16</v>
      </c>
      <c r="J35" s="152"/>
      <c r="K35" s="152"/>
      <c r="L35" s="152"/>
      <c r="M35" s="152"/>
      <c r="N35" s="152"/>
      <c r="O35" s="152"/>
      <c r="P35" s="71"/>
      <c r="Q35" s="153" t="s">
        <v>38</v>
      </c>
      <c r="R35" s="153"/>
      <c r="S35" s="153"/>
      <c r="T35" s="153"/>
      <c r="U35" s="153"/>
      <c r="V35" s="153"/>
      <c r="W35" s="153"/>
      <c r="X35" s="7"/>
      <c r="Y35" s="152" t="s">
        <v>16</v>
      </c>
      <c r="Z35" s="152"/>
      <c r="AA35" s="152"/>
      <c r="AB35" s="152"/>
      <c r="AC35" s="152"/>
      <c r="AD35" s="152"/>
      <c r="AE35" s="152"/>
    </row>
    <row r="36" spans="1:31" ht="24" customHeight="1" x14ac:dyDescent="0.2">
      <c r="P36" s="5"/>
    </row>
    <row r="37" spans="1:31" ht="24" customHeight="1" x14ac:dyDescent="0.2">
      <c r="P37" s="5"/>
    </row>
    <row r="38" spans="1:31" ht="15" customHeight="1" x14ac:dyDescent="0.2">
      <c r="P38" s="5"/>
    </row>
    <row r="39" spans="1:31" ht="32.1" customHeight="1" x14ac:dyDescent="0.2"/>
    <row r="40" spans="1:31" ht="32.1" customHeight="1" x14ac:dyDescent="0.2"/>
    <row r="41" spans="1:31" ht="32.1" customHeight="1" x14ac:dyDescent="0.2"/>
    <row r="42" spans="1:31" ht="32.1" customHeight="1" x14ac:dyDescent="0.2"/>
    <row r="43" spans="1:31" ht="32.1" customHeight="1" x14ac:dyDescent="0.2"/>
    <row r="44" spans="1:31" ht="32.1" customHeight="1" x14ac:dyDescent="0.2"/>
    <row r="45" spans="1:31" ht="32.1" customHeight="1" x14ac:dyDescent="0.2"/>
    <row r="46" spans="1:31" ht="32.1" customHeight="1" x14ac:dyDescent="0.2"/>
    <row r="47" spans="1:31" ht="32.1" customHeight="1" x14ac:dyDescent="0.2"/>
    <row r="48" spans="1:31" ht="32.1" customHeight="1" x14ac:dyDescent="0.2"/>
    <row r="49" ht="32.1" customHeight="1" x14ac:dyDescent="0.2"/>
    <row r="50" ht="32.1" customHeight="1" x14ac:dyDescent="0.2"/>
    <row r="51" ht="32.1" customHeight="1" x14ac:dyDescent="0.2"/>
    <row r="52" ht="32.1" customHeight="1" x14ac:dyDescent="0.2"/>
    <row r="53" ht="32.1" customHeight="1" x14ac:dyDescent="0.2"/>
    <row r="54" ht="32.1" customHeight="1" x14ac:dyDescent="0.2"/>
    <row r="55" ht="32.1" customHeight="1" x14ac:dyDescent="0.2"/>
    <row r="56" ht="32.1" customHeight="1" x14ac:dyDescent="0.2"/>
    <row r="57" ht="32.1" customHeight="1" x14ac:dyDescent="0.2"/>
    <row r="58" ht="32.1" customHeight="1" x14ac:dyDescent="0.2"/>
    <row r="59" ht="32.1" customHeight="1" x14ac:dyDescent="0.2"/>
    <row r="60" ht="32.1" customHeight="1" x14ac:dyDescent="0.2"/>
    <row r="61" ht="32.1" customHeight="1" x14ac:dyDescent="0.2"/>
    <row r="62" ht="32.1" customHeight="1" x14ac:dyDescent="0.2"/>
    <row r="63" ht="24" customHeight="1" x14ac:dyDescent="0.2"/>
    <row r="64" ht="24" customHeight="1" x14ac:dyDescent="0.2"/>
    <row r="65" ht="24" customHeight="1" x14ac:dyDescent="0.2"/>
    <row r="66" ht="24" customHeight="1" x14ac:dyDescent="0.2"/>
    <row r="67" ht="24" customHeight="1" x14ac:dyDescent="0.2"/>
    <row r="68" ht="24" customHeight="1" x14ac:dyDescent="0.2"/>
  </sheetData>
  <mergeCells count="184">
    <mergeCell ref="Q31:AE31"/>
    <mergeCell ref="Q35:W35"/>
    <mergeCell ref="Y35:AE35"/>
    <mergeCell ref="AA27:AB27"/>
    <mergeCell ref="AC27:AE27"/>
    <mergeCell ref="Q28:S28"/>
    <mergeCell ref="T28:AE28"/>
    <mergeCell ref="Q29:AE29"/>
    <mergeCell ref="Q30:AE30"/>
    <mergeCell ref="Q25:AE25"/>
    <mergeCell ref="Q26:R27"/>
    <mergeCell ref="S26:T26"/>
    <mergeCell ref="U26:W26"/>
    <mergeCell ref="X26:Z26"/>
    <mergeCell ref="AA26:AB26"/>
    <mergeCell ref="AC26:AE26"/>
    <mergeCell ref="S27:T27"/>
    <mergeCell ref="U27:W27"/>
    <mergeCell ref="X27:Z27"/>
    <mergeCell ref="AE18:AE19"/>
    <mergeCell ref="Q20:Q21"/>
    <mergeCell ref="Q22:S22"/>
    <mergeCell ref="R23:S23"/>
    <mergeCell ref="R24:S24"/>
    <mergeCell ref="X18:X19"/>
    <mergeCell ref="Y18:Y19"/>
    <mergeCell ref="Z18:Z19"/>
    <mergeCell ref="AA18:AA19"/>
    <mergeCell ref="AB18:AB19"/>
    <mergeCell ref="AC18:AC19"/>
    <mergeCell ref="Q18:Q19"/>
    <mergeCell ref="R18:R19"/>
    <mergeCell ref="T18:T19"/>
    <mergeCell ref="U18:U19"/>
    <mergeCell ref="V18:V19"/>
    <mergeCell ref="W18:W19"/>
    <mergeCell ref="AD18:AD19"/>
    <mergeCell ref="AA14:AA15"/>
    <mergeCell ref="AB14:AB15"/>
    <mergeCell ref="AC14:AC15"/>
    <mergeCell ref="AD14:AD15"/>
    <mergeCell ref="AE14:AE15"/>
    <mergeCell ref="Q16:Q17"/>
    <mergeCell ref="R16:R17"/>
    <mergeCell ref="T16:T17"/>
    <mergeCell ref="U16:U17"/>
    <mergeCell ref="V16:V17"/>
    <mergeCell ref="W16:W17"/>
    <mergeCell ref="X16:X17"/>
    <mergeCell ref="Y16:Y17"/>
    <mergeCell ref="Z16:Z17"/>
    <mergeCell ref="AA16:AA17"/>
    <mergeCell ref="AB16:AB17"/>
    <mergeCell ref="AC16:AC17"/>
    <mergeCell ref="AD16:AD17"/>
    <mergeCell ref="AE16:AE17"/>
    <mergeCell ref="Q14:Q15"/>
    <mergeCell ref="R14:R15"/>
    <mergeCell ref="T14:T15"/>
    <mergeCell ref="U14:U15"/>
    <mergeCell ref="V14:V15"/>
    <mergeCell ref="W14:W15"/>
    <mergeCell ref="X14:X15"/>
    <mergeCell ref="Y14:Y15"/>
    <mergeCell ref="Z14:Z15"/>
    <mergeCell ref="AA9:AE9"/>
    <mergeCell ref="Q10:W10"/>
    <mergeCell ref="X10:AE10"/>
    <mergeCell ref="Q11:Q13"/>
    <mergeCell ref="R11:R13"/>
    <mergeCell ref="S11:S13"/>
    <mergeCell ref="T11:AC12"/>
    <mergeCell ref="AD11:AD13"/>
    <mergeCell ref="AE11:AE13"/>
    <mergeCell ref="H16:H17"/>
    <mergeCell ref="I16:I17"/>
    <mergeCell ref="J16:J17"/>
    <mergeCell ref="K16:K17"/>
    <mergeCell ref="A16:A17"/>
    <mergeCell ref="B16:B17"/>
    <mergeCell ref="Q1:S6"/>
    <mergeCell ref="T1:AE2"/>
    <mergeCell ref="T3:AE4"/>
    <mergeCell ref="T5:W6"/>
    <mergeCell ref="X5:Y6"/>
    <mergeCell ref="Z5:AA6"/>
    <mergeCell ref="AB5:AE6"/>
    <mergeCell ref="Q7:R7"/>
    <mergeCell ref="S7:W7"/>
    <mergeCell ref="X7:Z7"/>
    <mergeCell ref="AA7:AE7"/>
    <mergeCell ref="Q8:R8"/>
    <mergeCell ref="S8:W8"/>
    <mergeCell ref="X8:Z8"/>
    <mergeCell ref="AB8:AE8"/>
    <mergeCell ref="Q9:R9"/>
    <mergeCell ref="S9:W9"/>
    <mergeCell ref="X9:Z9"/>
    <mergeCell ref="A7:B7"/>
    <mergeCell ref="A8:B8"/>
    <mergeCell ref="A9:B9"/>
    <mergeCell ref="C9:G9"/>
    <mergeCell ref="H7:J7"/>
    <mergeCell ref="C8:G8"/>
    <mergeCell ref="A1:C6"/>
    <mergeCell ref="D5:G6"/>
    <mergeCell ref="I35:O35"/>
    <mergeCell ref="A35:G35"/>
    <mergeCell ref="O11:O13"/>
    <mergeCell ref="D11:M12"/>
    <mergeCell ref="B11:B13"/>
    <mergeCell ref="A11:A13"/>
    <mergeCell ref="M14:M15"/>
    <mergeCell ref="D3:O4"/>
    <mergeCell ref="D1:O2"/>
    <mergeCell ref="H8:J8"/>
    <mergeCell ref="C7:G7"/>
    <mergeCell ref="K7:O7"/>
    <mergeCell ref="A14:A15"/>
    <mergeCell ref="B14:B15"/>
    <mergeCell ref="D14:D15"/>
    <mergeCell ref="E14:E15"/>
    <mergeCell ref="I14:I15"/>
    <mergeCell ref="J14:J15"/>
    <mergeCell ref="K14:K15"/>
    <mergeCell ref="O14:O15"/>
    <mergeCell ref="C11:C13"/>
    <mergeCell ref="N11:N13"/>
    <mergeCell ref="A29:O29"/>
    <mergeCell ref="A20:A21"/>
    <mergeCell ref="K9:O9"/>
    <mergeCell ref="N14:N15"/>
    <mergeCell ref="D16:D17"/>
    <mergeCell ref="E16:E17"/>
    <mergeCell ref="N16:N17"/>
    <mergeCell ref="O16:O17"/>
    <mergeCell ref="F14:F15"/>
    <mergeCell ref="G14:G15"/>
    <mergeCell ref="H14:H15"/>
    <mergeCell ref="L14:L15"/>
    <mergeCell ref="L16:L17"/>
    <mergeCell ref="M16:M17"/>
    <mergeCell ref="A10:G10"/>
    <mergeCell ref="H10:O10"/>
    <mergeCell ref="F16:F17"/>
    <mergeCell ref="G16:G17"/>
    <mergeCell ref="A31:O31"/>
    <mergeCell ref="A22:C22"/>
    <mergeCell ref="B23:C23"/>
    <mergeCell ref="B24:C24"/>
    <mergeCell ref="A28:C28"/>
    <mergeCell ref="F18:F19"/>
    <mergeCell ref="G18:G19"/>
    <mergeCell ref="H18:H19"/>
    <mergeCell ref="I18:I19"/>
    <mergeCell ref="J18:J19"/>
    <mergeCell ref="K18:K19"/>
    <mergeCell ref="O18:O19"/>
    <mergeCell ref="L18:L19"/>
    <mergeCell ref="M18:M19"/>
    <mergeCell ref="L8:O8"/>
    <mergeCell ref="J5:K6"/>
    <mergeCell ref="A30:O30"/>
    <mergeCell ref="M26:O26"/>
    <mergeCell ref="M27:O27"/>
    <mergeCell ref="C27:D27"/>
    <mergeCell ref="E27:G27"/>
    <mergeCell ref="H27:J27"/>
    <mergeCell ref="K27:L27"/>
    <mergeCell ref="D28:O28"/>
    <mergeCell ref="A26:B27"/>
    <mergeCell ref="C26:D26"/>
    <mergeCell ref="E26:G26"/>
    <mergeCell ref="H26:J26"/>
    <mergeCell ref="K26:L26"/>
    <mergeCell ref="A25:O25"/>
    <mergeCell ref="A18:A19"/>
    <mergeCell ref="B18:B19"/>
    <mergeCell ref="D18:D19"/>
    <mergeCell ref="N18:N19"/>
    <mergeCell ref="E18:E19"/>
    <mergeCell ref="H9:J9"/>
    <mergeCell ref="L5:O6"/>
    <mergeCell ref="H5:I6"/>
  </mergeCells>
  <phoneticPr fontId="2" type="noConversion"/>
  <printOptions horizontalCentered="1"/>
  <pageMargins left="0.24" right="0.43307086614173229" top="0.73" bottom="0.19685039370078741" header="0.23622047244094491" footer="0"/>
  <pageSetup paperSize="9" scale="8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Drop Down 18">
              <controlPr locked="0" defaultSize="0" autoLine="0" autoPict="0">
                <anchor moveWithCells="1">
                  <from>
                    <xdr:col>10</xdr:col>
                    <xdr:colOff>57150</xdr:colOff>
                    <xdr:row>6</xdr:row>
                    <xdr:rowOff>47625</xdr:rowOff>
                  </from>
                  <to>
                    <xdr:col>12</xdr:col>
                    <xdr:colOff>352425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5" name="Drop Down 208">
              <controlPr locked="0" defaultSize="0" autoLine="0" autoPict="0">
                <anchor moveWithCells="1">
                  <from>
                    <xdr:col>26</xdr:col>
                    <xdr:colOff>57150</xdr:colOff>
                    <xdr:row>6</xdr:row>
                    <xdr:rowOff>47625</xdr:rowOff>
                  </from>
                  <to>
                    <xdr:col>30</xdr:col>
                    <xdr:colOff>152400</xdr:colOff>
                    <xdr:row>6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26"/>
  <sheetViews>
    <sheetView zoomScaleNormal="100" workbookViewId="0">
      <selection activeCell="Q14" sqref="Q14"/>
    </sheetView>
  </sheetViews>
  <sheetFormatPr baseColWidth="10" defaultRowHeight="12.75" x14ac:dyDescent="0.2"/>
  <cols>
    <col min="2" max="2" width="9.5703125" customWidth="1"/>
    <col min="3" max="3" width="5.28515625" customWidth="1"/>
    <col min="7" max="7" width="10.28515625" customWidth="1"/>
    <col min="8" max="8" width="11.42578125" hidden="1" customWidth="1"/>
    <col min="9" max="9" width="3.5703125" customWidth="1"/>
    <col min="10" max="10" width="4.7109375" customWidth="1"/>
    <col min="11" max="11" width="0.140625" hidden="1" customWidth="1"/>
    <col min="12" max="13" width="11.42578125" hidden="1" customWidth="1"/>
    <col min="14" max="14" width="11.140625" hidden="1" customWidth="1"/>
    <col min="15" max="15" width="7.7109375" customWidth="1"/>
  </cols>
  <sheetData>
    <row r="1" spans="1:15" x14ac:dyDescent="0.2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</row>
    <row r="2" spans="1:15" x14ac:dyDescent="0.2">
      <c r="A2" s="220"/>
      <c r="B2" s="221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2"/>
    </row>
    <row r="3" spans="1:15" x14ac:dyDescent="0.2">
      <c r="A3" s="126"/>
      <c r="B3" s="201"/>
      <c r="C3" s="202"/>
      <c r="D3" s="208" t="s">
        <v>37</v>
      </c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210"/>
    </row>
    <row r="4" spans="1:15" x14ac:dyDescent="0.2">
      <c r="A4" s="203"/>
      <c r="B4" s="204"/>
      <c r="C4" s="205"/>
      <c r="D4" s="211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3"/>
    </row>
    <row r="5" spans="1:15" x14ac:dyDescent="0.2">
      <c r="A5" s="127"/>
      <c r="B5" s="206"/>
      <c r="C5" s="207"/>
      <c r="D5" s="214"/>
      <c r="E5" s="215"/>
      <c r="F5" s="215"/>
      <c r="G5" s="215"/>
      <c r="H5" s="215"/>
      <c r="I5" s="215"/>
      <c r="J5" s="215"/>
      <c r="K5" s="215"/>
      <c r="L5" s="215"/>
      <c r="M5" s="215"/>
      <c r="N5" s="215"/>
      <c r="O5" s="216"/>
    </row>
    <row r="6" spans="1:15" ht="18" x14ac:dyDescent="0.25">
      <c r="A6" s="196"/>
      <c r="B6" s="197"/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8"/>
    </row>
    <row r="7" spans="1:15" ht="30" customHeight="1" x14ac:dyDescent="0.2">
      <c r="A7" s="9" t="s">
        <v>18</v>
      </c>
      <c r="B7" s="199" t="s">
        <v>27</v>
      </c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200"/>
    </row>
    <row r="8" spans="1:15" ht="30" customHeight="1" x14ac:dyDescent="0.2">
      <c r="A8" s="9" t="s">
        <v>19</v>
      </c>
      <c r="B8" s="199" t="s">
        <v>25</v>
      </c>
      <c r="C8" s="199"/>
      <c r="D8" s="199"/>
      <c r="E8" s="199"/>
      <c r="F8" s="199"/>
      <c r="G8" s="199"/>
      <c r="H8" s="199"/>
      <c r="I8" s="199"/>
      <c r="J8" s="199"/>
      <c r="K8" s="199"/>
      <c r="L8" s="199"/>
      <c r="M8" s="199"/>
      <c r="N8" s="199"/>
      <c r="O8" s="200"/>
    </row>
    <row r="9" spans="1:15" ht="30" customHeight="1" x14ac:dyDescent="0.2">
      <c r="A9" s="9" t="s">
        <v>20</v>
      </c>
      <c r="B9" s="183" t="s">
        <v>28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90"/>
    </row>
    <row r="10" spans="1:15" ht="30" customHeight="1" x14ac:dyDescent="0.2">
      <c r="A10" s="10" t="s">
        <v>77</v>
      </c>
      <c r="B10" s="183" t="s">
        <v>75</v>
      </c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90"/>
    </row>
    <row r="11" spans="1:15" ht="30" customHeight="1" x14ac:dyDescent="0.2">
      <c r="A11" s="10" t="s">
        <v>78</v>
      </c>
      <c r="B11" s="183" t="s">
        <v>76</v>
      </c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90"/>
    </row>
    <row r="12" spans="1:15" ht="30" customHeight="1" x14ac:dyDescent="0.2">
      <c r="A12" s="9" t="s">
        <v>21</v>
      </c>
      <c r="B12" s="199" t="s">
        <v>29</v>
      </c>
      <c r="C12" s="199"/>
      <c r="D12" s="199"/>
      <c r="E12" s="199"/>
      <c r="F12" s="199"/>
      <c r="G12" s="199"/>
      <c r="H12" s="199"/>
      <c r="I12" s="199"/>
      <c r="J12" s="199"/>
      <c r="K12" s="199"/>
      <c r="L12" s="199"/>
      <c r="M12" s="199"/>
      <c r="N12" s="199"/>
      <c r="O12" s="200"/>
    </row>
    <row r="13" spans="1:15" ht="30" customHeight="1" x14ac:dyDescent="0.2">
      <c r="A13" s="9" t="s">
        <v>22</v>
      </c>
      <c r="B13" s="183" t="s">
        <v>30</v>
      </c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90"/>
    </row>
    <row r="14" spans="1:15" ht="30" customHeight="1" x14ac:dyDescent="0.2">
      <c r="A14" s="10" t="s">
        <v>23</v>
      </c>
      <c r="B14" s="183" t="s">
        <v>31</v>
      </c>
      <c r="C14" s="183"/>
      <c r="D14" s="183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90"/>
    </row>
    <row r="15" spans="1:15" ht="30" customHeight="1" x14ac:dyDescent="0.2">
      <c r="A15" s="9" t="s">
        <v>24</v>
      </c>
      <c r="B15" s="183" t="s">
        <v>26</v>
      </c>
      <c r="C15" s="183"/>
      <c r="D15" s="183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90"/>
    </row>
    <row r="16" spans="1:15" ht="30" customHeight="1" x14ac:dyDescent="0.2">
      <c r="A16" s="10" t="s">
        <v>79</v>
      </c>
      <c r="B16" s="183" t="s">
        <v>80</v>
      </c>
      <c r="C16" s="183"/>
      <c r="D16" s="183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90"/>
    </row>
    <row r="17" spans="1:15" ht="30" customHeight="1" x14ac:dyDescent="0.2">
      <c r="A17" s="10" t="s">
        <v>81</v>
      </c>
      <c r="B17" s="183" t="s">
        <v>82</v>
      </c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90"/>
    </row>
    <row r="18" spans="1:15" ht="30" customHeight="1" x14ac:dyDescent="0.2">
      <c r="A18" s="10" t="s">
        <v>32</v>
      </c>
      <c r="B18" s="199" t="s">
        <v>33</v>
      </c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200"/>
    </row>
    <row r="19" spans="1:15" ht="30" customHeight="1" x14ac:dyDescent="0.2">
      <c r="A19" s="9" t="s">
        <v>51</v>
      </c>
      <c r="B19" s="199" t="s">
        <v>61</v>
      </c>
      <c r="C19" s="199"/>
      <c r="D19" s="199"/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200"/>
    </row>
    <row r="20" spans="1:15" ht="30" customHeight="1" x14ac:dyDescent="0.2">
      <c r="A20" s="11"/>
      <c r="B20" s="223"/>
      <c r="C20" s="223"/>
      <c r="D20" s="223"/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224"/>
    </row>
    <row r="21" spans="1:15" ht="30" customHeight="1" x14ac:dyDescent="0.2">
      <c r="A21" s="11"/>
      <c r="B21" s="223"/>
      <c r="C21" s="223"/>
      <c r="D21" s="223"/>
      <c r="E21" s="223"/>
      <c r="F21" s="223"/>
      <c r="G21" s="223"/>
      <c r="H21" s="223"/>
      <c r="I21" s="223"/>
      <c r="J21" s="223"/>
      <c r="K21" s="223"/>
      <c r="L21" s="223"/>
      <c r="M21" s="223"/>
      <c r="N21" s="223"/>
      <c r="O21" s="224"/>
    </row>
    <row r="22" spans="1:15" ht="30" customHeight="1" x14ac:dyDescent="0.2">
      <c r="A22" s="8"/>
      <c r="B22" s="218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9"/>
    </row>
    <row r="23" spans="1:15" ht="30" customHeight="1" x14ac:dyDescent="0.2">
      <c r="A23" s="11"/>
      <c r="B23" s="223"/>
      <c r="C23" s="223"/>
      <c r="D23" s="223"/>
      <c r="E23" s="223"/>
      <c r="F23" s="223"/>
      <c r="G23" s="223"/>
      <c r="H23" s="223"/>
      <c r="I23" s="223"/>
      <c r="J23" s="223"/>
      <c r="K23" s="223"/>
      <c r="L23" s="223"/>
      <c r="M23" s="223"/>
      <c r="N23" s="223"/>
      <c r="O23" s="224"/>
    </row>
    <row r="24" spans="1:15" ht="30" customHeight="1" x14ac:dyDescent="0.2">
      <c r="A24" s="8"/>
      <c r="B24" s="218"/>
      <c r="C24" s="218"/>
      <c r="D24" s="218"/>
      <c r="E24" s="218"/>
      <c r="F24" s="218"/>
      <c r="G24" s="218"/>
      <c r="H24" s="218"/>
      <c r="I24" s="218"/>
      <c r="J24" s="218"/>
      <c r="K24" s="218"/>
      <c r="L24" s="218"/>
      <c r="M24" s="218"/>
      <c r="N24" s="218"/>
      <c r="O24" s="219"/>
    </row>
    <row r="25" spans="1:15" ht="30" customHeight="1" x14ac:dyDescent="0.2">
      <c r="A25" s="12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217"/>
    </row>
    <row r="26" spans="1:15" ht="30" customHeight="1" x14ac:dyDescent="0.2">
      <c r="A26" s="12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217"/>
    </row>
  </sheetData>
  <mergeCells count="25">
    <mergeCell ref="B25:O25"/>
    <mergeCell ref="B26:O26"/>
    <mergeCell ref="B24:O24"/>
    <mergeCell ref="A2:O2"/>
    <mergeCell ref="B20:O20"/>
    <mergeCell ref="B21:O21"/>
    <mergeCell ref="B22:O22"/>
    <mergeCell ref="B23:O23"/>
    <mergeCell ref="B18:O18"/>
    <mergeCell ref="B19:O19"/>
    <mergeCell ref="A3:C5"/>
    <mergeCell ref="D3:O5"/>
    <mergeCell ref="A1:O1"/>
    <mergeCell ref="B15:O15"/>
    <mergeCell ref="B17:O17"/>
    <mergeCell ref="B12:O12"/>
    <mergeCell ref="B13:O13"/>
    <mergeCell ref="B7:O7"/>
    <mergeCell ref="B14:O14"/>
    <mergeCell ref="B11:O11"/>
    <mergeCell ref="A6:O6"/>
    <mergeCell ref="B10:O10"/>
    <mergeCell ref="B16:O16"/>
    <mergeCell ref="B9:O9"/>
    <mergeCell ref="B8:O8"/>
  </mergeCells>
  <phoneticPr fontId="2" type="noConversion"/>
  <pageMargins left="0.78740157480314965" right="0.78740157480314965" top="0.98425196850393704" bottom="0.98425196850393704" header="0" footer="0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B65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baseColWidth="10" defaultRowHeight="12.75" x14ac:dyDescent="0.2"/>
  <cols>
    <col min="1" max="1" width="7.85546875" bestFit="1" customWidth="1"/>
    <col min="2" max="2" width="29.140625" style="55" bestFit="1" customWidth="1"/>
    <col min="3" max="17" width="9.7109375" customWidth="1"/>
    <col min="18" max="18" width="13.42578125" bestFit="1" customWidth="1"/>
    <col min="19" max="19" width="12.85546875" bestFit="1" customWidth="1"/>
    <col min="20" max="20" width="15.140625" bestFit="1" customWidth="1"/>
    <col min="21" max="21" width="14.5703125" bestFit="1" customWidth="1"/>
    <col min="22" max="22" width="15.28515625" bestFit="1" customWidth="1"/>
    <col min="23" max="23" width="17.140625" bestFit="1" customWidth="1"/>
    <col min="24" max="24" width="15.85546875" bestFit="1" customWidth="1"/>
    <col min="25" max="25" width="20.7109375" bestFit="1" customWidth="1"/>
    <col min="26" max="26" width="28.28515625" bestFit="1" customWidth="1"/>
    <col min="27" max="27" width="18.42578125" bestFit="1" customWidth="1"/>
    <col min="28" max="28" width="22.85546875" bestFit="1" customWidth="1"/>
    <col min="29" max="29" width="13.42578125" bestFit="1" customWidth="1"/>
    <col min="30" max="30" width="6.140625" bestFit="1" customWidth="1"/>
    <col min="31" max="31" width="8.28515625" customWidth="1"/>
    <col min="32" max="59" width="5.7109375" customWidth="1"/>
  </cols>
  <sheetData>
    <row r="1" spans="1:54" x14ac:dyDescent="0.2">
      <c r="A1" s="14" t="s">
        <v>40</v>
      </c>
      <c r="B1" s="52">
        <v>111</v>
      </c>
      <c r="C1" s="20">
        <v>3</v>
      </c>
      <c r="D1" s="21">
        <v>4</v>
      </c>
      <c r="E1" s="21">
        <v>5</v>
      </c>
      <c r="F1" s="22">
        <v>6</v>
      </c>
      <c r="G1" s="22">
        <v>7</v>
      </c>
      <c r="H1" s="22">
        <v>8</v>
      </c>
      <c r="I1" s="22">
        <v>9</v>
      </c>
      <c r="J1" s="22">
        <v>10</v>
      </c>
      <c r="K1" s="22">
        <v>11</v>
      </c>
      <c r="L1" s="22">
        <v>12</v>
      </c>
      <c r="M1" s="22">
        <v>13</v>
      </c>
      <c r="N1" s="22">
        <v>14</v>
      </c>
      <c r="O1" s="22">
        <v>15</v>
      </c>
      <c r="P1" s="22">
        <v>16</v>
      </c>
      <c r="Q1" s="22">
        <v>17</v>
      </c>
      <c r="R1" s="22">
        <v>18</v>
      </c>
      <c r="S1" s="22">
        <v>19</v>
      </c>
      <c r="T1" s="22">
        <v>20</v>
      </c>
      <c r="U1" s="22">
        <v>21</v>
      </c>
      <c r="V1" s="22">
        <v>22</v>
      </c>
      <c r="W1" s="22">
        <v>23</v>
      </c>
      <c r="X1" s="22">
        <v>24</v>
      </c>
      <c r="Y1" s="22">
        <v>25</v>
      </c>
      <c r="Z1" s="22">
        <v>26</v>
      </c>
      <c r="AA1" s="22">
        <v>27</v>
      </c>
      <c r="AB1" s="22">
        <v>28</v>
      </c>
      <c r="AC1" s="22">
        <v>29</v>
      </c>
      <c r="AD1" s="22">
        <v>30</v>
      </c>
    </row>
    <row r="2" spans="1:54" s="13" customFormat="1" ht="21.75" customHeight="1" x14ac:dyDescent="0.25">
      <c r="A2" s="25" t="s">
        <v>446</v>
      </c>
      <c r="B2" s="31" t="s">
        <v>39</v>
      </c>
      <c r="C2" s="26" t="s">
        <v>42</v>
      </c>
      <c r="D2" s="27" t="s">
        <v>43</v>
      </c>
      <c r="E2" s="27" t="s">
        <v>44</v>
      </c>
      <c r="F2" s="33" t="s">
        <v>41</v>
      </c>
      <c r="G2" s="27" t="s">
        <v>59</v>
      </c>
      <c r="H2" s="28" t="s">
        <v>60</v>
      </c>
      <c r="I2" s="32" t="s">
        <v>51</v>
      </c>
      <c r="J2" s="28" t="s">
        <v>62</v>
      </c>
      <c r="K2" s="28" t="s">
        <v>63</v>
      </c>
      <c r="L2" s="36" t="s">
        <v>52</v>
      </c>
      <c r="M2" s="28" t="s">
        <v>64</v>
      </c>
      <c r="N2" s="28" t="s">
        <v>65</v>
      </c>
      <c r="O2" s="32" t="s">
        <v>53</v>
      </c>
      <c r="P2" s="28" t="s">
        <v>66</v>
      </c>
      <c r="Q2" s="28" t="s">
        <v>67</v>
      </c>
      <c r="R2" s="30" t="s">
        <v>71</v>
      </c>
      <c r="S2" s="28" t="s">
        <v>72</v>
      </c>
      <c r="T2" s="28" t="s">
        <v>73</v>
      </c>
      <c r="U2" s="28" t="s">
        <v>74</v>
      </c>
      <c r="V2" s="28" t="s">
        <v>54</v>
      </c>
      <c r="W2" s="28" t="s">
        <v>55</v>
      </c>
      <c r="X2" s="28" t="s">
        <v>56</v>
      </c>
      <c r="Y2" s="28" t="s">
        <v>70</v>
      </c>
      <c r="Z2" s="28" t="s">
        <v>69</v>
      </c>
      <c r="AA2" s="28" t="s">
        <v>57</v>
      </c>
      <c r="AB2" s="37" t="s">
        <v>91</v>
      </c>
      <c r="AC2" s="29" t="s">
        <v>47</v>
      </c>
      <c r="AD2" s="29" t="s">
        <v>46</v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</row>
    <row r="3" spans="1:54" ht="15.75" x14ac:dyDescent="0.25">
      <c r="A3">
        <v>1</v>
      </c>
      <c r="B3" s="24">
        <v>572</v>
      </c>
      <c r="C3" s="43" t="s">
        <v>143</v>
      </c>
      <c r="D3" s="43" t="s">
        <v>143</v>
      </c>
      <c r="E3" s="43" t="s">
        <v>143</v>
      </c>
      <c r="F3" s="43" t="s">
        <v>143</v>
      </c>
      <c r="G3" s="43" t="s">
        <v>143</v>
      </c>
      <c r="H3" s="43" t="s">
        <v>143</v>
      </c>
      <c r="I3" s="43" t="s">
        <v>143</v>
      </c>
      <c r="J3" s="43" t="s">
        <v>143</v>
      </c>
      <c r="K3" s="43" t="s">
        <v>143</v>
      </c>
      <c r="L3" s="43">
        <v>139.99199999999999</v>
      </c>
      <c r="M3" s="43">
        <v>25</v>
      </c>
      <c r="N3" s="43">
        <v>0</v>
      </c>
      <c r="O3" s="43">
        <v>28.574999999999999</v>
      </c>
      <c r="P3" s="43">
        <v>0</v>
      </c>
      <c r="Q3" s="43">
        <v>-150</v>
      </c>
      <c r="R3" s="43"/>
      <c r="S3" s="43"/>
      <c r="T3" s="43"/>
      <c r="U3" s="43"/>
      <c r="V3" s="43"/>
      <c r="W3" s="43"/>
      <c r="X3" s="43"/>
      <c r="Y3" s="43"/>
      <c r="Z3" s="43"/>
      <c r="AA3" s="43"/>
      <c r="AB3" s="43" t="s">
        <v>193</v>
      </c>
      <c r="AC3" s="34">
        <v>40476</v>
      </c>
      <c r="AD3" s="15">
        <v>5</v>
      </c>
      <c r="AE3" s="56"/>
      <c r="AF3" s="56"/>
      <c r="AG3" s="56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</row>
    <row r="4" spans="1:54" ht="15.75" x14ac:dyDescent="0.25">
      <c r="A4">
        <v>2</v>
      </c>
      <c r="B4" s="24">
        <v>580</v>
      </c>
      <c r="C4" s="43">
        <v>82.55</v>
      </c>
      <c r="D4" s="65">
        <v>0</v>
      </c>
      <c r="E4" s="65">
        <v>-20</v>
      </c>
      <c r="F4" s="65">
        <v>36.097999999999999</v>
      </c>
      <c r="G4" s="65">
        <v>0</v>
      </c>
      <c r="H4" s="65">
        <v>-200</v>
      </c>
      <c r="I4" s="43" t="s">
        <v>143</v>
      </c>
      <c r="J4" s="43" t="s">
        <v>143</v>
      </c>
      <c r="K4" s="43" t="s">
        <v>143</v>
      </c>
      <c r="L4" s="43" t="s">
        <v>143</v>
      </c>
      <c r="M4" s="43" t="s">
        <v>143</v>
      </c>
      <c r="N4" s="43" t="s">
        <v>143</v>
      </c>
      <c r="O4" s="43" t="s">
        <v>143</v>
      </c>
      <c r="P4" s="43" t="s">
        <v>143</v>
      </c>
      <c r="Q4" s="43" t="s">
        <v>143</v>
      </c>
      <c r="R4" s="43"/>
      <c r="S4" s="43"/>
      <c r="T4" s="43"/>
      <c r="U4" s="43"/>
      <c r="V4" s="43"/>
      <c r="W4" s="43"/>
      <c r="X4" s="43"/>
      <c r="Y4" s="43"/>
      <c r="Z4" s="43"/>
      <c r="AA4" s="43"/>
      <c r="AB4" s="43" t="s">
        <v>183</v>
      </c>
      <c r="AC4" s="34">
        <v>40476</v>
      </c>
      <c r="AD4" s="15">
        <v>5</v>
      </c>
      <c r="AE4" s="57"/>
      <c r="AF4" s="57"/>
      <c r="AG4" s="57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</row>
    <row r="5" spans="1:54" x14ac:dyDescent="0.2">
      <c r="A5">
        <v>3</v>
      </c>
      <c r="B5" s="24">
        <v>15123</v>
      </c>
      <c r="C5" s="43">
        <v>31.75</v>
      </c>
      <c r="D5" s="43"/>
      <c r="E5" s="43"/>
      <c r="F5" s="43">
        <v>19.05</v>
      </c>
      <c r="G5" s="43"/>
      <c r="H5" s="43"/>
      <c r="I5" s="43" t="s">
        <v>143</v>
      </c>
      <c r="J5" s="43" t="s">
        <v>143</v>
      </c>
      <c r="K5" s="43" t="s">
        <v>143</v>
      </c>
      <c r="L5" s="43" t="s">
        <v>143</v>
      </c>
      <c r="M5" s="43" t="s">
        <v>143</v>
      </c>
      <c r="N5" s="43" t="s">
        <v>143</v>
      </c>
      <c r="O5" s="43" t="s">
        <v>143</v>
      </c>
      <c r="P5" s="43" t="s">
        <v>143</v>
      </c>
      <c r="Q5" s="43" t="s">
        <v>143</v>
      </c>
      <c r="R5" s="43"/>
      <c r="S5" s="43"/>
      <c r="T5" s="43"/>
      <c r="U5" s="43"/>
      <c r="V5" s="43"/>
      <c r="W5" s="43"/>
      <c r="X5" s="43"/>
      <c r="Y5" s="43"/>
      <c r="Z5" s="43"/>
      <c r="AA5" s="43"/>
      <c r="AB5" s="43" t="s">
        <v>181</v>
      </c>
      <c r="AC5" s="34">
        <v>40476</v>
      </c>
      <c r="AD5" s="15">
        <v>5</v>
      </c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</row>
    <row r="6" spans="1:54" ht="14.25" customHeight="1" x14ac:dyDescent="0.2">
      <c r="A6">
        <v>4</v>
      </c>
      <c r="B6" s="24">
        <v>15245</v>
      </c>
      <c r="C6" s="43" t="s">
        <v>143</v>
      </c>
      <c r="D6" s="43" t="s">
        <v>143</v>
      </c>
      <c r="E6" s="43" t="s">
        <v>143</v>
      </c>
      <c r="F6" s="43" t="s">
        <v>143</v>
      </c>
      <c r="G6" s="43" t="s">
        <v>143</v>
      </c>
      <c r="H6" s="43" t="s">
        <v>143</v>
      </c>
      <c r="I6" s="43" t="s">
        <v>143</v>
      </c>
      <c r="J6" s="43" t="s">
        <v>143</v>
      </c>
      <c r="K6" s="43" t="s">
        <v>143</v>
      </c>
      <c r="L6" s="43">
        <v>62</v>
      </c>
      <c r="M6" s="43">
        <v>0</v>
      </c>
      <c r="N6" s="43">
        <v>-16</v>
      </c>
      <c r="O6" s="43">
        <v>14.288</v>
      </c>
      <c r="P6" s="43">
        <v>0</v>
      </c>
      <c r="Q6" s="43">
        <v>-120</v>
      </c>
      <c r="R6" s="43"/>
      <c r="S6" s="43"/>
      <c r="T6" s="43"/>
      <c r="U6" s="43"/>
      <c r="V6" s="43"/>
      <c r="W6" s="43"/>
      <c r="X6" s="43"/>
      <c r="Y6" s="43"/>
      <c r="Z6" s="43"/>
      <c r="AA6" s="43"/>
      <c r="AB6" s="43" t="s">
        <v>185</v>
      </c>
      <c r="AC6" s="34">
        <v>40476</v>
      </c>
      <c r="AD6" s="15">
        <v>5</v>
      </c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</row>
    <row r="7" spans="1:54" x14ac:dyDescent="0.2">
      <c r="A7">
        <v>5</v>
      </c>
      <c r="B7" s="24">
        <v>25521</v>
      </c>
      <c r="C7" s="43" t="s">
        <v>143</v>
      </c>
      <c r="D7" s="43" t="s">
        <v>143</v>
      </c>
      <c r="E7" s="43" t="s">
        <v>143</v>
      </c>
      <c r="F7" s="43" t="s">
        <v>143</v>
      </c>
      <c r="G7" s="43" t="s">
        <v>143</v>
      </c>
      <c r="H7" s="43" t="s">
        <v>143</v>
      </c>
      <c r="I7" s="43" t="s">
        <v>143</v>
      </c>
      <c r="J7" s="43" t="s">
        <v>143</v>
      </c>
      <c r="K7" s="43" t="s">
        <v>143</v>
      </c>
      <c r="L7" s="43">
        <v>83.05</v>
      </c>
      <c r="M7" s="43">
        <v>0</v>
      </c>
      <c r="N7" s="43">
        <v>-18</v>
      </c>
      <c r="O7" s="43">
        <v>19.05</v>
      </c>
      <c r="P7" s="43">
        <v>0</v>
      </c>
      <c r="Q7" s="43">
        <v>-200</v>
      </c>
      <c r="R7" s="43"/>
      <c r="S7" s="43"/>
      <c r="T7" s="43"/>
      <c r="U7" s="43"/>
      <c r="V7" s="43"/>
      <c r="W7" s="43"/>
      <c r="X7" s="43"/>
      <c r="Y7" s="43"/>
      <c r="Z7" s="43"/>
      <c r="AA7" s="43"/>
      <c r="AB7" s="43" t="s">
        <v>216</v>
      </c>
      <c r="AC7" s="34">
        <v>40476</v>
      </c>
      <c r="AD7" s="15">
        <v>5</v>
      </c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</row>
    <row r="8" spans="1:54" x14ac:dyDescent="0.2">
      <c r="A8">
        <v>6</v>
      </c>
      <c r="B8" s="24">
        <v>29620</v>
      </c>
      <c r="C8" s="41" t="s">
        <v>143</v>
      </c>
      <c r="D8" s="42" t="s">
        <v>143</v>
      </c>
      <c r="E8" s="43" t="s">
        <v>143</v>
      </c>
      <c r="F8" s="43" t="s">
        <v>143</v>
      </c>
      <c r="G8" s="43" t="s">
        <v>143</v>
      </c>
      <c r="H8" s="43" t="s">
        <v>143</v>
      </c>
      <c r="I8" s="43" t="s">
        <v>143</v>
      </c>
      <c r="J8" s="43" t="s">
        <v>143</v>
      </c>
      <c r="K8" s="43" t="s">
        <v>143</v>
      </c>
      <c r="L8" s="43">
        <v>112.712</v>
      </c>
      <c r="M8" s="43">
        <v>0</v>
      </c>
      <c r="N8" s="43">
        <v>-18</v>
      </c>
      <c r="O8" s="43">
        <v>19.05</v>
      </c>
      <c r="P8" s="43">
        <v>0</v>
      </c>
      <c r="Q8" s="43">
        <v>-150</v>
      </c>
      <c r="R8" s="43"/>
      <c r="S8" s="43"/>
      <c r="T8" s="43"/>
      <c r="U8" s="43"/>
      <c r="V8" s="43"/>
      <c r="W8" s="43"/>
      <c r="X8" s="43"/>
      <c r="Y8" s="43"/>
      <c r="Z8" s="43"/>
      <c r="AA8" s="43"/>
      <c r="AB8" s="43" t="s">
        <v>142</v>
      </c>
      <c r="AC8" s="34">
        <v>40476</v>
      </c>
      <c r="AD8" s="15">
        <v>5</v>
      </c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</row>
    <row r="9" spans="1:54" ht="15.75" customHeight="1" x14ac:dyDescent="0.2">
      <c r="A9">
        <v>7</v>
      </c>
      <c r="B9" s="24">
        <v>29685</v>
      </c>
      <c r="C9" s="43">
        <v>73.025000000000006</v>
      </c>
      <c r="D9" s="43">
        <v>0</v>
      </c>
      <c r="E9" s="43">
        <v>-15</v>
      </c>
      <c r="F9" s="43">
        <v>25.4</v>
      </c>
      <c r="G9" s="43">
        <v>0</v>
      </c>
      <c r="H9" s="43">
        <v>-150</v>
      </c>
      <c r="I9" s="43" t="s">
        <v>143</v>
      </c>
      <c r="J9" s="43" t="s">
        <v>143</v>
      </c>
      <c r="K9" s="43" t="s">
        <v>143</v>
      </c>
      <c r="L9" s="43" t="s">
        <v>143</v>
      </c>
      <c r="M9" s="43" t="s">
        <v>143</v>
      </c>
      <c r="N9" s="43" t="s">
        <v>143</v>
      </c>
      <c r="O9" s="43" t="s">
        <v>143</v>
      </c>
      <c r="P9" s="43" t="s">
        <v>143</v>
      </c>
      <c r="Q9" s="43" t="s">
        <v>143</v>
      </c>
      <c r="R9" s="43"/>
      <c r="S9" s="43"/>
      <c r="T9" s="43"/>
      <c r="U9" s="43"/>
      <c r="V9" s="43"/>
      <c r="W9" s="43"/>
      <c r="X9" s="43"/>
      <c r="Y9" s="43"/>
      <c r="Z9" s="43"/>
      <c r="AA9" s="43"/>
      <c r="AB9" s="43" t="s">
        <v>180</v>
      </c>
      <c r="AC9" s="34">
        <v>40476</v>
      </c>
      <c r="AD9" s="15">
        <v>5</v>
      </c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</row>
    <row r="10" spans="1:54" ht="15.75" customHeight="1" x14ac:dyDescent="0.2">
      <c r="A10">
        <v>8</v>
      </c>
      <c r="B10" s="24">
        <v>29685</v>
      </c>
      <c r="C10" s="15">
        <v>73.025000000000006</v>
      </c>
      <c r="D10" s="15">
        <v>13</v>
      </c>
      <c r="E10" s="15">
        <v>0</v>
      </c>
      <c r="F10" s="15">
        <v>25.4</v>
      </c>
      <c r="G10" s="15">
        <v>0</v>
      </c>
      <c r="H10" s="15">
        <v>-150</v>
      </c>
      <c r="I10" s="15" t="s">
        <v>143</v>
      </c>
      <c r="J10" s="15" t="s">
        <v>143</v>
      </c>
      <c r="K10" s="15" t="s">
        <v>143</v>
      </c>
      <c r="L10" s="43">
        <v>110</v>
      </c>
      <c r="M10" s="43">
        <v>0</v>
      </c>
      <c r="N10" s="43">
        <v>-18</v>
      </c>
      <c r="O10" s="43">
        <v>24</v>
      </c>
      <c r="P10" s="43">
        <v>0</v>
      </c>
      <c r="Q10" s="43">
        <v>-150</v>
      </c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 t="s">
        <v>180</v>
      </c>
      <c r="AC10" s="34">
        <v>40476</v>
      </c>
      <c r="AD10" s="15">
        <v>5</v>
      </c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</row>
    <row r="11" spans="1:54" x14ac:dyDescent="0.2">
      <c r="A11">
        <v>9</v>
      </c>
      <c r="B11" s="24">
        <v>30204</v>
      </c>
      <c r="C11" s="15">
        <v>20</v>
      </c>
      <c r="D11" s="15">
        <v>0</v>
      </c>
      <c r="E11" s="15">
        <v>-12</v>
      </c>
      <c r="F11" s="15">
        <v>14</v>
      </c>
      <c r="G11" s="15">
        <v>0</v>
      </c>
      <c r="H11" s="15">
        <v>-120</v>
      </c>
      <c r="I11" s="15">
        <v>15.25</v>
      </c>
      <c r="J11" s="15">
        <v>200</v>
      </c>
      <c r="K11" s="15">
        <v>0</v>
      </c>
      <c r="L11" s="15">
        <v>47</v>
      </c>
      <c r="M11" s="15">
        <v>0</v>
      </c>
      <c r="N11" s="15">
        <v>-14</v>
      </c>
      <c r="O11" s="15">
        <v>12</v>
      </c>
      <c r="P11" s="15">
        <v>0</v>
      </c>
      <c r="Q11" s="15">
        <v>-120</v>
      </c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40"/>
      <c r="AC11" s="34">
        <v>40476</v>
      </c>
      <c r="AD11" s="15">
        <v>5</v>
      </c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</row>
    <row r="12" spans="1:54" ht="25.5" x14ac:dyDescent="0.2">
      <c r="A12">
        <v>10</v>
      </c>
      <c r="B12" s="24">
        <v>30206</v>
      </c>
      <c r="C12" s="41">
        <v>30</v>
      </c>
      <c r="D12" s="42">
        <v>0</v>
      </c>
      <c r="E12" s="43">
        <v>-12</v>
      </c>
      <c r="F12" s="43">
        <v>16</v>
      </c>
      <c r="G12" s="43">
        <v>0</v>
      </c>
      <c r="H12" s="43">
        <v>-120</v>
      </c>
      <c r="I12" s="43">
        <v>17.25</v>
      </c>
      <c r="J12" s="43">
        <v>200</v>
      </c>
      <c r="K12" s="43">
        <v>0</v>
      </c>
      <c r="L12" s="43">
        <v>62</v>
      </c>
      <c r="M12" s="43">
        <v>0</v>
      </c>
      <c r="N12" s="43">
        <v>-16</v>
      </c>
      <c r="O12" s="43">
        <v>14</v>
      </c>
      <c r="P12" s="43">
        <v>0</v>
      </c>
      <c r="Q12" s="43">
        <v>-120</v>
      </c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7" t="s">
        <v>190</v>
      </c>
      <c r="AC12" s="34">
        <v>40476</v>
      </c>
      <c r="AD12" s="15">
        <v>5</v>
      </c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</row>
    <row r="13" spans="1:54" x14ac:dyDescent="0.2">
      <c r="A13">
        <v>11</v>
      </c>
      <c r="B13" s="24">
        <v>30207</v>
      </c>
      <c r="C13" s="41">
        <v>35</v>
      </c>
      <c r="D13" s="42">
        <v>0</v>
      </c>
      <c r="E13" s="43">
        <v>-12</v>
      </c>
      <c r="F13" s="43">
        <v>17</v>
      </c>
      <c r="G13" s="43">
        <v>0</v>
      </c>
      <c r="H13" s="43">
        <v>-120</v>
      </c>
      <c r="I13" s="43">
        <v>18.25</v>
      </c>
      <c r="J13" s="43">
        <v>200</v>
      </c>
      <c r="K13" s="43">
        <v>0</v>
      </c>
      <c r="L13" s="43">
        <v>72</v>
      </c>
      <c r="M13" s="43">
        <v>0</v>
      </c>
      <c r="N13" s="43">
        <v>-16</v>
      </c>
      <c r="O13" s="43">
        <v>15</v>
      </c>
      <c r="P13" s="43">
        <v>0</v>
      </c>
      <c r="Q13" s="43">
        <v>-120</v>
      </c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 t="s">
        <v>112</v>
      </c>
      <c r="AC13" s="34">
        <v>40476</v>
      </c>
      <c r="AD13" s="15">
        <v>5</v>
      </c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</row>
    <row r="14" spans="1:54" ht="25.5" x14ac:dyDescent="0.2">
      <c r="A14">
        <v>12</v>
      </c>
      <c r="B14" s="53">
        <v>30209</v>
      </c>
      <c r="C14" s="46">
        <v>45</v>
      </c>
      <c r="D14" s="42">
        <v>0</v>
      </c>
      <c r="E14" s="42">
        <v>-12</v>
      </c>
      <c r="F14" s="42">
        <v>19</v>
      </c>
      <c r="G14" s="42">
        <v>0</v>
      </c>
      <c r="H14" s="42">
        <v>-120</v>
      </c>
      <c r="I14" s="42">
        <v>20.75</v>
      </c>
      <c r="J14" s="42">
        <v>200</v>
      </c>
      <c r="K14" s="42">
        <v>0</v>
      </c>
      <c r="L14" s="42">
        <v>85</v>
      </c>
      <c r="M14" s="42">
        <v>0</v>
      </c>
      <c r="N14" s="42">
        <v>-18</v>
      </c>
      <c r="O14" s="42">
        <v>16</v>
      </c>
      <c r="P14" s="42">
        <v>0</v>
      </c>
      <c r="Q14" s="42">
        <v>-120</v>
      </c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7" t="s">
        <v>187</v>
      </c>
      <c r="AC14" s="34">
        <v>40476</v>
      </c>
      <c r="AD14" s="15">
        <v>5</v>
      </c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</row>
    <row r="15" spans="1:54" ht="25.5" x14ac:dyDescent="0.2">
      <c r="A15">
        <v>13</v>
      </c>
      <c r="B15" s="24">
        <v>30210</v>
      </c>
      <c r="C15" s="41">
        <v>50</v>
      </c>
      <c r="D15" s="42">
        <v>0</v>
      </c>
      <c r="E15" s="43">
        <v>-12</v>
      </c>
      <c r="F15" s="43">
        <v>20</v>
      </c>
      <c r="G15" s="43">
        <v>0</v>
      </c>
      <c r="H15" s="43">
        <v>-120</v>
      </c>
      <c r="I15" s="43">
        <v>21.75</v>
      </c>
      <c r="J15" s="43">
        <v>200</v>
      </c>
      <c r="K15" s="43">
        <v>0</v>
      </c>
      <c r="L15" s="43">
        <v>90</v>
      </c>
      <c r="M15" s="43">
        <v>0</v>
      </c>
      <c r="N15" s="43">
        <v>-18</v>
      </c>
      <c r="O15" s="43">
        <v>17</v>
      </c>
      <c r="P15" s="43">
        <v>0</v>
      </c>
      <c r="Q15" s="43">
        <v>-120</v>
      </c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7" t="s">
        <v>111</v>
      </c>
      <c r="AC15" s="34">
        <v>40476</v>
      </c>
      <c r="AD15" s="15">
        <v>5</v>
      </c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</row>
    <row r="16" spans="1:54" x14ac:dyDescent="0.2">
      <c r="A16">
        <v>14</v>
      </c>
      <c r="B16" s="24">
        <v>30211</v>
      </c>
      <c r="C16" s="43">
        <v>55</v>
      </c>
      <c r="D16" s="43">
        <v>0</v>
      </c>
      <c r="E16" s="43">
        <v>-15</v>
      </c>
      <c r="F16" s="43">
        <v>21</v>
      </c>
      <c r="G16" s="43">
        <v>0</v>
      </c>
      <c r="H16" s="43">
        <v>-150</v>
      </c>
      <c r="I16" s="15">
        <v>22.75</v>
      </c>
      <c r="J16" s="15">
        <v>200</v>
      </c>
      <c r="K16" s="15">
        <v>0</v>
      </c>
      <c r="L16" s="43">
        <v>100</v>
      </c>
      <c r="M16" s="43">
        <v>0</v>
      </c>
      <c r="N16" s="43">
        <v>-18</v>
      </c>
      <c r="O16" s="43">
        <v>18</v>
      </c>
      <c r="P16" s="43">
        <v>0</v>
      </c>
      <c r="Q16" s="43">
        <v>-150</v>
      </c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 t="s">
        <v>321</v>
      </c>
      <c r="AC16" s="34">
        <v>40519</v>
      </c>
      <c r="AD16" s="15">
        <v>5</v>
      </c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"/>
      <c r="AV16" s="4"/>
      <c r="AW16" s="4"/>
      <c r="AX16" s="4"/>
      <c r="AY16" s="4"/>
      <c r="AZ16" s="4"/>
      <c r="BA16" s="4"/>
      <c r="BB16" s="4"/>
    </row>
    <row r="17" spans="1:54" x14ac:dyDescent="0.2">
      <c r="A17">
        <v>15</v>
      </c>
      <c r="B17" s="24">
        <v>30213</v>
      </c>
      <c r="C17" s="15">
        <v>65</v>
      </c>
      <c r="D17" s="15">
        <v>0</v>
      </c>
      <c r="E17" s="15">
        <v>-15</v>
      </c>
      <c r="F17" s="15">
        <v>23</v>
      </c>
      <c r="G17" s="15">
        <v>0</v>
      </c>
      <c r="H17" s="15">
        <v>-150</v>
      </c>
      <c r="I17" s="15">
        <v>24.75</v>
      </c>
      <c r="J17" s="15">
        <v>200</v>
      </c>
      <c r="K17" s="15">
        <v>0</v>
      </c>
      <c r="L17" s="15">
        <v>120</v>
      </c>
      <c r="M17" s="15">
        <v>0</v>
      </c>
      <c r="N17" s="15">
        <v>-18</v>
      </c>
      <c r="O17" s="15">
        <v>20</v>
      </c>
      <c r="P17" s="15">
        <v>0</v>
      </c>
      <c r="Q17" s="15">
        <v>-150</v>
      </c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40"/>
      <c r="AC17" s="34">
        <v>40476</v>
      </c>
      <c r="AD17" s="15">
        <v>5</v>
      </c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"/>
      <c r="AV17" s="4"/>
      <c r="AW17" s="4"/>
      <c r="AX17" s="4"/>
      <c r="AY17" s="4"/>
      <c r="AZ17" s="4"/>
      <c r="BA17" s="4"/>
      <c r="BB17" s="4"/>
    </row>
    <row r="18" spans="1:54" ht="25.5" x14ac:dyDescent="0.2">
      <c r="A18">
        <v>16</v>
      </c>
      <c r="B18" s="24">
        <v>30214</v>
      </c>
      <c r="C18" s="43">
        <v>70</v>
      </c>
      <c r="D18" s="43">
        <v>0</v>
      </c>
      <c r="E18" s="43">
        <v>-15</v>
      </c>
      <c r="F18" s="43">
        <v>24</v>
      </c>
      <c r="G18" s="43">
        <v>0</v>
      </c>
      <c r="H18" s="43">
        <v>-150</v>
      </c>
      <c r="I18" s="43">
        <v>26.25</v>
      </c>
      <c r="J18" s="43">
        <v>200</v>
      </c>
      <c r="K18" s="43">
        <v>0</v>
      </c>
      <c r="L18" s="43">
        <v>125</v>
      </c>
      <c r="M18" s="43">
        <v>0</v>
      </c>
      <c r="N18" s="43">
        <v>-20</v>
      </c>
      <c r="O18" s="43">
        <v>21</v>
      </c>
      <c r="P18" s="43">
        <v>0</v>
      </c>
      <c r="Q18" s="43">
        <v>-150</v>
      </c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7" t="s">
        <v>178</v>
      </c>
      <c r="AC18" s="34">
        <v>40476</v>
      </c>
      <c r="AD18" s="15">
        <v>5</v>
      </c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"/>
      <c r="AV18" s="4"/>
      <c r="AW18" s="4"/>
      <c r="AX18" s="4"/>
      <c r="AY18" s="4"/>
      <c r="AZ18" s="4"/>
      <c r="BA18" s="4"/>
      <c r="BB18" s="4"/>
    </row>
    <row r="19" spans="1:54" x14ac:dyDescent="0.2">
      <c r="A19">
        <v>17</v>
      </c>
      <c r="B19" s="24">
        <v>31520</v>
      </c>
      <c r="C19" s="43" t="s">
        <v>143</v>
      </c>
      <c r="D19" s="43" t="s">
        <v>143</v>
      </c>
      <c r="E19" s="43" t="s">
        <v>143</v>
      </c>
      <c r="F19" s="43" t="s">
        <v>143</v>
      </c>
      <c r="G19" s="43" t="s">
        <v>143</v>
      </c>
      <c r="H19" s="43" t="s">
        <v>143</v>
      </c>
      <c r="I19" s="43" t="s">
        <v>143</v>
      </c>
      <c r="J19" s="43" t="s">
        <v>143</v>
      </c>
      <c r="K19" s="43" t="s">
        <v>143</v>
      </c>
      <c r="L19" s="43">
        <v>76.2</v>
      </c>
      <c r="M19" s="43">
        <v>0</v>
      </c>
      <c r="N19" s="43">
        <v>-16</v>
      </c>
      <c r="O19" s="43">
        <v>23.812000000000001</v>
      </c>
      <c r="P19" s="43">
        <v>0</v>
      </c>
      <c r="Q19" s="43">
        <v>-120</v>
      </c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 t="s">
        <v>186</v>
      </c>
      <c r="AC19" s="34">
        <v>40476</v>
      </c>
      <c r="AD19" s="15">
        <v>5</v>
      </c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"/>
      <c r="AV19" s="4"/>
      <c r="AW19" s="4"/>
      <c r="AX19" s="4"/>
      <c r="AY19" s="4"/>
      <c r="AZ19" s="4"/>
      <c r="BA19" s="4"/>
      <c r="BB19" s="4"/>
    </row>
    <row r="20" spans="1:54" x14ac:dyDescent="0.2">
      <c r="A20">
        <v>18</v>
      </c>
      <c r="B20" s="24">
        <v>31594</v>
      </c>
      <c r="C20" s="43">
        <v>34.924999999999997</v>
      </c>
      <c r="D20" s="43">
        <v>0</v>
      </c>
      <c r="E20" s="43">
        <v>-12</v>
      </c>
      <c r="F20" s="43">
        <v>28.574999999999999</v>
      </c>
      <c r="G20" s="43">
        <v>0</v>
      </c>
      <c r="H20" s="43">
        <v>-120</v>
      </c>
      <c r="I20" s="43" t="s">
        <v>143</v>
      </c>
      <c r="J20" s="43" t="s">
        <v>143</v>
      </c>
      <c r="K20" s="43" t="s">
        <v>143</v>
      </c>
      <c r="L20" s="43" t="s">
        <v>143</v>
      </c>
      <c r="M20" s="43" t="s">
        <v>143</v>
      </c>
      <c r="N20" s="43" t="s">
        <v>143</v>
      </c>
      <c r="O20" s="43" t="s">
        <v>143</v>
      </c>
      <c r="P20" s="43" t="s">
        <v>143</v>
      </c>
      <c r="Q20" s="43" t="s">
        <v>143</v>
      </c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 t="s">
        <v>179</v>
      </c>
      <c r="AC20" s="34">
        <v>40476</v>
      </c>
      <c r="AD20" s="15">
        <v>5</v>
      </c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"/>
      <c r="AV20" s="4"/>
      <c r="AW20" s="4"/>
      <c r="AX20" s="4"/>
      <c r="AY20" s="4"/>
      <c r="AZ20" s="4"/>
      <c r="BA20" s="4"/>
      <c r="BB20" s="4"/>
    </row>
    <row r="21" spans="1:54" x14ac:dyDescent="0.2">
      <c r="A21">
        <v>19</v>
      </c>
      <c r="B21" s="24">
        <v>32011</v>
      </c>
      <c r="C21" s="15">
        <v>55</v>
      </c>
      <c r="D21" s="15">
        <v>0</v>
      </c>
      <c r="E21" s="15">
        <v>-15</v>
      </c>
      <c r="F21" s="15">
        <v>23</v>
      </c>
      <c r="G21" s="15">
        <v>0</v>
      </c>
      <c r="H21" s="15">
        <v>-150</v>
      </c>
      <c r="I21" s="15">
        <v>23</v>
      </c>
      <c r="J21" s="15">
        <v>200</v>
      </c>
      <c r="K21" s="15">
        <v>0</v>
      </c>
      <c r="L21" s="15">
        <v>90</v>
      </c>
      <c r="M21" s="15">
        <v>0</v>
      </c>
      <c r="N21" s="15">
        <v>-18</v>
      </c>
      <c r="O21" s="15">
        <v>17.5</v>
      </c>
      <c r="P21" s="15">
        <v>0</v>
      </c>
      <c r="Q21" s="15">
        <v>-150</v>
      </c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40" t="s">
        <v>217</v>
      </c>
      <c r="AC21" s="34">
        <v>40476</v>
      </c>
      <c r="AD21" s="15">
        <v>5</v>
      </c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"/>
      <c r="AV21" s="4"/>
      <c r="AW21" s="4"/>
      <c r="AX21" s="4"/>
      <c r="AY21" s="4"/>
      <c r="AZ21" s="4"/>
      <c r="BA21" s="4"/>
      <c r="BB21" s="4"/>
    </row>
    <row r="22" spans="1:54" ht="25.5" x14ac:dyDescent="0.2">
      <c r="A22">
        <v>20</v>
      </c>
      <c r="B22" s="24">
        <v>32210</v>
      </c>
      <c r="C22" s="41">
        <v>50</v>
      </c>
      <c r="D22" s="42">
        <v>0</v>
      </c>
      <c r="E22" s="43">
        <v>-12</v>
      </c>
      <c r="F22" s="43">
        <v>23</v>
      </c>
      <c r="G22" s="43">
        <v>0</v>
      </c>
      <c r="H22" s="43">
        <v>-120</v>
      </c>
      <c r="I22" s="43">
        <v>24.75</v>
      </c>
      <c r="J22" s="43">
        <v>200</v>
      </c>
      <c r="K22" s="43">
        <v>0</v>
      </c>
      <c r="L22" s="43">
        <v>90</v>
      </c>
      <c r="M22" s="43">
        <v>0</v>
      </c>
      <c r="N22" s="43">
        <v>-14</v>
      </c>
      <c r="O22" s="43">
        <v>19</v>
      </c>
      <c r="P22" s="43">
        <v>0</v>
      </c>
      <c r="Q22" s="43">
        <v>-120</v>
      </c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7" t="s">
        <v>162</v>
      </c>
      <c r="AC22" s="34">
        <v>40476</v>
      </c>
      <c r="AD22" s="15">
        <v>5</v>
      </c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"/>
      <c r="AV22" s="4"/>
      <c r="AW22" s="4"/>
      <c r="AX22" s="4"/>
      <c r="AY22" s="4"/>
      <c r="AZ22" s="4"/>
      <c r="BA22" s="4"/>
      <c r="BB22" s="4"/>
    </row>
    <row r="23" spans="1:54" x14ac:dyDescent="0.2">
      <c r="A23">
        <v>21</v>
      </c>
      <c r="B23" s="24">
        <v>32211</v>
      </c>
      <c r="C23" s="15">
        <v>55</v>
      </c>
      <c r="D23" s="15">
        <v>0</v>
      </c>
      <c r="E23" s="15">
        <v>-15</v>
      </c>
      <c r="F23" s="15">
        <v>25</v>
      </c>
      <c r="G23" s="15">
        <v>0</v>
      </c>
      <c r="H23" s="15">
        <v>-150</v>
      </c>
      <c r="I23" s="15">
        <v>26.75</v>
      </c>
      <c r="J23" s="15">
        <v>200</v>
      </c>
      <c r="K23" s="15">
        <v>0</v>
      </c>
      <c r="L23" s="15">
        <v>100</v>
      </c>
      <c r="M23" s="15">
        <v>0</v>
      </c>
      <c r="N23" s="15">
        <v>-18</v>
      </c>
      <c r="O23" s="15">
        <v>21</v>
      </c>
      <c r="P23" s="15">
        <v>0</v>
      </c>
      <c r="Q23" s="15">
        <v>-150</v>
      </c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40" t="s">
        <v>228</v>
      </c>
      <c r="AC23" s="34">
        <v>40476</v>
      </c>
      <c r="AD23" s="15">
        <v>5</v>
      </c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"/>
      <c r="AV23" s="4"/>
      <c r="AW23" s="4"/>
      <c r="AX23" s="4"/>
      <c r="AY23" s="4"/>
      <c r="AZ23" s="4"/>
      <c r="BA23" s="4"/>
      <c r="BB23" s="4"/>
    </row>
    <row r="24" spans="1:54" ht="25.5" x14ac:dyDescent="0.2">
      <c r="A24">
        <v>22</v>
      </c>
      <c r="B24" s="48">
        <v>32212</v>
      </c>
      <c r="C24" s="41">
        <v>60</v>
      </c>
      <c r="D24" s="42">
        <v>0</v>
      </c>
      <c r="E24" s="43">
        <v>-15</v>
      </c>
      <c r="F24" s="43">
        <v>28</v>
      </c>
      <c r="G24" s="43">
        <v>0</v>
      </c>
      <c r="H24" s="43">
        <v>-150</v>
      </c>
      <c r="I24" s="43">
        <v>29.75</v>
      </c>
      <c r="J24" s="43">
        <v>200</v>
      </c>
      <c r="K24" s="43">
        <v>0</v>
      </c>
      <c r="L24" s="43">
        <v>110</v>
      </c>
      <c r="M24" s="43">
        <v>0</v>
      </c>
      <c r="N24" s="43">
        <v>-18</v>
      </c>
      <c r="O24" s="43">
        <v>24</v>
      </c>
      <c r="P24" s="43">
        <v>0</v>
      </c>
      <c r="Q24" s="43">
        <v>-150</v>
      </c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7" t="s">
        <v>110</v>
      </c>
      <c r="AC24" s="34">
        <v>40476</v>
      </c>
      <c r="AD24" s="15">
        <v>5</v>
      </c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"/>
      <c r="AV24" s="4"/>
      <c r="AW24" s="4"/>
      <c r="AX24" s="4"/>
      <c r="AY24" s="4"/>
      <c r="AZ24" s="4"/>
      <c r="BA24" s="4"/>
      <c r="BB24" s="4"/>
    </row>
    <row r="25" spans="1:54" ht="25.5" x14ac:dyDescent="0.2">
      <c r="A25">
        <v>23</v>
      </c>
      <c r="B25" s="24">
        <v>32213</v>
      </c>
      <c r="C25" s="41">
        <v>65</v>
      </c>
      <c r="D25" s="42">
        <v>0</v>
      </c>
      <c r="E25" s="43">
        <v>-15</v>
      </c>
      <c r="F25" s="43">
        <v>31</v>
      </c>
      <c r="G25" s="43">
        <v>0</v>
      </c>
      <c r="H25" s="43">
        <v>-150</v>
      </c>
      <c r="I25" s="43">
        <v>32.75</v>
      </c>
      <c r="J25" s="43">
        <v>200</v>
      </c>
      <c r="K25" s="43">
        <v>0</v>
      </c>
      <c r="L25" s="43">
        <v>120</v>
      </c>
      <c r="M25" s="43">
        <v>0</v>
      </c>
      <c r="N25" s="43">
        <v>-18</v>
      </c>
      <c r="O25" s="43">
        <v>27</v>
      </c>
      <c r="P25" s="43">
        <v>0</v>
      </c>
      <c r="Q25" s="43">
        <v>-150</v>
      </c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7" t="s">
        <v>177</v>
      </c>
      <c r="AC25" s="34">
        <v>40476</v>
      </c>
      <c r="AD25" s="15">
        <v>5</v>
      </c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"/>
      <c r="AV25" s="4"/>
      <c r="AW25" s="4"/>
      <c r="AX25" s="4"/>
      <c r="AY25" s="4"/>
      <c r="AZ25" s="4"/>
      <c r="BA25" s="4"/>
      <c r="BB25" s="4"/>
    </row>
    <row r="26" spans="1:54" x14ac:dyDescent="0.2">
      <c r="A26">
        <v>24</v>
      </c>
      <c r="B26" s="24">
        <v>32214</v>
      </c>
      <c r="C26" s="15">
        <v>70</v>
      </c>
      <c r="D26" s="15">
        <v>0</v>
      </c>
      <c r="E26" s="15">
        <v>-15</v>
      </c>
      <c r="F26" s="15">
        <v>31</v>
      </c>
      <c r="G26" s="15">
        <v>0</v>
      </c>
      <c r="H26" s="15">
        <v>-150</v>
      </c>
      <c r="I26" s="15">
        <v>33.25</v>
      </c>
      <c r="J26" s="15">
        <v>200</v>
      </c>
      <c r="K26" s="15">
        <v>0</v>
      </c>
      <c r="L26" s="15">
        <v>125</v>
      </c>
      <c r="M26" s="15">
        <v>0</v>
      </c>
      <c r="N26" s="15">
        <v>-20</v>
      </c>
      <c r="O26" s="15">
        <v>27</v>
      </c>
      <c r="P26" s="15">
        <v>0</v>
      </c>
      <c r="Q26" s="15">
        <v>-150</v>
      </c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40"/>
      <c r="AC26" s="34">
        <v>40476</v>
      </c>
      <c r="AD26" s="15">
        <v>5</v>
      </c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"/>
      <c r="AV26" s="4"/>
      <c r="AW26" s="4"/>
      <c r="AX26" s="4"/>
      <c r="AY26" s="4"/>
      <c r="AZ26" s="4"/>
      <c r="BA26" s="4"/>
      <c r="BB26" s="4"/>
    </row>
    <row r="27" spans="1:54" x14ac:dyDescent="0.2">
      <c r="A27">
        <v>25</v>
      </c>
      <c r="B27" s="24">
        <v>32218</v>
      </c>
      <c r="C27" s="15">
        <v>90</v>
      </c>
      <c r="D27" s="15">
        <v>0</v>
      </c>
      <c r="E27" s="15">
        <v>-20</v>
      </c>
      <c r="F27" s="15">
        <v>40</v>
      </c>
      <c r="G27" s="15">
        <v>0</v>
      </c>
      <c r="H27" s="15">
        <v>-200</v>
      </c>
      <c r="I27" s="15">
        <v>42.5</v>
      </c>
      <c r="J27" s="15">
        <v>20</v>
      </c>
      <c r="K27" s="15">
        <v>-20</v>
      </c>
      <c r="L27" s="15">
        <v>160</v>
      </c>
      <c r="M27" s="15">
        <v>0</v>
      </c>
      <c r="N27" s="15">
        <v>-25</v>
      </c>
      <c r="O27" s="15">
        <v>34</v>
      </c>
      <c r="P27" s="15">
        <v>0</v>
      </c>
      <c r="Q27" s="15">
        <v>-200</v>
      </c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34">
        <v>40476</v>
      </c>
      <c r="AD27" s="15">
        <v>5</v>
      </c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"/>
      <c r="AV27" s="4"/>
      <c r="AW27" s="4"/>
      <c r="AX27" s="4"/>
      <c r="AY27" s="4"/>
      <c r="AZ27" s="4"/>
      <c r="BA27" s="4"/>
      <c r="BB27" s="4"/>
    </row>
    <row r="28" spans="1:54" x14ac:dyDescent="0.2">
      <c r="A28">
        <v>26</v>
      </c>
      <c r="B28" s="24">
        <v>33010</v>
      </c>
      <c r="C28" s="15">
        <v>50</v>
      </c>
      <c r="D28" s="15">
        <v>0</v>
      </c>
      <c r="E28" s="15">
        <v>-12</v>
      </c>
      <c r="F28" s="15">
        <v>24</v>
      </c>
      <c r="G28" s="15">
        <v>0</v>
      </c>
      <c r="H28" s="15">
        <v>-120</v>
      </c>
      <c r="I28" s="15">
        <v>24</v>
      </c>
      <c r="J28" s="15">
        <v>200</v>
      </c>
      <c r="K28" s="15">
        <v>0</v>
      </c>
      <c r="L28" s="15">
        <v>80</v>
      </c>
      <c r="M28" s="15">
        <v>0</v>
      </c>
      <c r="N28" s="15">
        <v>-16</v>
      </c>
      <c r="O28" s="15">
        <v>19</v>
      </c>
      <c r="P28" s="15">
        <v>0</v>
      </c>
      <c r="Q28" s="15">
        <v>-120</v>
      </c>
      <c r="R28" s="15" t="s">
        <v>143</v>
      </c>
      <c r="S28" s="15" t="s">
        <v>143</v>
      </c>
      <c r="T28" s="15" t="s">
        <v>143</v>
      </c>
      <c r="U28" s="15" t="s">
        <v>143</v>
      </c>
      <c r="V28" s="15" t="s">
        <v>143</v>
      </c>
      <c r="W28" s="15" t="s">
        <v>143</v>
      </c>
      <c r="X28" s="15" t="s">
        <v>143</v>
      </c>
      <c r="Y28" s="15" t="s">
        <v>143</v>
      </c>
      <c r="Z28" s="15" t="s">
        <v>143</v>
      </c>
      <c r="AA28" s="15" t="s">
        <v>143</v>
      </c>
      <c r="AB28" s="15" t="s">
        <v>347</v>
      </c>
      <c r="AC28" s="34">
        <v>40648</v>
      </c>
      <c r="AD28" s="15">
        <v>5</v>
      </c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"/>
      <c r="AV28" s="4"/>
      <c r="AW28" s="4"/>
      <c r="AX28" s="4"/>
      <c r="AY28" s="4"/>
      <c r="AZ28" s="4"/>
      <c r="BA28" s="4"/>
      <c r="BB28" s="4"/>
    </row>
    <row r="29" spans="1:54" x14ac:dyDescent="0.2">
      <c r="A29">
        <v>27</v>
      </c>
      <c r="B29" s="24">
        <v>33112</v>
      </c>
      <c r="C29" s="15">
        <v>60</v>
      </c>
      <c r="D29" s="15">
        <v>0</v>
      </c>
      <c r="E29" s="15">
        <v>-15</v>
      </c>
      <c r="F29" s="15">
        <v>30</v>
      </c>
      <c r="G29" s="15">
        <v>0</v>
      </c>
      <c r="H29" s="15">
        <v>-150</v>
      </c>
      <c r="I29" s="15">
        <v>30</v>
      </c>
      <c r="J29" s="15">
        <v>200</v>
      </c>
      <c r="K29" s="15">
        <v>0</v>
      </c>
      <c r="L29" s="15">
        <v>100</v>
      </c>
      <c r="M29" s="15">
        <v>0</v>
      </c>
      <c r="N29" s="15">
        <v>-18</v>
      </c>
      <c r="O29" s="15">
        <v>23</v>
      </c>
      <c r="P29" s="15">
        <v>0</v>
      </c>
      <c r="Q29" s="15">
        <v>-150</v>
      </c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40" t="s">
        <v>94</v>
      </c>
      <c r="AC29" s="34">
        <v>40476</v>
      </c>
      <c r="AD29" s="15">
        <v>5</v>
      </c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"/>
      <c r="AV29" s="4"/>
      <c r="AW29" s="4"/>
      <c r="AX29" s="4"/>
      <c r="AY29" s="4"/>
      <c r="AZ29" s="4"/>
      <c r="BA29" s="4"/>
      <c r="BB29" s="4"/>
    </row>
    <row r="30" spans="1:54" x14ac:dyDescent="0.2">
      <c r="A30">
        <v>28</v>
      </c>
      <c r="B30" s="24">
        <v>33117</v>
      </c>
      <c r="C30" s="15">
        <v>85</v>
      </c>
      <c r="D30" s="15">
        <v>0</v>
      </c>
      <c r="E30" s="15">
        <v>-20</v>
      </c>
      <c r="F30" s="15">
        <v>41</v>
      </c>
      <c r="G30" s="15">
        <v>0</v>
      </c>
      <c r="H30" s="15">
        <v>-200</v>
      </c>
      <c r="I30" s="15">
        <v>41</v>
      </c>
      <c r="J30" s="15">
        <v>200</v>
      </c>
      <c r="K30" s="15">
        <v>-200</v>
      </c>
      <c r="L30" s="15">
        <v>140</v>
      </c>
      <c r="M30" s="15">
        <v>0</v>
      </c>
      <c r="N30" s="15">
        <v>-20</v>
      </c>
      <c r="O30" s="15">
        <v>32</v>
      </c>
      <c r="P30" s="15">
        <v>0</v>
      </c>
      <c r="Q30" s="15">
        <v>-200</v>
      </c>
      <c r="R30" s="15" t="s">
        <v>143</v>
      </c>
      <c r="S30" s="15" t="s">
        <v>143</v>
      </c>
      <c r="T30" s="15" t="s">
        <v>143</v>
      </c>
      <c r="U30" s="15" t="s">
        <v>143</v>
      </c>
      <c r="V30" s="15" t="s">
        <v>143</v>
      </c>
      <c r="W30" s="15" t="s">
        <v>143</v>
      </c>
      <c r="X30" s="15" t="s">
        <v>143</v>
      </c>
      <c r="Y30" s="15" t="s">
        <v>143</v>
      </c>
      <c r="Z30" s="15" t="s">
        <v>143</v>
      </c>
      <c r="AA30" s="15" t="s">
        <v>143</v>
      </c>
      <c r="AB30" s="15" t="s">
        <v>348</v>
      </c>
      <c r="AC30" s="34">
        <v>40648</v>
      </c>
      <c r="AD30" s="15">
        <v>5</v>
      </c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"/>
      <c r="AV30" s="4"/>
      <c r="AW30" s="4"/>
      <c r="AX30" s="4"/>
      <c r="AY30" s="4"/>
      <c r="AZ30" s="4"/>
      <c r="BA30" s="4"/>
      <c r="BB30" s="4"/>
    </row>
    <row r="31" spans="1:54" x14ac:dyDescent="0.2">
      <c r="A31">
        <v>29</v>
      </c>
      <c r="B31" s="24" t="s">
        <v>352</v>
      </c>
      <c r="C31" s="15" t="s">
        <v>143</v>
      </c>
      <c r="D31" s="15" t="s">
        <v>143</v>
      </c>
      <c r="E31" s="15" t="s">
        <v>143</v>
      </c>
      <c r="F31" s="15" t="s">
        <v>143</v>
      </c>
      <c r="G31" s="15" t="s">
        <v>143</v>
      </c>
      <c r="H31" s="15" t="s">
        <v>143</v>
      </c>
      <c r="I31" s="43" t="s">
        <v>143</v>
      </c>
      <c r="J31" s="43" t="s">
        <v>143</v>
      </c>
      <c r="K31" s="43" t="s">
        <v>143</v>
      </c>
      <c r="L31" s="43">
        <v>47</v>
      </c>
      <c r="M31" s="43">
        <v>0</v>
      </c>
      <c r="N31" s="43">
        <v>-14</v>
      </c>
      <c r="O31" s="43">
        <v>35</v>
      </c>
      <c r="P31" s="43">
        <v>0</v>
      </c>
      <c r="Q31" s="43">
        <v>-120</v>
      </c>
      <c r="R31" s="15" t="s">
        <v>143</v>
      </c>
      <c r="S31" s="15" t="s">
        <v>143</v>
      </c>
      <c r="T31" s="15" t="s">
        <v>143</v>
      </c>
      <c r="U31" s="15" t="s">
        <v>143</v>
      </c>
      <c r="V31" s="15" t="s">
        <v>143</v>
      </c>
      <c r="W31" s="15" t="s">
        <v>143</v>
      </c>
      <c r="X31" s="15" t="s">
        <v>143</v>
      </c>
      <c r="Y31" s="15" t="s">
        <v>143</v>
      </c>
      <c r="Z31" s="15" t="s">
        <v>143</v>
      </c>
      <c r="AA31" s="15" t="s">
        <v>143</v>
      </c>
      <c r="AB31" s="43" t="s">
        <v>353</v>
      </c>
      <c r="AC31" s="34">
        <v>40661</v>
      </c>
      <c r="AD31" s="15">
        <v>5</v>
      </c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"/>
      <c r="AV31" s="4"/>
      <c r="AW31" s="4"/>
      <c r="AX31" s="4"/>
      <c r="AY31" s="4"/>
      <c r="AZ31" s="4"/>
      <c r="BA31" s="4"/>
      <c r="BB31" s="4"/>
    </row>
    <row r="32" spans="1:54" x14ac:dyDescent="0.2">
      <c r="A32">
        <v>30</v>
      </c>
      <c r="B32" s="24" t="s">
        <v>107</v>
      </c>
      <c r="C32" s="15">
        <v>25</v>
      </c>
      <c r="D32" s="15">
        <v>0</v>
      </c>
      <c r="E32" s="15">
        <v>-12</v>
      </c>
      <c r="F32" s="15">
        <v>15</v>
      </c>
      <c r="G32" s="15">
        <v>0</v>
      </c>
      <c r="H32" s="15">
        <v>-120</v>
      </c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40" t="s">
        <v>291</v>
      </c>
      <c r="AC32" s="34">
        <v>40476</v>
      </c>
      <c r="AD32" s="15">
        <v>5</v>
      </c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"/>
      <c r="AV32" s="4"/>
      <c r="AW32" s="4"/>
      <c r="AX32" s="4"/>
      <c r="AY32" s="4"/>
      <c r="AZ32" s="4"/>
      <c r="BA32" s="4"/>
      <c r="BB32" s="4"/>
    </row>
    <row r="33" spans="1:54" x14ac:dyDescent="0.2">
      <c r="A33">
        <v>31</v>
      </c>
      <c r="B33" s="24" t="s">
        <v>106</v>
      </c>
      <c r="C33" s="15"/>
      <c r="D33" s="15"/>
      <c r="E33" s="15"/>
      <c r="F33" s="15"/>
      <c r="G33" s="15"/>
      <c r="H33" s="15"/>
      <c r="I33" s="15"/>
      <c r="J33" s="15"/>
      <c r="K33" s="15"/>
      <c r="L33" s="15">
        <v>52</v>
      </c>
      <c r="M33" s="15">
        <v>0</v>
      </c>
      <c r="N33" s="15">
        <v>-12</v>
      </c>
      <c r="O33" s="15">
        <v>13</v>
      </c>
      <c r="P33" s="15">
        <v>0</v>
      </c>
      <c r="Q33" s="15">
        <v>-120</v>
      </c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40" t="s">
        <v>105</v>
      </c>
      <c r="AC33" s="34">
        <v>40476</v>
      </c>
      <c r="AD33" s="15">
        <v>5</v>
      </c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"/>
      <c r="AV33" s="4"/>
      <c r="AW33" s="4"/>
      <c r="AX33" s="4"/>
      <c r="AY33" s="4"/>
      <c r="AZ33" s="4"/>
      <c r="BA33" s="4"/>
      <c r="BB33" s="4"/>
    </row>
    <row r="34" spans="1:54" x14ac:dyDescent="0.2">
      <c r="A34">
        <v>32</v>
      </c>
      <c r="B34" s="24" t="s">
        <v>124</v>
      </c>
      <c r="C34" s="41">
        <v>35</v>
      </c>
      <c r="D34" s="42">
        <v>0</v>
      </c>
      <c r="E34" s="43">
        <v>-12</v>
      </c>
      <c r="F34" s="43">
        <v>17</v>
      </c>
      <c r="G34" s="43">
        <v>0</v>
      </c>
      <c r="H34" s="43">
        <v>-120</v>
      </c>
      <c r="I34" s="43">
        <v>18.25</v>
      </c>
      <c r="J34" s="43">
        <v>0.2</v>
      </c>
      <c r="K34" s="43">
        <v>0</v>
      </c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 t="s">
        <v>126</v>
      </c>
      <c r="AC34" s="34">
        <v>40476</v>
      </c>
      <c r="AD34" s="15">
        <v>5</v>
      </c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"/>
      <c r="AV34" s="4"/>
      <c r="AW34" s="4"/>
      <c r="AX34" s="4"/>
      <c r="AY34" s="4"/>
      <c r="AZ34" s="4"/>
      <c r="BA34" s="4"/>
      <c r="BB34" s="4"/>
    </row>
    <row r="35" spans="1:54" x14ac:dyDescent="0.2">
      <c r="A35">
        <v>33</v>
      </c>
      <c r="B35" s="24" t="s">
        <v>125</v>
      </c>
      <c r="C35" s="41"/>
      <c r="D35" s="42"/>
      <c r="E35" s="43"/>
      <c r="F35" s="43"/>
      <c r="G35" s="43"/>
      <c r="H35" s="43"/>
      <c r="I35" s="43"/>
      <c r="J35" s="43"/>
      <c r="K35" s="43"/>
      <c r="L35" s="43">
        <v>72</v>
      </c>
      <c r="M35" s="43">
        <v>0</v>
      </c>
      <c r="N35" s="43">
        <v>-16</v>
      </c>
      <c r="O35" s="43">
        <v>15</v>
      </c>
      <c r="P35" s="43">
        <v>0</v>
      </c>
      <c r="Q35" s="43">
        <v>-120</v>
      </c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 t="s">
        <v>127</v>
      </c>
      <c r="AC35" s="34">
        <v>40476</v>
      </c>
      <c r="AD35" s="15">
        <v>5</v>
      </c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"/>
      <c r="AV35" s="4"/>
      <c r="AW35" s="4"/>
      <c r="AX35" s="4"/>
      <c r="AY35" s="4"/>
      <c r="AZ35" s="4"/>
      <c r="BA35" s="4"/>
      <c r="BB35" s="4"/>
    </row>
    <row r="36" spans="1:54" x14ac:dyDescent="0.2">
      <c r="A36">
        <v>34</v>
      </c>
      <c r="B36" s="24" t="s">
        <v>117</v>
      </c>
      <c r="C36" s="41"/>
      <c r="D36" s="42"/>
      <c r="E36" s="43"/>
      <c r="F36" s="43"/>
      <c r="G36" s="43"/>
      <c r="H36" s="43"/>
      <c r="I36" s="43"/>
      <c r="J36" s="43"/>
      <c r="K36" s="43"/>
      <c r="L36" s="43">
        <v>80</v>
      </c>
      <c r="M36" s="43">
        <v>0</v>
      </c>
      <c r="N36" s="43">
        <v>-16</v>
      </c>
      <c r="O36" s="43">
        <v>16</v>
      </c>
      <c r="P36" s="43">
        <v>0</v>
      </c>
      <c r="Q36" s="43">
        <v>-120</v>
      </c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 t="s">
        <v>118</v>
      </c>
      <c r="AC36" s="34">
        <v>40476</v>
      </c>
      <c r="AD36" s="15">
        <v>5</v>
      </c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"/>
      <c r="AV36" s="4"/>
      <c r="AW36" s="4"/>
      <c r="AX36" s="4"/>
      <c r="AY36" s="4"/>
      <c r="AZ36" s="4"/>
      <c r="BA36" s="4"/>
      <c r="BB36" s="4"/>
    </row>
    <row r="37" spans="1:54" x14ac:dyDescent="0.2">
      <c r="A37">
        <v>35</v>
      </c>
      <c r="B37" s="24" t="s">
        <v>283</v>
      </c>
      <c r="C37" s="43">
        <v>40</v>
      </c>
      <c r="D37" s="43">
        <v>0</v>
      </c>
      <c r="E37" s="43">
        <v>-12</v>
      </c>
      <c r="F37" s="43">
        <v>18</v>
      </c>
      <c r="G37" s="43">
        <v>0</v>
      </c>
      <c r="H37" s="43">
        <v>-120</v>
      </c>
      <c r="I37" s="15" t="s">
        <v>143</v>
      </c>
      <c r="J37" s="15" t="s">
        <v>143</v>
      </c>
      <c r="K37" s="15" t="s">
        <v>143</v>
      </c>
      <c r="L37" s="15" t="s">
        <v>143</v>
      </c>
      <c r="M37" s="15" t="s">
        <v>143</v>
      </c>
      <c r="N37" s="15" t="s">
        <v>143</v>
      </c>
      <c r="O37" s="15" t="s">
        <v>143</v>
      </c>
      <c r="P37" s="15" t="s">
        <v>143</v>
      </c>
      <c r="Q37" s="15" t="s">
        <v>143</v>
      </c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 t="s">
        <v>285</v>
      </c>
      <c r="AC37" s="34">
        <v>40476</v>
      </c>
      <c r="AD37" s="15">
        <v>5</v>
      </c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"/>
      <c r="AV37" s="4"/>
      <c r="AW37" s="4"/>
      <c r="AX37" s="4"/>
      <c r="AY37" s="4"/>
      <c r="AZ37" s="4"/>
      <c r="BA37" s="4"/>
      <c r="BB37" s="4"/>
    </row>
    <row r="38" spans="1:54" x14ac:dyDescent="0.2">
      <c r="A38">
        <v>36</v>
      </c>
      <c r="B38" s="24" t="s">
        <v>205</v>
      </c>
      <c r="C38" s="43">
        <v>40</v>
      </c>
      <c r="D38" s="43">
        <v>0</v>
      </c>
      <c r="E38" s="43">
        <v>-12</v>
      </c>
      <c r="F38" s="43">
        <v>18</v>
      </c>
      <c r="G38" s="43">
        <v>0</v>
      </c>
      <c r="H38" s="43">
        <v>-120</v>
      </c>
      <c r="I38" s="43">
        <v>19.75</v>
      </c>
      <c r="J38" s="43">
        <v>200</v>
      </c>
      <c r="K38" s="43">
        <v>0</v>
      </c>
      <c r="L38" s="43">
        <v>80</v>
      </c>
      <c r="M38" s="43">
        <v>0</v>
      </c>
      <c r="N38" s="43">
        <v>-16</v>
      </c>
      <c r="O38" s="43">
        <v>16</v>
      </c>
      <c r="P38" s="43">
        <v>0</v>
      </c>
      <c r="Q38" s="43">
        <v>-120</v>
      </c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 t="s">
        <v>206</v>
      </c>
      <c r="AC38" s="34">
        <v>40476</v>
      </c>
      <c r="AD38" s="15">
        <v>5</v>
      </c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"/>
      <c r="AV38" s="4"/>
      <c r="AW38" s="4"/>
      <c r="AX38" s="4"/>
      <c r="AY38" s="4"/>
      <c r="AZ38" s="4"/>
      <c r="BA38" s="4"/>
      <c r="BB38" s="4"/>
    </row>
    <row r="39" spans="1:54" x14ac:dyDescent="0.2">
      <c r="A39" s="50">
        <v>37</v>
      </c>
      <c r="B39" s="24" t="s">
        <v>286</v>
      </c>
      <c r="C39" s="15">
        <v>55</v>
      </c>
      <c r="D39" s="15">
        <v>0</v>
      </c>
      <c r="E39" s="15">
        <v>-15</v>
      </c>
      <c r="F39" s="15">
        <v>25</v>
      </c>
      <c r="G39" s="15">
        <v>0</v>
      </c>
      <c r="H39" s="15">
        <v>-150</v>
      </c>
      <c r="I39" s="15" t="s">
        <v>143</v>
      </c>
      <c r="J39" s="15" t="s">
        <v>143</v>
      </c>
      <c r="K39" s="15" t="s">
        <v>143</v>
      </c>
      <c r="L39" s="15" t="s">
        <v>143</v>
      </c>
      <c r="M39" s="15" t="s">
        <v>143</v>
      </c>
      <c r="N39" s="15" t="s">
        <v>143</v>
      </c>
      <c r="O39" s="15" t="s">
        <v>143</v>
      </c>
      <c r="P39" s="15" t="s">
        <v>143</v>
      </c>
      <c r="Q39" s="15" t="s">
        <v>143</v>
      </c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 t="s">
        <v>287</v>
      </c>
      <c r="AC39" s="34">
        <v>40476</v>
      </c>
      <c r="AD39" s="15">
        <v>5</v>
      </c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"/>
      <c r="AV39" s="4"/>
      <c r="AW39" s="4"/>
      <c r="AX39" s="4"/>
      <c r="AY39" s="4"/>
      <c r="AZ39" s="4"/>
      <c r="BA39" s="4"/>
      <c r="BB39" s="4"/>
    </row>
    <row r="40" spans="1:54" x14ac:dyDescent="0.2">
      <c r="A40">
        <v>38</v>
      </c>
      <c r="B40" s="24" t="s">
        <v>140</v>
      </c>
      <c r="C40" s="41">
        <v>65</v>
      </c>
      <c r="D40" s="42">
        <v>0</v>
      </c>
      <c r="E40" s="43">
        <v>-15</v>
      </c>
      <c r="F40" s="43">
        <v>31</v>
      </c>
      <c r="G40" s="43">
        <v>0</v>
      </c>
      <c r="H40" s="43">
        <v>-150</v>
      </c>
      <c r="I40" s="43">
        <v>32.75</v>
      </c>
      <c r="J40" s="43">
        <v>200</v>
      </c>
      <c r="K40" s="43">
        <v>0</v>
      </c>
      <c r="L40" s="43">
        <v>120</v>
      </c>
      <c r="M40" s="43">
        <v>0</v>
      </c>
      <c r="N40" s="43">
        <v>-18</v>
      </c>
      <c r="O40" s="43">
        <v>27</v>
      </c>
      <c r="P40" s="43">
        <v>0</v>
      </c>
      <c r="Q40" s="43">
        <v>-150</v>
      </c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 t="s">
        <v>138</v>
      </c>
      <c r="AC40" s="34">
        <v>40476</v>
      </c>
      <c r="AD40" s="15">
        <v>5</v>
      </c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"/>
      <c r="AV40" s="4"/>
      <c r="AW40" s="4"/>
      <c r="AX40" s="4"/>
      <c r="AY40" s="4"/>
      <c r="AZ40" s="4"/>
      <c r="BA40" s="4"/>
      <c r="BB40" s="4"/>
    </row>
    <row r="41" spans="1:54" x14ac:dyDescent="0.2">
      <c r="A41">
        <v>39</v>
      </c>
      <c r="B41" s="24" t="s">
        <v>141</v>
      </c>
      <c r="C41" s="41">
        <v>80</v>
      </c>
      <c r="D41" s="42">
        <v>0</v>
      </c>
      <c r="E41" s="43">
        <v>-15</v>
      </c>
      <c r="F41" s="43">
        <v>33</v>
      </c>
      <c r="G41" s="43">
        <v>0</v>
      </c>
      <c r="H41" s="43">
        <v>-150</v>
      </c>
      <c r="I41" s="43">
        <v>35.25</v>
      </c>
      <c r="J41" s="43">
        <v>200</v>
      </c>
      <c r="K41" s="43">
        <v>0</v>
      </c>
      <c r="L41" s="43">
        <v>140</v>
      </c>
      <c r="M41" s="43">
        <v>0</v>
      </c>
      <c r="N41" s="43">
        <v>-20</v>
      </c>
      <c r="O41" s="43">
        <v>28</v>
      </c>
      <c r="P41" s="43">
        <v>0</v>
      </c>
      <c r="Q41" s="43">
        <v>-150</v>
      </c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 t="s">
        <v>139</v>
      </c>
      <c r="AC41" s="34">
        <v>40476</v>
      </c>
      <c r="AD41" s="15">
        <v>5</v>
      </c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"/>
      <c r="AV41" s="4"/>
      <c r="AW41" s="4"/>
      <c r="AX41" s="4"/>
      <c r="AY41" s="4"/>
      <c r="AZ41" s="4"/>
      <c r="BA41" s="4"/>
      <c r="BB41" s="4"/>
    </row>
    <row r="42" spans="1:54" x14ac:dyDescent="0.2">
      <c r="A42">
        <v>40</v>
      </c>
      <c r="B42" s="24" t="s">
        <v>182</v>
      </c>
      <c r="C42" s="43">
        <v>57.15</v>
      </c>
      <c r="D42" s="43">
        <v>0</v>
      </c>
      <c r="E42" s="43">
        <v>-15</v>
      </c>
      <c r="F42" s="43">
        <v>21.946000000000002</v>
      </c>
      <c r="G42" s="43">
        <v>0</v>
      </c>
      <c r="H42" s="43">
        <v>-150</v>
      </c>
      <c r="I42" s="43" t="s">
        <v>143</v>
      </c>
      <c r="J42" s="43" t="s">
        <v>143</v>
      </c>
      <c r="K42" s="43" t="s">
        <v>143</v>
      </c>
      <c r="L42" s="43" t="s">
        <v>143</v>
      </c>
      <c r="M42" s="43" t="s">
        <v>143</v>
      </c>
      <c r="N42" s="43" t="s">
        <v>143</v>
      </c>
      <c r="O42" s="43" t="s">
        <v>143</v>
      </c>
      <c r="P42" s="43" t="s">
        <v>143</v>
      </c>
      <c r="Q42" s="43" t="s">
        <v>143</v>
      </c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 t="s">
        <v>184</v>
      </c>
      <c r="AC42" s="34">
        <v>40476</v>
      </c>
      <c r="AD42" s="15">
        <v>5</v>
      </c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"/>
      <c r="AV42" s="4"/>
      <c r="AW42" s="4"/>
      <c r="AX42" s="4"/>
      <c r="AY42" s="4"/>
      <c r="AZ42" s="4"/>
      <c r="BA42" s="4"/>
      <c r="BB42" s="4"/>
    </row>
    <row r="43" spans="1:54" x14ac:dyDescent="0.2">
      <c r="A43">
        <v>41</v>
      </c>
      <c r="B43" s="24" t="s">
        <v>214</v>
      </c>
      <c r="C43" s="43" t="s">
        <v>143</v>
      </c>
      <c r="D43" s="43" t="s">
        <v>143</v>
      </c>
      <c r="E43" s="43" t="s">
        <v>143</v>
      </c>
      <c r="F43" s="43" t="s">
        <v>143</v>
      </c>
      <c r="G43" s="43" t="s">
        <v>143</v>
      </c>
      <c r="H43" s="43" t="s">
        <v>143</v>
      </c>
      <c r="I43" s="43" t="s">
        <v>143</v>
      </c>
      <c r="J43" s="43" t="s">
        <v>143</v>
      </c>
      <c r="K43" s="43" t="s">
        <v>143</v>
      </c>
      <c r="L43" s="43">
        <v>96.83</v>
      </c>
      <c r="M43" s="43">
        <v>0</v>
      </c>
      <c r="N43" s="43">
        <v>-18</v>
      </c>
      <c r="O43" s="43">
        <v>15.87</v>
      </c>
      <c r="P43" s="43">
        <v>0</v>
      </c>
      <c r="Q43" s="43">
        <v>-200</v>
      </c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 t="s">
        <v>215</v>
      </c>
      <c r="AC43" s="34">
        <v>40476</v>
      </c>
      <c r="AD43" s="15">
        <v>5</v>
      </c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"/>
      <c r="AV43" s="4"/>
      <c r="AW43" s="4"/>
      <c r="AX43" s="4"/>
      <c r="AY43" s="4"/>
      <c r="AZ43" s="4"/>
      <c r="BA43" s="4"/>
      <c r="BB43" s="4"/>
    </row>
    <row r="44" spans="1:54" x14ac:dyDescent="0.2">
      <c r="A44">
        <v>42</v>
      </c>
      <c r="B44" s="24" t="s">
        <v>113</v>
      </c>
      <c r="C44" s="41">
        <v>80.959999999999994</v>
      </c>
      <c r="D44" s="42">
        <v>0</v>
      </c>
      <c r="E44" s="43">
        <v>-20</v>
      </c>
      <c r="F44" s="43">
        <v>46.67</v>
      </c>
      <c r="G44" s="43">
        <v>0</v>
      </c>
      <c r="H44" s="43">
        <v>-200</v>
      </c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 t="s">
        <v>123</v>
      </c>
      <c r="AC44" s="34">
        <v>40476</v>
      </c>
      <c r="AD44" s="15">
        <v>5</v>
      </c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"/>
      <c r="AV44" s="4"/>
      <c r="AW44" s="4"/>
      <c r="AX44" s="4"/>
      <c r="AY44" s="4"/>
      <c r="AZ44" s="4"/>
      <c r="BA44" s="4"/>
      <c r="BB44" s="4"/>
    </row>
    <row r="45" spans="1:54" x14ac:dyDescent="0.2">
      <c r="A45">
        <v>43</v>
      </c>
      <c r="B45" s="24" t="s">
        <v>114</v>
      </c>
      <c r="C45" s="41"/>
      <c r="D45" s="42"/>
      <c r="E45" s="43"/>
      <c r="F45" s="43"/>
      <c r="G45" s="43"/>
      <c r="H45" s="43"/>
      <c r="I45" s="43"/>
      <c r="J45" s="43"/>
      <c r="K45" s="43"/>
      <c r="L45" s="43">
        <v>150.08000000000001</v>
      </c>
      <c r="M45" s="43">
        <v>0</v>
      </c>
      <c r="N45" s="43">
        <v>-25</v>
      </c>
      <c r="O45" s="43">
        <v>36.51</v>
      </c>
      <c r="P45" s="43">
        <v>0</v>
      </c>
      <c r="Q45" s="43">
        <v>-200</v>
      </c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 t="s">
        <v>121</v>
      </c>
      <c r="AC45" s="34">
        <v>40476</v>
      </c>
      <c r="AD45" s="15">
        <v>5</v>
      </c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"/>
      <c r="AV45" s="4"/>
      <c r="AW45" s="4"/>
      <c r="AX45" s="4"/>
      <c r="AY45" s="4"/>
      <c r="AZ45" s="4"/>
      <c r="BA45" s="4"/>
      <c r="BB45" s="4"/>
    </row>
    <row r="46" spans="1:54" x14ac:dyDescent="0.2">
      <c r="A46">
        <v>44</v>
      </c>
      <c r="B46" s="24" t="s">
        <v>115</v>
      </c>
      <c r="C46" s="41"/>
      <c r="D46" s="42"/>
      <c r="E46" s="43"/>
      <c r="F46" s="43"/>
      <c r="G46" s="43"/>
      <c r="H46" s="43"/>
      <c r="I46" s="43"/>
      <c r="J46" s="43"/>
      <c r="K46" s="43"/>
      <c r="L46" s="43">
        <v>161.91999999999999</v>
      </c>
      <c r="M46" s="43">
        <v>0</v>
      </c>
      <c r="N46" s="43">
        <v>-25</v>
      </c>
      <c r="O46" s="43">
        <v>38.1</v>
      </c>
      <c r="P46" s="43">
        <v>0</v>
      </c>
      <c r="Q46" s="43">
        <v>-200</v>
      </c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 t="s">
        <v>120</v>
      </c>
      <c r="AC46" s="34">
        <v>40476</v>
      </c>
      <c r="AD46" s="15">
        <v>5</v>
      </c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"/>
      <c r="AV46" s="4"/>
      <c r="AW46" s="4"/>
      <c r="AX46" s="4"/>
      <c r="AY46" s="4"/>
      <c r="AZ46" s="4"/>
      <c r="BA46" s="4"/>
      <c r="BB46" s="4"/>
    </row>
    <row r="47" spans="1:54" x14ac:dyDescent="0.2">
      <c r="A47">
        <v>45</v>
      </c>
      <c r="B47" s="24" t="s">
        <v>316</v>
      </c>
      <c r="C47" s="41">
        <v>88.9</v>
      </c>
      <c r="D47" s="42">
        <v>0</v>
      </c>
      <c r="E47" s="43">
        <v>-20</v>
      </c>
      <c r="F47" s="43">
        <v>48.26</v>
      </c>
      <c r="G47" s="43">
        <v>0</v>
      </c>
      <c r="H47" s="43">
        <v>-200</v>
      </c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 t="s">
        <v>122</v>
      </c>
      <c r="AC47" s="34">
        <v>40476</v>
      </c>
      <c r="AD47" s="15">
        <v>5</v>
      </c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"/>
      <c r="AV47" s="4"/>
      <c r="AW47" s="4"/>
      <c r="AX47" s="4"/>
      <c r="AY47" s="4"/>
      <c r="AZ47" s="4"/>
      <c r="BA47" s="4"/>
      <c r="BB47" s="4"/>
    </row>
    <row r="48" spans="1:54" x14ac:dyDescent="0.2">
      <c r="A48">
        <v>46</v>
      </c>
      <c r="B48" s="24" t="s">
        <v>163</v>
      </c>
      <c r="C48" s="46">
        <v>29</v>
      </c>
      <c r="D48" s="42">
        <v>0</v>
      </c>
      <c r="E48" s="43">
        <v>-12</v>
      </c>
      <c r="F48" s="43">
        <v>14.731999999999999</v>
      </c>
      <c r="G48" s="43">
        <v>0</v>
      </c>
      <c r="H48" s="43">
        <v>-120</v>
      </c>
      <c r="I48" s="43">
        <v>14.224</v>
      </c>
      <c r="J48" s="43">
        <v>200</v>
      </c>
      <c r="K48" s="43">
        <v>0</v>
      </c>
      <c r="L48" s="43">
        <v>50.292000000000002</v>
      </c>
      <c r="M48" s="43">
        <v>0</v>
      </c>
      <c r="N48" s="43">
        <v>-16</v>
      </c>
      <c r="O48" s="43">
        <v>10.667999999999999</v>
      </c>
      <c r="P48" s="43">
        <v>0</v>
      </c>
      <c r="Q48" s="43">
        <v>200</v>
      </c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 t="s">
        <v>164</v>
      </c>
      <c r="AC48" s="34">
        <v>40476</v>
      </c>
      <c r="AD48" s="15">
        <v>5</v>
      </c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"/>
      <c r="AV48" s="4"/>
      <c r="AW48" s="4"/>
      <c r="AX48" s="4"/>
      <c r="AY48" s="4"/>
      <c r="AZ48" s="4"/>
      <c r="BA48" s="4"/>
      <c r="BB48" s="4"/>
    </row>
    <row r="49" spans="1:54" x14ac:dyDescent="0.2">
      <c r="A49">
        <v>47</v>
      </c>
      <c r="B49" s="24" t="s">
        <v>262</v>
      </c>
      <c r="C49" s="43">
        <v>20</v>
      </c>
      <c r="D49" s="43">
        <v>0</v>
      </c>
      <c r="E49" s="43">
        <v>-12</v>
      </c>
      <c r="F49" s="43">
        <v>40</v>
      </c>
      <c r="G49" s="43">
        <v>0</v>
      </c>
      <c r="H49" s="43">
        <v>-120</v>
      </c>
      <c r="I49" s="43" t="s">
        <v>143</v>
      </c>
      <c r="J49" s="43" t="s">
        <v>143</v>
      </c>
      <c r="K49" s="43" t="s">
        <v>143</v>
      </c>
      <c r="L49" s="43">
        <v>47</v>
      </c>
      <c r="M49" s="43">
        <v>0</v>
      </c>
      <c r="N49" s="43">
        <v>-14</v>
      </c>
      <c r="O49" s="43">
        <v>35</v>
      </c>
      <c r="P49" s="43">
        <v>0</v>
      </c>
      <c r="Q49" s="43">
        <v>-120</v>
      </c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 t="s">
        <v>263</v>
      </c>
      <c r="AC49" s="34">
        <v>40476</v>
      </c>
      <c r="AD49" s="15">
        <v>5</v>
      </c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"/>
      <c r="AV49" s="4"/>
      <c r="AW49" s="4"/>
      <c r="AX49" s="4"/>
      <c r="AY49" s="4"/>
      <c r="AZ49" s="4"/>
      <c r="BA49" s="4"/>
      <c r="BB49" s="4"/>
    </row>
    <row r="50" spans="1:54" x14ac:dyDescent="0.2">
      <c r="A50">
        <v>48</v>
      </c>
      <c r="B50" s="24" t="s">
        <v>278</v>
      </c>
      <c r="C50" s="15">
        <v>25</v>
      </c>
      <c r="D50" s="15">
        <v>0</v>
      </c>
      <c r="E50" s="15">
        <v>-12</v>
      </c>
      <c r="F50" s="15">
        <v>45</v>
      </c>
      <c r="G50" s="15">
        <v>0</v>
      </c>
      <c r="H50" s="15">
        <v>-120</v>
      </c>
      <c r="I50" s="43" t="s">
        <v>143</v>
      </c>
      <c r="J50" s="43" t="s">
        <v>143</v>
      </c>
      <c r="K50" s="43" t="s">
        <v>143</v>
      </c>
      <c r="L50" s="15">
        <v>49</v>
      </c>
      <c r="M50" s="15">
        <v>0</v>
      </c>
      <c r="N50" s="15">
        <v>-14</v>
      </c>
      <c r="O50" s="15">
        <v>40</v>
      </c>
      <c r="P50" s="15">
        <v>0</v>
      </c>
      <c r="Q50" s="15">
        <v>-120</v>
      </c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 t="s">
        <v>279</v>
      </c>
      <c r="AC50" s="34">
        <v>40476</v>
      </c>
      <c r="AD50" s="15">
        <v>5</v>
      </c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"/>
      <c r="AV50" s="4"/>
      <c r="AW50" s="4"/>
      <c r="AX50" s="4"/>
      <c r="AY50" s="4"/>
      <c r="AZ50" s="4"/>
      <c r="BA50" s="4"/>
      <c r="BB50" s="4"/>
    </row>
    <row r="51" spans="1:54" x14ac:dyDescent="0.2">
      <c r="A51">
        <v>49</v>
      </c>
      <c r="B51" s="24" t="s">
        <v>100</v>
      </c>
      <c r="C51" s="15">
        <v>25</v>
      </c>
      <c r="D51" s="15">
        <v>0</v>
      </c>
      <c r="E51" s="15">
        <v>-12</v>
      </c>
      <c r="F51" s="15">
        <v>45</v>
      </c>
      <c r="G51" s="15">
        <v>0</v>
      </c>
      <c r="H51" s="15">
        <v>-120</v>
      </c>
      <c r="I51" s="15">
        <v>45</v>
      </c>
      <c r="J51" s="15">
        <v>0</v>
      </c>
      <c r="K51" s="15">
        <v>-120</v>
      </c>
      <c r="L51" s="15">
        <v>49</v>
      </c>
      <c r="M51" s="15">
        <v>0</v>
      </c>
      <c r="N51" s="15">
        <v>-14</v>
      </c>
      <c r="O51" s="15">
        <v>40</v>
      </c>
      <c r="P51" s="15">
        <v>0</v>
      </c>
      <c r="Q51" s="15">
        <v>-120</v>
      </c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40" t="s">
        <v>101</v>
      </c>
      <c r="AC51" s="34">
        <v>40476</v>
      </c>
      <c r="AD51" s="15">
        <v>5</v>
      </c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"/>
      <c r="AV51" s="4"/>
      <c r="AW51" s="4"/>
      <c r="AX51" s="4"/>
      <c r="AY51" s="4"/>
      <c r="AZ51" s="4"/>
      <c r="BA51" s="4"/>
      <c r="BB51" s="4"/>
    </row>
    <row r="52" spans="1:54" x14ac:dyDescent="0.2">
      <c r="A52">
        <v>50</v>
      </c>
      <c r="B52" s="24" t="s">
        <v>104</v>
      </c>
      <c r="C52" s="15">
        <v>25</v>
      </c>
      <c r="D52" s="15">
        <v>0</v>
      </c>
      <c r="E52" s="15">
        <v>-12</v>
      </c>
      <c r="F52" s="15">
        <v>45</v>
      </c>
      <c r="G52" s="15">
        <v>0</v>
      </c>
      <c r="H52" s="15">
        <v>-120</v>
      </c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40" t="s">
        <v>412</v>
      </c>
      <c r="AC52" s="34">
        <v>40476</v>
      </c>
      <c r="AD52" s="15">
        <v>5</v>
      </c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"/>
      <c r="AV52" s="4"/>
      <c r="AW52" s="4"/>
      <c r="AX52" s="4"/>
      <c r="AY52" s="4"/>
      <c r="AZ52" s="4"/>
      <c r="BA52" s="4"/>
      <c r="BB52" s="4"/>
    </row>
    <row r="53" spans="1:54" x14ac:dyDescent="0.2">
      <c r="A53">
        <v>51</v>
      </c>
      <c r="B53" s="24" t="s">
        <v>377</v>
      </c>
      <c r="C53" s="15"/>
      <c r="D53" s="15"/>
      <c r="E53" s="15"/>
      <c r="F53" s="15"/>
      <c r="G53" s="15"/>
      <c r="H53" s="15"/>
      <c r="I53" s="15"/>
      <c r="J53" s="15"/>
      <c r="K53" s="15"/>
      <c r="L53" s="15">
        <v>49</v>
      </c>
      <c r="M53" s="15">
        <v>0</v>
      </c>
      <c r="N53" s="15">
        <v>-14</v>
      </c>
      <c r="O53" s="15">
        <v>40</v>
      </c>
      <c r="P53" s="15">
        <v>0</v>
      </c>
      <c r="Q53" s="15">
        <v>-120</v>
      </c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40" t="s">
        <v>376</v>
      </c>
      <c r="AC53" s="34">
        <v>40476</v>
      </c>
      <c r="AD53" s="15">
        <v>5</v>
      </c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"/>
      <c r="AV53" s="4"/>
      <c r="AW53" s="4"/>
      <c r="AX53" s="4"/>
      <c r="AY53" s="4"/>
      <c r="AZ53" s="4"/>
      <c r="BA53" s="4"/>
      <c r="BB53" s="4"/>
    </row>
    <row r="54" spans="1:54" ht="25.5" x14ac:dyDescent="0.2">
      <c r="A54">
        <v>52</v>
      </c>
      <c r="B54" s="24" t="s">
        <v>191</v>
      </c>
      <c r="C54" s="43">
        <v>25</v>
      </c>
      <c r="D54" s="43">
        <v>0</v>
      </c>
      <c r="E54" s="43">
        <v>-12</v>
      </c>
      <c r="F54" s="43">
        <v>22.5</v>
      </c>
      <c r="G54" s="43">
        <v>0</v>
      </c>
      <c r="H54" s="43">
        <v>-60</v>
      </c>
      <c r="I54" s="43">
        <v>45</v>
      </c>
      <c r="J54" s="43">
        <v>0</v>
      </c>
      <c r="K54" s="43">
        <v>-120</v>
      </c>
      <c r="L54" s="43">
        <v>52</v>
      </c>
      <c r="M54" s="43">
        <v>0</v>
      </c>
      <c r="N54" s="43">
        <v>-14</v>
      </c>
      <c r="O54" s="43">
        <v>40</v>
      </c>
      <c r="P54" s="43">
        <v>0</v>
      </c>
      <c r="Q54" s="43">
        <v>-120</v>
      </c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7" t="s">
        <v>192</v>
      </c>
      <c r="AC54" s="34">
        <v>40476</v>
      </c>
      <c r="AD54" s="15">
        <v>5</v>
      </c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"/>
      <c r="AV54" s="4"/>
      <c r="AW54" s="4"/>
      <c r="AX54" s="4"/>
      <c r="AY54" s="4"/>
      <c r="AZ54" s="4"/>
      <c r="BA54" s="4"/>
      <c r="BB54" s="4"/>
    </row>
    <row r="55" spans="1:54" x14ac:dyDescent="0.2">
      <c r="A55">
        <v>53</v>
      </c>
      <c r="B55" s="24" t="s">
        <v>258</v>
      </c>
      <c r="C55" s="43">
        <v>30</v>
      </c>
      <c r="D55" s="43">
        <v>0</v>
      </c>
      <c r="E55" s="43">
        <v>-12</v>
      </c>
      <c r="F55" s="43">
        <v>18.5</v>
      </c>
      <c r="G55" s="43">
        <v>0</v>
      </c>
      <c r="H55" s="43">
        <v>-60</v>
      </c>
      <c r="I55" s="43" t="s">
        <v>143</v>
      </c>
      <c r="J55" s="43" t="s">
        <v>143</v>
      </c>
      <c r="K55" s="43" t="s">
        <v>143</v>
      </c>
      <c r="L55" s="43">
        <v>60</v>
      </c>
      <c r="M55" s="43">
        <v>0</v>
      </c>
      <c r="N55" s="43">
        <v>-16</v>
      </c>
      <c r="O55" s="43">
        <v>37</v>
      </c>
      <c r="P55" s="43">
        <v>0</v>
      </c>
      <c r="Q55" s="43">
        <v>-120</v>
      </c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 t="s">
        <v>259</v>
      </c>
      <c r="AC55" s="34">
        <v>40476</v>
      </c>
      <c r="AD55" s="15">
        <v>5</v>
      </c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"/>
      <c r="AV55" s="4"/>
      <c r="AW55" s="4"/>
      <c r="AX55" s="4"/>
      <c r="AY55" s="4"/>
      <c r="AZ55" s="4"/>
      <c r="BA55" s="4"/>
      <c r="BB55" s="4"/>
    </row>
    <row r="56" spans="1:54" x14ac:dyDescent="0.2">
      <c r="A56">
        <v>54</v>
      </c>
      <c r="B56" s="24" t="s">
        <v>296</v>
      </c>
      <c r="C56" s="15">
        <v>30</v>
      </c>
      <c r="D56" s="15">
        <v>0</v>
      </c>
      <c r="E56" s="15">
        <v>-12</v>
      </c>
      <c r="F56" s="15">
        <v>50</v>
      </c>
      <c r="G56" s="15">
        <v>0</v>
      </c>
      <c r="H56" s="15">
        <v>-120</v>
      </c>
      <c r="I56" s="15" t="s">
        <v>143</v>
      </c>
      <c r="J56" s="15" t="s">
        <v>143</v>
      </c>
      <c r="K56" s="15" t="s">
        <v>143</v>
      </c>
      <c r="L56" s="15">
        <v>62</v>
      </c>
      <c r="M56" s="15">
        <v>0</v>
      </c>
      <c r="N56" s="15">
        <v>-15</v>
      </c>
      <c r="O56" s="15">
        <v>40</v>
      </c>
      <c r="P56" s="15">
        <v>0</v>
      </c>
      <c r="Q56" s="15">
        <v>-120</v>
      </c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 t="s">
        <v>297</v>
      </c>
      <c r="AC56" s="34">
        <v>40476</v>
      </c>
      <c r="AD56" s="15">
        <v>5</v>
      </c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"/>
      <c r="AV56" s="4"/>
      <c r="AW56" s="4"/>
      <c r="AX56" s="4"/>
      <c r="AY56" s="4"/>
      <c r="AZ56" s="4"/>
      <c r="BA56" s="4"/>
      <c r="BB56" s="4"/>
    </row>
    <row r="57" spans="1:54" x14ac:dyDescent="0.2">
      <c r="A57">
        <v>55</v>
      </c>
      <c r="B57" s="54" t="s">
        <v>319</v>
      </c>
      <c r="C57" s="64">
        <v>35</v>
      </c>
      <c r="D57" s="64">
        <v>0</v>
      </c>
      <c r="E57" s="64">
        <v>-12</v>
      </c>
      <c r="F57" s="64">
        <v>35</v>
      </c>
      <c r="G57" s="64">
        <v>0</v>
      </c>
      <c r="H57" s="64">
        <v>-240</v>
      </c>
      <c r="I57" s="64" t="s">
        <v>143</v>
      </c>
      <c r="J57" s="64" t="s">
        <v>143</v>
      </c>
      <c r="K57" s="64" t="s">
        <v>143</v>
      </c>
      <c r="L57" s="64">
        <v>65</v>
      </c>
      <c r="M57" s="64">
        <v>0</v>
      </c>
      <c r="N57" s="64">
        <v>-16</v>
      </c>
      <c r="O57" s="64">
        <v>35</v>
      </c>
      <c r="P57" s="64">
        <v>150</v>
      </c>
      <c r="Q57" s="64">
        <v>-150</v>
      </c>
      <c r="R57" s="64" t="s">
        <v>143</v>
      </c>
      <c r="S57" s="64" t="s">
        <v>143</v>
      </c>
      <c r="T57" s="64" t="s">
        <v>143</v>
      </c>
      <c r="U57" s="64" t="s">
        <v>143</v>
      </c>
      <c r="V57" s="64" t="s">
        <v>143</v>
      </c>
      <c r="W57" s="64" t="s">
        <v>143</v>
      </c>
      <c r="X57" s="64" t="s">
        <v>143</v>
      </c>
      <c r="Y57" s="64" t="s">
        <v>143</v>
      </c>
      <c r="Z57" s="64" t="s">
        <v>143</v>
      </c>
      <c r="AA57" s="64" t="s">
        <v>143</v>
      </c>
      <c r="AB57" s="64" t="s">
        <v>320</v>
      </c>
      <c r="AC57" s="34">
        <v>40493</v>
      </c>
      <c r="AD57" s="15">
        <v>5</v>
      </c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"/>
      <c r="AV57" s="4"/>
      <c r="AW57" s="4"/>
      <c r="AX57" s="4"/>
      <c r="AY57" s="4"/>
      <c r="AZ57" s="4"/>
      <c r="BA57" s="4"/>
      <c r="BB57" s="4"/>
    </row>
    <row r="58" spans="1:54" ht="25.5" x14ac:dyDescent="0.2">
      <c r="A58">
        <v>56</v>
      </c>
      <c r="B58" s="24" t="s">
        <v>145</v>
      </c>
      <c r="C58" s="41">
        <v>35</v>
      </c>
      <c r="D58" s="42">
        <v>0</v>
      </c>
      <c r="E58" s="43">
        <v>-12</v>
      </c>
      <c r="F58" s="43">
        <v>35</v>
      </c>
      <c r="G58" s="43">
        <v>0</v>
      </c>
      <c r="H58" s="43">
        <v>-6</v>
      </c>
      <c r="I58" s="43">
        <v>70</v>
      </c>
      <c r="J58" s="43">
        <v>0</v>
      </c>
      <c r="K58" s="43">
        <v>-120</v>
      </c>
      <c r="L58" s="43">
        <v>72</v>
      </c>
      <c r="M58" s="43">
        <v>0</v>
      </c>
      <c r="N58" s="43">
        <v>-180</v>
      </c>
      <c r="O58" s="43">
        <v>60</v>
      </c>
      <c r="P58" s="43">
        <v>0</v>
      </c>
      <c r="Q58" s="43">
        <v>-20</v>
      </c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7" t="s">
        <v>167</v>
      </c>
      <c r="AC58" s="34">
        <v>40476</v>
      </c>
      <c r="AD58" s="15">
        <v>5</v>
      </c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"/>
      <c r="AV58" s="4"/>
      <c r="AW58" s="4"/>
      <c r="AX58" s="4"/>
      <c r="AY58" s="4"/>
      <c r="AZ58" s="4"/>
      <c r="BA58" s="4"/>
      <c r="BB58" s="4"/>
    </row>
    <row r="59" spans="1:54" ht="25.5" x14ac:dyDescent="0.2">
      <c r="A59">
        <v>57</v>
      </c>
      <c r="B59" s="24" t="s">
        <v>144</v>
      </c>
      <c r="C59" s="41">
        <v>40</v>
      </c>
      <c r="D59" s="42">
        <v>0</v>
      </c>
      <c r="E59" s="43">
        <v>-12</v>
      </c>
      <c r="F59" s="43">
        <v>32.5</v>
      </c>
      <c r="G59" s="43">
        <v>0</v>
      </c>
      <c r="H59" s="43">
        <v>-75</v>
      </c>
      <c r="I59" s="43">
        <v>65</v>
      </c>
      <c r="J59" s="43">
        <v>0</v>
      </c>
      <c r="K59" s="43">
        <v>-150</v>
      </c>
      <c r="L59" s="43">
        <v>80</v>
      </c>
      <c r="M59" s="43">
        <v>0</v>
      </c>
      <c r="N59" s="43">
        <v>-16</v>
      </c>
      <c r="O59" s="43">
        <v>55</v>
      </c>
      <c r="P59" s="43">
        <v>0</v>
      </c>
      <c r="Q59" s="43">
        <v>-150</v>
      </c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7" t="s">
        <v>168</v>
      </c>
      <c r="AC59" s="34">
        <v>40476</v>
      </c>
      <c r="AD59" s="15">
        <v>5</v>
      </c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"/>
      <c r="AV59" s="4"/>
      <c r="AW59" s="4"/>
      <c r="AX59" s="4"/>
      <c r="AY59" s="4"/>
      <c r="AZ59" s="4"/>
      <c r="BA59" s="4"/>
      <c r="BB59" s="4"/>
    </row>
    <row r="60" spans="1:54" x14ac:dyDescent="0.2">
      <c r="A60">
        <v>58</v>
      </c>
      <c r="B60" s="24" t="s">
        <v>169</v>
      </c>
      <c r="C60" s="43" t="s">
        <v>143</v>
      </c>
      <c r="D60" s="43" t="s">
        <v>143</v>
      </c>
      <c r="E60" s="43" t="s">
        <v>143</v>
      </c>
      <c r="F60" s="43" t="s">
        <v>143</v>
      </c>
      <c r="G60" s="43" t="s">
        <v>143</v>
      </c>
      <c r="H60" s="43" t="s">
        <v>143</v>
      </c>
      <c r="I60" s="43" t="s">
        <v>143</v>
      </c>
      <c r="J60" s="43" t="s">
        <v>143</v>
      </c>
      <c r="K60" s="43" t="s">
        <v>143</v>
      </c>
      <c r="L60" s="43">
        <v>122.238</v>
      </c>
      <c r="M60" s="43">
        <v>0</v>
      </c>
      <c r="N60" s="43">
        <v>-20</v>
      </c>
      <c r="O60" s="43">
        <v>29.718</v>
      </c>
      <c r="P60" s="43">
        <v>0</v>
      </c>
      <c r="Q60" s="43">
        <v>-150</v>
      </c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 t="s">
        <v>173</v>
      </c>
      <c r="AC60" s="34">
        <v>40476</v>
      </c>
      <c r="AD60" s="15">
        <v>5</v>
      </c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"/>
      <c r="AV60" s="4"/>
      <c r="AW60" s="4"/>
      <c r="AX60" s="4"/>
      <c r="AY60" s="4"/>
      <c r="AZ60" s="4"/>
      <c r="BA60" s="4"/>
      <c r="BB60" s="4"/>
    </row>
    <row r="61" spans="1:54" x14ac:dyDescent="0.2">
      <c r="A61">
        <v>59</v>
      </c>
      <c r="B61" s="24" t="s">
        <v>149</v>
      </c>
      <c r="C61" s="45">
        <v>66.674999999999997</v>
      </c>
      <c r="D61" s="42">
        <v>0</v>
      </c>
      <c r="E61" s="43">
        <v>-15</v>
      </c>
      <c r="F61" s="43">
        <v>38.353999999999999</v>
      </c>
      <c r="G61" s="43">
        <v>0</v>
      </c>
      <c r="H61" s="43">
        <v>-150</v>
      </c>
      <c r="I61" s="43" t="s">
        <v>143</v>
      </c>
      <c r="J61" s="43" t="s">
        <v>143</v>
      </c>
      <c r="K61" s="43" t="s">
        <v>143</v>
      </c>
      <c r="L61" s="43" t="s">
        <v>143</v>
      </c>
      <c r="M61" s="43" t="s">
        <v>143</v>
      </c>
      <c r="N61" s="43" t="s">
        <v>143</v>
      </c>
      <c r="O61" s="43" t="s">
        <v>143</v>
      </c>
      <c r="P61" s="43" t="s">
        <v>143</v>
      </c>
      <c r="Q61" s="43" t="s">
        <v>143</v>
      </c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 t="s">
        <v>146</v>
      </c>
      <c r="AC61" s="34">
        <v>40476</v>
      </c>
      <c r="AD61" s="15">
        <v>5</v>
      </c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"/>
      <c r="AV61" s="4"/>
      <c r="AW61" s="4"/>
      <c r="AX61" s="4"/>
      <c r="AY61" s="4"/>
      <c r="AZ61" s="4"/>
      <c r="BA61" s="4"/>
      <c r="BB61" s="4"/>
    </row>
    <row r="62" spans="1:54" x14ac:dyDescent="0.2">
      <c r="A62">
        <v>60</v>
      </c>
      <c r="B62" s="24" t="s">
        <v>102</v>
      </c>
      <c r="C62" s="15"/>
      <c r="D62" s="15"/>
      <c r="E62" s="15"/>
      <c r="F62" s="15"/>
      <c r="G62" s="15"/>
      <c r="H62" s="15"/>
      <c r="I62" s="15"/>
      <c r="J62" s="15"/>
      <c r="K62" s="15"/>
      <c r="L62" s="15">
        <v>152.4</v>
      </c>
      <c r="M62" s="15">
        <v>25</v>
      </c>
      <c r="N62" s="15">
        <v>0</v>
      </c>
      <c r="O62" s="15">
        <v>30.161999999999999</v>
      </c>
      <c r="P62" s="15">
        <v>0</v>
      </c>
      <c r="Q62" s="15">
        <v>-200</v>
      </c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40" t="s">
        <v>103</v>
      </c>
      <c r="AC62" s="34">
        <v>40476</v>
      </c>
      <c r="AD62" s="15">
        <v>5</v>
      </c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"/>
      <c r="AV62" s="4"/>
      <c r="AW62" s="4"/>
      <c r="AX62" s="4"/>
      <c r="AY62" s="4"/>
      <c r="AZ62" s="4"/>
      <c r="BA62" s="4"/>
      <c r="BB62" s="4"/>
    </row>
    <row r="63" spans="1:54" x14ac:dyDescent="0.2">
      <c r="A63">
        <v>61</v>
      </c>
      <c r="B63" s="24" t="s">
        <v>116</v>
      </c>
      <c r="C63" s="41">
        <v>88.9</v>
      </c>
      <c r="D63" s="42">
        <v>25</v>
      </c>
      <c r="E63" s="43">
        <v>0</v>
      </c>
      <c r="F63" s="43">
        <v>39.688000000000002</v>
      </c>
      <c r="G63" s="43">
        <v>7.5999999999999998E-2</v>
      </c>
      <c r="H63" s="43">
        <v>-0.254</v>
      </c>
      <c r="I63" s="43">
        <v>39.688000000000002</v>
      </c>
      <c r="J63" s="43">
        <v>0.20300000000000001</v>
      </c>
      <c r="K63" s="43">
        <v>0</v>
      </c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 t="s">
        <v>119</v>
      </c>
      <c r="AC63" s="34">
        <v>40476</v>
      </c>
      <c r="AD63" s="15">
        <v>5</v>
      </c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"/>
      <c r="AV63" s="4"/>
      <c r="AW63" s="4"/>
      <c r="AX63" s="4"/>
      <c r="AY63" s="4"/>
      <c r="AZ63" s="4"/>
      <c r="BA63" s="4"/>
      <c r="BB63" s="4"/>
    </row>
    <row r="64" spans="1:54" x14ac:dyDescent="0.2">
      <c r="A64">
        <v>62</v>
      </c>
      <c r="B64" s="24" t="s">
        <v>165</v>
      </c>
      <c r="C64" s="43" t="s">
        <v>143</v>
      </c>
      <c r="D64" s="43" t="s">
        <v>143</v>
      </c>
      <c r="E64" s="43" t="s">
        <v>143</v>
      </c>
      <c r="F64" s="43" t="s">
        <v>143</v>
      </c>
      <c r="G64" s="43" t="s">
        <v>143</v>
      </c>
      <c r="H64" s="43" t="s">
        <v>143</v>
      </c>
      <c r="I64" s="43" t="s">
        <v>143</v>
      </c>
      <c r="J64" s="43" t="s">
        <v>143</v>
      </c>
      <c r="K64" s="43" t="s">
        <v>143</v>
      </c>
      <c r="L64" s="43">
        <v>72.233000000000004</v>
      </c>
      <c r="M64" s="43">
        <v>0</v>
      </c>
      <c r="N64" s="43">
        <v>-16</v>
      </c>
      <c r="O64" s="43">
        <v>19.841999999999999</v>
      </c>
      <c r="P64" s="43">
        <v>0</v>
      </c>
      <c r="Q64" s="43">
        <v>-120</v>
      </c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 t="s">
        <v>166</v>
      </c>
      <c r="AC64" s="34">
        <v>40476</v>
      </c>
      <c r="AD64" s="15">
        <v>5</v>
      </c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"/>
      <c r="AV64" s="4"/>
      <c r="AW64" s="4"/>
      <c r="AX64" s="4"/>
      <c r="AY64" s="4"/>
      <c r="AZ64" s="4"/>
      <c r="BA64" s="4"/>
      <c r="BB64" s="4"/>
    </row>
    <row r="65" spans="1:54" x14ac:dyDescent="0.2">
      <c r="A65">
        <v>63</v>
      </c>
      <c r="B65" s="24" t="s">
        <v>229</v>
      </c>
      <c r="C65" s="43">
        <v>34.924999999999997</v>
      </c>
      <c r="D65" s="43">
        <v>0</v>
      </c>
      <c r="E65" s="43">
        <v>-12</v>
      </c>
      <c r="F65" s="43">
        <v>25.4</v>
      </c>
      <c r="G65" s="43">
        <v>0</v>
      </c>
      <c r="H65" s="43">
        <v>-120</v>
      </c>
      <c r="I65" s="43" t="s">
        <v>143</v>
      </c>
      <c r="J65" s="43" t="s">
        <v>143</v>
      </c>
      <c r="K65" s="43" t="s">
        <v>143</v>
      </c>
      <c r="L65" s="43" t="s">
        <v>143</v>
      </c>
      <c r="M65" s="43" t="s">
        <v>143</v>
      </c>
      <c r="N65" s="43" t="s">
        <v>143</v>
      </c>
      <c r="O65" s="51" t="s">
        <v>143</v>
      </c>
      <c r="P65" s="43" t="s">
        <v>143</v>
      </c>
      <c r="Q65" s="43" t="s">
        <v>143</v>
      </c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 t="s">
        <v>230</v>
      </c>
      <c r="AC65" s="34">
        <v>40476</v>
      </c>
      <c r="AD65" s="15">
        <v>5</v>
      </c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"/>
      <c r="AV65" s="4"/>
      <c r="AW65" s="4"/>
      <c r="AX65" s="4"/>
      <c r="AY65" s="4"/>
      <c r="AZ65" s="4"/>
      <c r="BA65" s="4"/>
      <c r="BB65" s="4"/>
    </row>
    <row r="66" spans="1:54" x14ac:dyDescent="0.2">
      <c r="A66">
        <v>64</v>
      </c>
      <c r="B66" s="24" t="s">
        <v>292</v>
      </c>
      <c r="C66" s="15" t="s">
        <v>143</v>
      </c>
      <c r="D66" s="15" t="s">
        <v>143</v>
      </c>
      <c r="E66" s="15" t="s">
        <v>143</v>
      </c>
      <c r="F66" s="15" t="s">
        <v>143</v>
      </c>
      <c r="G66" s="15" t="s">
        <v>143</v>
      </c>
      <c r="H66" s="15" t="s">
        <v>143</v>
      </c>
      <c r="I66" s="15" t="s">
        <v>143</v>
      </c>
      <c r="J66" s="15" t="s">
        <v>143</v>
      </c>
      <c r="K66" s="15" t="s">
        <v>143</v>
      </c>
      <c r="L66" s="15">
        <v>135</v>
      </c>
      <c r="M66" s="15">
        <v>0</v>
      </c>
      <c r="N66" s="15">
        <v>-20</v>
      </c>
      <c r="O66" s="15">
        <v>20</v>
      </c>
      <c r="P66" s="15">
        <v>0</v>
      </c>
      <c r="Q66" s="15">
        <v>-100</v>
      </c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 t="s">
        <v>293</v>
      </c>
      <c r="AC66" s="34">
        <v>40476</v>
      </c>
      <c r="AD66" s="15">
        <v>5</v>
      </c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"/>
      <c r="AV66" s="4"/>
      <c r="AW66" s="4"/>
      <c r="AX66" s="4"/>
      <c r="AY66" s="4"/>
      <c r="AZ66" s="4"/>
      <c r="BA66" s="4"/>
      <c r="BB66" s="4"/>
    </row>
    <row r="67" spans="1:54" x14ac:dyDescent="0.2">
      <c r="A67">
        <v>65</v>
      </c>
      <c r="B67" s="24" t="s">
        <v>270</v>
      </c>
      <c r="C67" s="43">
        <v>50</v>
      </c>
      <c r="D67" s="43">
        <v>0</v>
      </c>
      <c r="E67" s="43">
        <v>-12</v>
      </c>
      <c r="F67" s="43">
        <v>28</v>
      </c>
      <c r="G67" s="43">
        <v>0</v>
      </c>
      <c r="H67" s="43">
        <v>-120</v>
      </c>
      <c r="I67" s="43" t="s">
        <v>143</v>
      </c>
      <c r="J67" s="43" t="s">
        <v>143</v>
      </c>
      <c r="K67" s="43" t="s">
        <v>143</v>
      </c>
      <c r="L67" s="43" t="s">
        <v>143</v>
      </c>
      <c r="M67" s="43" t="s">
        <v>143</v>
      </c>
      <c r="N67" s="43" t="s">
        <v>143</v>
      </c>
      <c r="O67" s="43" t="s">
        <v>143</v>
      </c>
      <c r="P67" s="43" t="s">
        <v>143</v>
      </c>
      <c r="Q67" s="43" t="s">
        <v>143</v>
      </c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 t="s">
        <v>271</v>
      </c>
      <c r="AC67" s="34">
        <v>40476</v>
      </c>
      <c r="AD67" s="15">
        <v>5</v>
      </c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"/>
      <c r="AV67" s="4"/>
      <c r="AW67" s="4"/>
      <c r="AX67" s="4"/>
      <c r="AY67" s="4"/>
      <c r="AZ67" s="4"/>
      <c r="BA67" s="4"/>
      <c r="BB67" s="4"/>
    </row>
    <row r="68" spans="1:54" x14ac:dyDescent="0.2">
      <c r="A68">
        <v>66</v>
      </c>
      <c r="B68" s="24" t="s">
        <v>254</v>
      </c>
      <c r="C68" s="43">
        <v>50</v>
      </c>
      <c r="D68" s="43">
        <v>0</v>
      </c>
      <c r="E68" s="43">
        <v>-12</v>
      </c>
      <c r="F68" s="43">
        <v>28</v>
      </c>
      <c r="G68" s="43">
        <v>0</v>
      </c>
      <c r="H68" s="43">
        <v>-120</v>
      </c>
      <c r="I68" s="43" t="s">
        <v>143</v>
      </c>
      <c r="J68" s="43" t="s">
        <v>143</v>
      </c>
      <c r="K68" s="43" t="s">
        <v>143</v>
      </c>
      <c r="L68" s="43" t="s">
        <v>143</v>
      </c>
      <c r="M68" s="43" t="s">
        <v>143</v>
      </c>
      <c r="N68" s="43" t="s">
        <v>143</v>
      </c>
      <c r="O68" s="43" t="s">
        <v>143</v>
      </c>
      <c r="P68" s="43" t="s">
        <v>143</v>
      </c>
      <c r="Q68" s="43" t="s">
        <v>143</v>
      </c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 t="s">
        <v>255</v>
      </c>
      <c r="AC68" s="34">
        <v>40476</v>
      </c>
      <c r="AD68" s="15">
        <v>5</v>
      </c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"/>
      <c r="AV68" s="4"/>
      <c r="AW68" s="4"/>
      <c r="AX68" s="4"/>
      <c r="AY68" s="4"/>
      <c r="AZ68" s="4"/>
      <c r="BA68" s="4"/>
      <c r="BB68" s="4"/>
    </row>
    <row r="69" spans="1:54" x14ac:dyDescent="0.2">
      <c r="A69">
        <v>67</v>
      </c>
      <c r="B69" s="24" t="s">
        <v>97</v>
      </c>
      <c r="C69" s="15">
        <v>20</v>
      </c>
      <c r="D69" s="15">
        <v>0</v>
      </c>
      <c r="E69" s="15">
        <v>-12</v>
      </c>
      <c r="F69" s="15">
        <v>20</v>
      </c>
      <c r="G69" s="15">
        <v>0</v>
      </c>
      <c r="H69" s="15">
        <v>-60</v>
      </c>
      <c r="I69" s="15">
        <v>40</v>
      </c>
      <c r="J69" s="15">
        <v>0</v>
      </c>
      <c r="K69" s="15">
        <v>-120</v>
      </c>
      <c r="L69" s="15">
        <v>47</v>
      </c>
      <c r="M69" s="15">
        <v>0</v>
      </c>
      <c r="N69" s="15">
        <v>-14</v>
      </c>
      <c r="O69" s="15">
        <v>35</v>
      </c>
      <c r="P69" s="15">
        <v>0</v>
      </c>
      <c r="Q69" s="15">
        <v>-120</v>
      </c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40" t="s">
        <v>98</v>
      </c>
      <c r="AC69" s="34">
        <v>40476</v>
      </c>
      <c r="AD69" s="15">
        <v>5</v>
      </c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"/>
      <c r="AV69" s="4"/>
      <c r="AW69" s="4"/>
      <c r="AX69" s="4"/>
      <c r="AY69" s="4"/>
      <c r="AZ69" s="4"/>
      <c r="BA69" s="4"/>
      <c r="BB69" s="4"/>
    </row>
    <row r="70" spans="1:54" x14ac:dyDescent="0.2">
      <c r="A70">
        <v>68</v>
      </c>
      <c r="B70" s="24" t="s">
        <v>108</v>
      </c>
      <c r="C70" s="41"/>
      <c r="D70" s="42"/>
      <c r="E70" s="43"/>
      <c r="F70" s="15"/>
      <c r="G70" s="15"/>
      <c r="H70" s="15"/>
      <c r="I70" s="15"/>
      <c r="J70" s="15"/>
      <c r="K70" s="15"/>
      <c r="L70" s="43">
        <v>50.292000000000002</v>
      </c>
      <c r="M70" s="43">
        <v>25</v>
      </c>
      <c r="N70" s="43">
        <v>0</v>
      </c>
      <c r="O70" s="15">
        <v>40</v>
      </c>
      <c r="P70" s="15">
        <v>0</v>
      </c>
      <c r="Q70" s="15">
        <v>-120</v>
      </c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 t="s">
        <v>109</v>
      </c>
      <c r="AC70" s="34">
        <v>40476</v>
      </c>
      <c r="AD70" s="15">
        <v>5</v>
      </c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"/>
      <c r="AV70" s="4"/>
      <c r="AW70" s="4"/>
      <c r="AX70" s="4"/>
      <c r="AY70" s="4"/>
      <c r="AZ70" s="4"/>
      <c r="BA70" s="4"/>
      <c r="BB70" s="4"/>
    </row>
    <row r="71" spans="1:54" x14ac:dyDescent="0.2">
      <c r="A71">
        <v>69</v>
      </c>
      <c r="B71" s="24" t="s">
        <v>357</v>
      </c>
      <c r="C71" s="15" t="s">
        <v>143</v>
      </c>
      <c r="D71" s="15" t="s">
        <v>143</v>
      </c>
      <c r="E71" s="15" t="s">
        <v>143</v>
      </c>
      <c r="F71" s="15" t="s">
        <v>143</v>
      </c>
      <c r="G71" s="15" t="s">
        <v>143</v>
      </c>
      <c r="H71" s="15" t="s">
        <v>143</v>
      </c>
      <c r="I71" s="43" t="s">
        <v>143</v>
      </c>
      <c r="J71" s="43" t="s">
        <v>143</v>
      </c>
      <c r="K71" s="43" t="s">
        <v>143</v>
      </c>
      <c r="L71" s="15">
        <v>62</v>
      </c>
      <c r="M71" s="15">
        <v>0</v>
      </c>
      <c r="N71" s="15">
        <v>-13</v>
      </c>
      <c r="O71" s="15">
        <v>40</v>
      </c>
      <c r="P71" s="15">
        <v>0</v>
      </c>
      <c r="Q71" s="15">
        <v>-120</v>
      </c>
      <c r="R71" s="15" t="s">
        <v>143</v>
      </c>
      <c r="S71" s="15" t="s">
        <v>143</v>
      </c>
      <c r="T71" s="15" t="s">
        <v>143</v>
      </c>
      <c r="U71" s="15" t="s">
        <v>143</v>
      </c>
      <c r="V71" s="15" t="s">
        <v>143</v>
      </c>
      <c r="W71" s="15" t="s">
        <v>143</v>
      </c>
      <c r="X71" s="15" t="s">
        <v>143</v>
      </c>
      <c r="Y71" s="15" t="s">
        <v>143</v>
      </c>
      <c r="Z71" s="15" t="s">
        <v>143</v>
      </c>
      <c r="AA71" s="15" t="s">
        <v>143</v>
      </c>
      <c r="AB71" s="15"/>
      <c r="AC71" s="34">
        <v>40665</v>
      </c>
      <c r="AD71" s="15">
        <v>5</v>
      </c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"/>
      <c r="AV71" s="4"/>
      <c r="AW71" s="4"/>
      <c r="AX71" s="4"/>
      <c r="AY71" s="4"/>
      <c r="AZ71" s="4"/>
      <c r="BA71" s="4"/>
      <c r="BB71" s="4"/>
    </row>
    <row r="72" spans="1:54" x14ac:dyDescent="0.2">
      <c r="A72">
        <v>70</v>
      </c>
      <c r="B72" s="24" t="s">
        <v>233</v>
      </c>
      <c r="C72" s="43" t="s">
        <v>143</v>
      </c>
      <c r="D72" s="43" t="s">
        <v>143</v>
      </c>
      <c r="E72" s="43" t="s">
        <v>143</v>
      </c>
      <c r="F72" s="43" t="s">
        <v>143</v>
      </c>
      <c r="G72" s="43" t="s">
        <v>143</v>
      </c>
      <c r="H72" s="43" t="s">
        <v>143</v>
      </c>
      <c r="I72" s="43" t="s">
        <v>143</v>
      </c>
      <c r="J72" s="43" t="s">
        <v>143</v>
      </c>
      <c r="K72" s="43" t="s">
        <v>143</v>
      </c>
      <c r="L72" s="43">
        <v>50.292000000000002</v>
      </c>
      <c r="M72" s="43">
        <v>0</v>
      </c>
      <c r="N72" s="43">
        <v>-16</v>
      </c>
      <c r="O72" s="43">
        <v>10.667999999999999</v>
      </c>
      <c r="P72" s="43">
        <v>0</v>
      </c>
      <c r="Q72" s="43">
        <v>-120</v>
      </c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 t="s">
        <v>236</v>
      </c>
      <c r="AC72" s="34">
        <v>40476</v>
      </c>
      <c r="AD72" s="15">
        <v>5</v>
      </c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"/>
      <c r="AV72" s="4"/>
      <c r="AW72" s="4"/>
      <c r="AX72" s="4"/>
      <c r="AY72" s="4"/>
      <c r="AZ72" s="4"/>
      <c r="BA72" s="4"/>
      <c r="BB72" s="4"/>
    </row>
    <row r="73" spans="1:54" x14ac:dyDescent="0.2">
      <c r="A73">
        <v>71</v>
      </c>
      <c r="B73" s="24" t="s">
        <v>234</v>
      </c>
      <c r="C73" s="43">
        <v>25.4</v>
      </c>
      <c r="D73" s="43">
        <v>0</v>
      </c>
      <c r="E73" s="43">
        <v>-12</v>
      </c>
      <c r="F73" s="43">
        <v>14.731999999999999</v>
      </c>
      <c r="G73" s="43">
        <v>0</v>
      </c>
      <c r="H73" s="43">
        <v>-120</v>
      </c>
      <c r="I73" s="43" t="s">
        <v>143</v>
      </c>
      <c r="J73" s="43" t="s">
        <v>143</v>
      </c>
      <c r="K73" s="43" t="s">
        <v>143</v>
      </c>
      <c r="L73" s="43" t="s">
        <v>143</v>
      </c>
      <c r="M73" s="43" t="s">
        <v>143</v>
      </c>
      <c r="N73" s="43" t="s">
        <v>143</v>
      </c>
      <c r="O73" s="43" t="s">
        <v>143</v>
      </c>
      <c r="P73" s="43" t="s">
        <v>143</v>
      </c>
      <c r="Q73" s="43" t="s">
        <v>143</v>
      </c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 t="s">
        <v>235</v>
      </c>
      <c r="AC73" s="34">
        <v>40476</v>
      </c>
      <c r="AD73" s="15">
        <v>5</v>
      </c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"/>
      <c r="AV73" s="4"/>
      <c r="AW73" s="4"/>
      <c r="AX73" s="4"/>
      <c r="AY73" s="4"/>
      <c r="AZ73" s="4"/>
      <c r="BA73" s="4"/>
      <c r="BB73" s="4"/>
    </row>
    <row r="74" spans="1:54" x14ac:dyDescent="0.2">
      <c r="A74">
        <v>72</v>
      </c>
      <c r="B74" s="24" t="s">
        <v>170</v>
      </c>
      <c r="C74" s="43" t="s">
        <v>143</v>
      </c>
      <c r="D74" s="43" t="s">
        <v>143</v>
      </c>
      <c r="E74" s="43" t="s">
        <v>143</v>
      </c>
      <c r="F74" s="43" t="s">
        <v>143</v>
      </c>
      <c r="G74" s="43" t="s">
        <v>143</v>
      </c>
      <c r="H74" s="43" t="s">
        <v>143</v>
      </c>
      <c r="I74" s="43" t="s">
        <v>143</v>
      </c>
      <c r="J74" s="43" t="s">
        <v>143</v>
      </c>
      <c r="K74" s="43" t="s">
        <v>143</v>
      </c>
      <c r="L74" s="43">
        <v>50.292000000000002</v>
      </c>
      <c r="M74" s="43">
        <v>0</v>
      </c>
      <c r="N74" s="43">
        <v>-16</v>
      </c>
      <c r="O74" s="43">
        <v>10.667999999999999</v>
      </c>
      <c r="P74" s="43">
        <v>0</v>
      </c>
      <c r="Q74" s="43">
        <v>-120</v>
      </c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 t="s">
        <v>174</v>
      </c>
      <c r="AC74" s="34">
        <v>40476</v>
      </c>
      <c r="AD74" s="15">
        <v>5</v>
      </c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"/>
      <c r="AV74" s="4"/>
      <c r="AW74" s="4"/>
      <c r="AX74" s="4"/>
      <c r="AY74" s="4"/>
      <c r="AZ74" s="4"/>
      <c r="BA74" s="4"/>
      <c r="BB74" s="4"/>
    </row>
    <row r="75" spans="1:54" x14ac:dyDescent="0.2">
      <c r="A75">
        <v>73</v>
      </c>
      <c r="B75" s="24" t="s">
        <v>151</v>
      </c>
      <c r="C75" s="46">
        <v>29</v>
      </c>
      <c r="D75" s="42">
        <v>0</v>
      </c>
      <c r="E75" s="43">
        <v>-12</v>
      </c>
      <c r="F75" s="43">
        <v>14.731999999999999</v>
      </c>
      <c r="G75" s="43">
        <v>0</v>
      </c>
      <c r="H75" s="43">
        <v>-120</v>
      </c>
      <c r="I75" s="43" t="s">
        <v>143</v>
      </c>
      <c r="J75" s="43" t="s">
        <v>143</v>
      </c>
      <c r="K75" s="43" t="s">
        <v>143</v>
      </c>
      <c r="L75" s="43" t="s">
        <v>143</v>
      </c>
      <c r="M75" s="43" t="s">
        <v>143</v>
      </c>
      <c r="N75" s="43" t="s">
        <v>143</v>
      </c>
      <c r="O75" s="43" t="s">
        <v>143</v>
      </c>
      <c r="P75" s="43" t="s">
        <v>143</v>
      </c>
      <c r="Q75" s="43" t="s">
        <v>143</v>
      </c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 t="s">
        <v>148</v>
      </c>
      <c r="AC75" s="34">
        <v>40476</v>
      </c>
      <c r="AD75" s="15">
        <v>5</v>
      </c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"/>
      <c r="AV75" s="4"/>
      <c r="AW75" s="4"/>
      <c r="AX75" s="4"/>
      <c r="AY75" s="4"/>
      <c r="AZ75" s="4"/>
      <c r="BA75" s="4"/>
      <c r="BB75" s="4"/>
    </row>
    <row r="76" spans="1:54" x14ac:dyDescent="0.2">
      <c r="A76">
        <v>74</v>
      </c>
      <c r="B76" s="24" t="s">
        <v>196</v>
      </c>
      <c r="C76" s="43" t="s">
        <v>143</v>
      </c>
      <c r="D76" s="43" t="s">
        <v>143</v>
      </c>
      <c r="E76" s="43" t="s">
        <v>143</v>
      </c>
      <c r="F76" s="43" t="s">
        <v>143</v>
      </c>
      <c r="G76" s="43" t="s">
        <v>143</v>
      </c>
      <c r="H76" s="43" t="s">
        <v>143</v>
      </c>
      <c r="I76" s="43" t="s">
        <v>143</v>
      </c>
      <c r="J76" s="43" t="s">
        <v>143</v>
      </c>
      <c r="K76" s="43" t="s">
        <v>143</v>
      </c>
      <c r="L76" s="43">
        <v>73.430999999999997</v>
      </c>
      <c r="M76" s="43">
        <v>25</v>
      </c>
      <c r="N76" s="43">
        <v>0</v>
      </c>
      <c r="O76" s="43">
        <v>15.747999999999999</v>
      </c>
      <c r="P76" s="43">
        <v>0</v>
      </c>
      <c r="Q76" s="43">
        <v>-120</v>
      </c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 t="s">
        <v>197</v>
      </c>
      <c r="AC76" s="34">
        <v>40476</v>
      </c>
      <c r="AD76" s="15">
        <v>5</v>
      </c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"/>
      <c r="AV76" s="4"/>
      <c r="AW76" s="4"/>
      <c r="AX76" s="4"/>
      <c r="AY76" s="4"/>
      <c r="AZ76" s="4"/>
      <c r="BA76" s="4"/>
      <c r="BB76" s="4"/>
    </row>
    <row r="77" spans="1:54" x14ac:dyDescent="0.2">
      <c r="A77">
        <v>75</v>
      </c>
      <c r="B77" s="24" t="s">
        <v>188</v>
      </c>
      <c r="C77" s="43">
        <v>45.241999999999997</v>
      </c>
      <c r="D77" s="43">
        <v>13</v>
      </c>
      <c r="E77" s="43">
        <v>0</v>
      </c>
      <c r="F77" s="43">
        <v>19.812000000000001</v>
      </c>
      <c r="G77" s="43">
        <v>0</v>
      </c>
      <c r="H77" s="43">
        <v>-120</v>
      </c>
      <c r="I77" s="43" t="s">
        <v>143</v>
      </c>
      <c r="J77" s="43" t="s">
        <v>143</v>
      </c>
      <c r="K77" s="43" t="s">
        <v>143</v>
      </c>
      <c r="L77" s="43" t="s">
        <v>143</v>
      </c>
      <c r="M77" s="43" t="s">
        <v>143</v>
      </c>
      <c r="N77" s="43" t="s">
        <v>143</v>
      </c>
      <c r="O77" s="43" t="s">
        <v>143</v>
      </c>
      <c r="P77" s="43" t="s">
        <v>143</v>
      </c>
      <c r="Q77" s="43" t="s">
        <v>143</v>
      </c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 t="s">
        <v>189</v>
      </c>
      <c r="AC77" s="34">
        <v>40476</v>
      </c>
      <c r="AD77" s="15">
        <v>5</v>
      </c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"/>
      <c r="AV77" s="4"/>
      <c r="AW77" s="4"/>
      <c r="AX77" s="4"/>
      <c r="AY77" s="4"/>
      <c r="AZ77" s="4"/>
      <c r="BA77" s="4"/>
      <c r="BB77" s="4"/>
    </row>
    <row r="78" spans="1:54" x14ac:dyDescent="0.2">
      <c r="A78">
        <v>76</v>
      </c>
      <c r="B78" s="24" t="s">
        <v>211</v>
      </c>
      <c r="C78" s="43" t="s">
        <v>143</v>
      </c>
      <c r="D78" s="43" t="s">
        <v>143</v>
      </c>
      <c r="E78" s="43" t="s">
        <v>143</v>
      </c>
      <c r="F78" s="43" t="s">
        <v>143</v>
      </c>
      <c r="G78" s="43" t="s">
        <v>143</v>
      </c>
      <c r="H78" s="43" t="s">
        <v>143</v>
      </c>
      <c r="I78" s="43" t="s">
        <v>143</v>
      </c>
      <c r="J78" s="43" t="s">
        <v>143</v>
      </c>
      <c r="K78" s="43" t="s">
        <v>143</v>
      </c>
      <c r="L78" s="43">
        <v>82.55</v>
      </c>
      <c r="M78" s="43">
        <v>0</v>
      </c>
      <c r="N78" s="43">
        <v>-18</v>
      </c>
      <c r="O78" s="43">
        <v>16.510000000000002</v>
      </c>
      <c r="P78" s="43">
        <v>0</v>
      </c>
      <c r="Q78" s="43">
        <v>-120</v>
      </c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 t="s">
        <v>212</v>
      </c>
      <c r="AC78" s="34">
        <v>40476</v>
      </c>
      <c r="AD78" s="15">
        <v>5</v>
      </c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"/>
      <c r="AV78" s="4"/>
      <c r="AW78" s="4"/>
      <c r="AX78" s="4"/>
      <c r="AY78" s="4"/>
      <c r="AZ78" s="4"/>
      <c r="BA78" s="4"/>
      <c r="BB78" s="4"/>
    </row>
    <row r="79" spans="1:54" x14ac:dyDescent="0.2">
      <c r="A79">
        <v>77</v>
      </c>
      <c r="B79" s="24" t="s">
        <v>158</v>
      </c>
      <c r="C79" s="46">
        <v>50.8</v>
      </c>
      <c r="D79" s="42">
        <v>0</v>
      </c>
      <c r="E79" s="43">
        <v>-15</v>
      </c>
      <c r="F79" s="43">
        <v>22.225000000000001</v>
      </c>
      <c r="G79" s="43">
        <v>0</v>
      </c>
      <c r="H79" s="43">
        <v>-150</v>
      </c>
      <c r="I79" s="43" t="s">
        <v>143</v>
      </c>
      <c r="J79" s="43" t="s">
        <v>143</v>
      </c>
      <c r="K79" s="43" t="s">
        <v>143</v>
      </c>
      <c r="L79" s="43" t="s">
        <v>143</v>
      </c>
      <c r="M79" s="43" t="s">
        <v>143</v>
      </c>
      <c r="N79" s="43" t="s">
        <v>143</v>
      </c>
      <c r="O79" s="43" t="s">
        <v>143</v>
      </c>
      <c r="P79" s="43" t="s">
        <v>143</v>
      </c>
      <c r="Q79" s="43" t="s">
        <v>143</v>
      </c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 t="s">
        <v>159</v>
      </c>
      <c r="AC79" s="34">
        <v>40476</v>
      </c>
      <c r="AD79" s="15">
        <v>5</v>
      </c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"/>
      <c r="AV79" s="4"/>
      <c r="AW79" s="4"/>
      <c r="AX79" s="4"/>
      <c r="AY79" s="4"/>
      <c r="AZ79" s="4"/>
      <c r="BA79" s="4"/>
      <c r="BB79" s="4"/>
    </row>
    <row r="80" spans="1:54" x14ac:dyDescent="0.2">
      <c r="A80">
        <v>78</v>
      </c>
      <c r="B80" s="24" t="s">
        <v>199</v>
      </c>
      <c r="C80" s="43" t="s">
        <v>143</v>
      </c>
      <c r="D80" s="43" t="s">
        <v>143</v>
      </c>
      <c r="E80" s="43" t="s">
        <v>143</v>
      </c>
      <c r="F80" s="43" t="s">
        <v>143</v>
      </c>
      <c r="G80" s="43" t="s">
        <v>143</v>
      </c>
      <c r="H80" s="43" t="s">
        <v>143</v>
      </c>
      <c r="I80" s="43" t="s">
        <v>143</v>
      </c>
      <c r="J80" s="43" t="s">
        <v>143</v>
      </c>
      <c r="K80" s="43" t="s">
        <v>143</v>
      </c>
      <c r="L80" s="43">
        <v>39.869999999999997</v>
      </c>
      <c r="M80" s="43">
        <v>25</v>
      </c>
      <c r="N80" s="43">
        <v>0</v>
      </c>
      <c r="O80" s="43">
        <v>10.66</v>
      </c>
      <c r="P80" s="43">
        <v>0</v>
      </c>
      <c r="Q80" s="43">
        <v>-120</v>
      </c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 t="s">
        <v>200</v>
      </c>
      <c r="AC80" s="34">
        <v>40476</v>
      </c>
      <c r="AD80" s="15">
        <v>5</v>
      </c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"/>
      <c r="AV80" s="4"/>
      <c r="AW80" s="4"/>
      <c r="AX80" s="4"/>
      <c r="AY80" s="4"/>
      <c r="AZ80" s="4"/>
      <c r="BA80" s="4"/>
      <c r="BB80" s="4"/>
    </row>
    <row r="81" spans="1:54" x14ac:dyDescent="0.2">
      <c r="A81">
        <v>79</v>
      </c>
      <c r="B81" s="24" t="s">
        <v>156</v>
      </c>
      <c r="C81" s="46">
        <v>17.462</v>
      </c>
      <c r="D81" s="42">
        <v>0</v>
      </c>
      <c r="E81" s="43">
        <v>-12</v>
      </c>
      <c r="F81" s="43">
        <v>14.605</v>
      </c>
      <c r="G81" s="43">
        <v>0</v>
      </c>
      <c r="H81" s="43">
        <v>-120</v>
      </c>
      <c r="I81" s="43" t="s">
        <v>143</v>
      </c>
      <c r="J81" s="43" t="s">
        <v>143</v>
      </c>
      <c r="K81" s="43" t="s">
        <v>143</v>
      </c>
      <c r="L81" s="43" t="s">
        <v>143</v>
      </c>
      <c r="M81" s="43" t="s">
        <v>143</v>
      </c>
      <c r="N81" s="43" t="s">
        <v>143</v>
      </c>
      <c r="O81" s="43" t="s">
        <v>143</v>
      </c>
      <c r="P81" s="43" t="s">
        <v>143</v>
      </c>
      <c r="Q81" s="43" t="s">
        <v>143</v>
      </c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 t="s">
        <v>157</v>
      </c>
      <c r="AC81" s="34">
        <v>40476</v>
      </c>
      <c r="AD81" s="15">
        <v>5</v>
      </c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"/>
      <c r="AV81" s="4"/>
      <c r="AW81" s="4"/>
      <c r="AX81" s="4"/>
      <c r="AY81" s="4"/>
      <c r="AZ81" s="4"/>
      <c r="BA81" s="4"/>
      <c r="BB81" s="4"/>
    </row>
    <row r="82" spans="1:54" x14ac:dyDescent="0.2">
      <c r="A82">
        <v>80</v>
      </c>
      <c r="B82" s="24" t="s">
        <v>194</v>
      </c>
      <c r="C82" s="43" t="s">
        <v>143</v>
      </c>
      <c r="D82" s="43" t="s">
        <v>143</v>
      </c>
      <c r="E82" s="43" t="s">
        <v>143</v>
      </c>
      <c r="F82" s="43" t="s">
        <v>143</v>
      </c>
      <c r="G82" s="43" t="s">
        <v>143</v>
      </c>
      <c r="H82" s="43" t="s">
        <v>143</v>
      </c>
      <c r="I82" s="43" t="s">
        <v>143</v>
      </c>
      <c r="J82" s="43" t="s">
        <v>143</v>
      </c>
      <c r="K82" s="43" t="s">
        <v>143</v>
      </c>
      <c r="L82" s="43">
        <v>45.237000000000002</v>
      </c>
      <c r="M82" s="43">
        <v>25</v>
      </c>
      <c r="N82" s="43">
        <v>0</v>
      </c>
      <c r="O82" s="43">
        <v>12.065</v>
      </c>
      <c r="P82" s="43">
        <v>0</v>
      </c>
      <c r="Q82" s="43">
        <v>-120</v>
      </c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 t="s">
        <v>195</v>
      </c>
      <c r="AC82" s="34">
        <v>40476</v>
      </c>
      <c r="AD82" s="15">
        <v>5</v>
      </c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"/>
      <c r="AV82" s="4"/>
      <c r="AW82" s="4"/>
      <c r="AX82" s="4"/>
      <c r="AY82" s="4"/>
      <c r="AZ82" s="4"/>
      <c r="BA82" s="4"/>
      <c r="BB82" s="4"/>
    </row>
    <row r="83" spans="1:54" x14ac:dyDescent="0.2">
      <c r="A83">
        <v>81</v>
      </c>
      <c r="B83" s="24" t="s">
        <v>154</v>
      </c>
      <c r="C83" s="46">
        <v>21.986000000000001</v>
      </c>
      <c r="D83" s="42">
        <v>0</v>
      </c>
      <c r="E83" s="43">
        <v>-12</v>
      </c>
      <c r="F83" s="43">
        <v>16.637</v>
      </c>
      <c r="G83" s="43">
        <v>0</v>
      </c>
      <c r="H83" s="43">
        <v>-120</v>
      </c>
      <c r="I83" s="43" t="s">
        <v>143</v>
      </c>
      <c r="J83" s="43" t="s">
        <v>143</v>
      </c>
      <c r="K83" s="43" t="s">
        <v>143</v>
      </c>
      <c r="L83" s="43" t="s">
        <v>143</v>
      </c>
      <c r="M83" s="43" t="s">
        <v>143</v>
      </c>
      <c r="N83" s="43" t="s">
        <v>143</v>
      </c>
      <c r="O83" s="43" t="s">
        <v>143</v>
      </c>
      <c r="P83" s="43" t="s">
        <v>143</v>
      </c>
      <c r="Q83" s="43" t="s">
        <v>143</v>
      </c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 t="s">
        <v>155</v>
      </c>
      <c r="AC83" s="34">
        <v>40476</v>
      </c>
      <c r="AD83" s="15">
        <v>5</v>
      </c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"/>
      <c r="AV83" s="4"/>
      <c r="AW83" s="4"/>
      <c r="AX83" s="4"/>
      <c r="AY83" s="4"/>
      <c r="AZ83" s="4"/>
      <c r="BA83" s="4"/>
      <c r="BB83" s="4"/>
    </row>
    <row r="84" spans="1:54" x14ac:dyDescent="0.2">
      <c r="A84">
        <v>82</v>
      </c>
      <c r="B84" s="24" t="s">
        <v>171</v>
      </c>
      <c r="C84" s="43" t="s">
        <v>143</v>
      </c>
      <c r="D84" s="43" t="s">
        <v>143</v>
      </c>
      <c r="E84" s="43" t="s">
        <v>143</v>
      </c>
      <c r="F84" s="43" t="s">
        <v>143</v>
      </c>
      <c r="G84" s="43" t="s">
        <v>143</v>
      </c>
      <c r="H84" s="43" t="s">
        <v>143</v>
      </c>
      <c r="I84" s="43" t="s">
        <v>143</v>
      </c>
      <c r="J84" s="43" t="s">
        <v>143</v>
      </c>
      <c r="K84" s="43" t="s">
        <v>143</v>
      </c>
      <c r="L84" s="43">
        <v>65.087999999999994</v>
      </c>
      <c r="M84" s="43">
        <v>0</v>
      </c>
      <c r="N84" s="43">
        <v>-16</v>
      </c>
      <c r="O84" s="43">
        <v>13.97</v>
      </c>
      <c r="P84" s="43">
        <v>0</v>
      </c>
      <c r="Q84" s="43">
        <v>-120</v>
      </c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 t="s">
        <v>175</v>
      </c>
      <c r="AC84" s="34">
        <v>40476</v>
      </c>
      <c r="AD84" s="15">
        <v>5</v>
      </c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"/>
      <c r="AV84" s="4"/>
      <c r="AW84" s="4"/>
      <c r="AX84" s="4"/>
      <c r="AY84" s="4"/>
      <c r="AZ84" s="4"/>
      <c r="BA84" s="4"/>
      <c r="BB84" s="4"/>
    </row>
    <row r="85" spans="1:54" x14ac:dyDescent="0.2">
      <c r="A85">
        <v>83</v>
      </c>
      <c r="B85" s="24" t="s">
        <v>152</v>
      </c>
      <c r="C85" s="46">
        <v>38.1</v>
      </c>
      <c r="D85" s="42">
        <v>0</v>
      </c>
      <c r="E85" s="43">
        <v>-12</v>
      </c>
      <c r="F85" s="43">
        <v>18.288</v>
      </c>
      <c r="G85" s="43">
        <v>0</v>
      </c>
      <c r="H85" s="43">
        <v>-120</v>
      </c>
      <c r="I85" s="43" t="s">
        <v>143</v>
      </c>
      <c r="J85" s="43" t="s">
        <v>143</v>
      </c>
      <c r="K85" s="43" t="s">
        <v>143</v>
      </c>
      <c r="L85" s="43" t="s">
        <v>143</v>
      </c>
      <c r="M85" s="43" t="s">
        <v>143</v>
      </c>
      <c r="N85" s="43" t="s">
        <v>143</v>
      </c>
      <c r="O85" s="43" t="s">
        <v>143</v>
      </c>
      <c r="P85" s="43" t="s">
        <v>143</v>
      </c>
      <c r="Q85" s="43" t="s">
        <v>143</v>
      </c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 t="s">
        <v>153</v>
      </c>
      <c r="AC85" s="34">
        <v>40476</v>
      </c>
      <c r="AD85" s="15">
        <v>5</v>
      </c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"/>
      <c r="AV85" s="4"/>
      <c r="AW85" s="4"/>
      <c r="AX85" s="4"/>
      <c r="AY85" s="4"/>
      <c r="AZ85" s="4"/>
      <c r="BA85" s="4"/>
      <c r="BB85" s="4"/>
    </row>
    <row r="86" spans="1:54" x14ac:dyDescent="0.2">
      <c r="A86">
        <v>84</v>
      </c>
      <c r="B86" s="24" t="s">
        <v>221</v>
      </c>
      <c r="C86" s="43" t="s">
        <v>143</v>
      </c>
      <c r="D86" s="43" t="s">
        <v>143</v>
      </c>
      <c r="E86" s="43" t="s">
        <v>143</v>
      </c>
      <c r="F86" s="43" t="s">
        <v>143</v>
      </c>
      <c r="G86" s="43" t="s">
        <v>143</v>
      </c>
      <c r="H86" s="43" t="s">
        <v>143</v>
      </c>
      <c r="I86" s="43" t="s">
        <v>143</v>
      </c>
      <c r="J86" s="43" t="s">
        <v>143</v>
      </c>
      <c r="K86" s="43" t="s">
        <v>143</v>
      </c>
      <c r="L86" s="43">
        <v>50.292000000000002</v>
      </c>
      <c r="M86" s="43">
        <v>0</v>
      </c>
      <c r="N86" s="43">
        <v>-16</v>
      </c>
      <c r="O86" s="43">
        <v>10.667999999999999</v>
      </c>
      <c r="P86" s="43">
        <v>0</v>
      </c>
      <c r="Q86" s="43">
        <v>-120</v>
      </c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 t="s">
        <v>222</v>
      </c>
      <c r="AC86" s="34">
        <v>40476</v>
      </c>
      <c r="AD86" s="15">
        <v>5</v>
      </c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"/>
      <c r="AV86" s="4"/>
      <c r="AW86" s="4"/>
      <c r="AX86" s="4"/>
      <c r="AY86" s="4"/>
      <c r="AZ86" s="4"/>
      <c r="BA86" s="4"/>
      <c r="BB86" s="4"/>
    </row>
    <row r="87" spans="1:54" x14ac:dyDescent="0.2">
      <c r="A87">
        <v>85</v>
      </c>
      <c r="B87" s="24" t="s">
        <v>219</v>
      </c>
      <c r="C87" s="43">
        <v>26.988</v>
      </c>
      <c r="D87" s="43">
        <v>0</v>
      </c>
      <c r="E87" s="43">
        <v>-12</v>
      </c>
      <c r="F87" s="43">
        <v>14.731999999999999</v>
      </c>
      <c r="G87" s="43">
        <v>0</v>
      </c>
      <c r="H87" s="43">
        <v>-120</v>
      </c>
      <c r="I87" s="43" t="s">
        <v>143</v>
      </c>
      <c r="J87" s="43" t="s">
        <v>143</v>
      </c>
      <c r="K87" s="43" t="s">
        <v>143</v>
      </c>
      <c r="L87" s="43" t="s">
        <v>143</v>
      </c>
      <c r="M87" s="43" t="s">
        <v>143</v>
      </c>
      <c r="N87" s="43" t="s">
        <v>143</v>
      </c>
      <c r="O87" s="43" t="s">
        <v>143</v>
      </c>
      <c r="P87" s="43" t="s">
        <v>143</v>
      </c>
      <c r="Q87" s="43" t="s">
        <v>143</v>
      </c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 t="s">
        <v>220</v>
      </c>
      <c r="AC87" s="34">
        <v>40476</v>
      </c>
      <c r="AD87" s="15">
        <v>5</v>
      </c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"/>
      <c r="AV87" s="4"/>
      <c r="AW87" s="4"/>
      <c r="AX87" s="4"/>
      <c r="AY87" s="4"/>
      <c r="AZ87" s="4"/>
      <c r="BA87" s="4"/>
      <c r="BB87" s="4"/>
    </row>
    <row r="88" spans="1:54" x14ac:dyDescent="0.2">
      <c r="A88">
        <v>86</v>
      </c>
      <c r="B88" s="24" t="s">
        <v>172</v>
      </c>
      <c r="C88" s="43" t="s">
        <v>143</v>
      </c>
      <c r="D88" s="43" t="s">
        <v>143</v>
      </c>
      <c r="E88" s="43" t="s">
        <v>143</v>
      </c>
      <c r="F88" s="43" t="s">
        <v>143</v>
      </c>
      <c r="G88" s="43" t="s">
        <v>143</v>
      </c>
      <c r="H88" s="43" t="s">
        <v>143</v>
      </c>
      <c r="I88" s="43" t="s">
        <v>143</v>
      </c>
      <c r="J88" s="43" t="s">
        <v>143</v>
      </c>
      <c r="K88" s="43" t="s">
        <v>143</v>
      </c>
      <c r="L88" s="43">
        <v>65.087999999999994</v>
      </c>
      <c r="M88" s="43">
        <v>0</v>
      </c>
      <c r="N88" s="43">
        <v>-16</v>
      </c>
      <c r="O88" s="43">
        <v>13.97</v>
      </c>
      <c r="P88" s="43">
        <v>0</v>
      </c>
      <c r="Q88" s="43">
        <v>-120</v>
      </c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 t="s">
        <v>176</v>
      </c>
      <c r="AC88" s="34">
        <v>40476</v>
      </c>
      <c r="AD88" s="15">
        <v>5</v>
      </c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"/>
      <c r="AV88" s="4"/>
      <c r="AW88" s="4"/>
      <c r="AX88" s="4"/>
      <c r="AY88" s="4"/>
      <c r="AZ88" s="4"/>
      <c r="BA88" s="4"/>
      <c r="BB88" s="4"/>
    </row>
    <row r="89" spans="1:54" x14ac:dyDescent="0.2">
      <c r="A89">
        <v>87</v>
      </c>
      <c r="B89" s="24" t="s">
        <v>150</v>
      </c>
      <c r="C89" s="45">
        <v>34.924999999999997</v>
      </c>
      <c r="D89" s="42">
        <v>0</v>
      </c>
      <c r="E89" s="43">
        <v>-12</v>
      </c>
      <c r="F89" s="43">
        <v>18.288</v>
      </c>
      <c r="G89" s="43">
        <v>0</v>
      </c>
      <c r="H89" s="43">
        <v>-120</v>
      </c>
      <c r="I89" s="43" t="s">
        <v>143</v>
      </c>
      <c r="J89" s="43" t="s">
        <v>143</v>
      </c>
      <c r="K89" s="43" t="s">
        <v>143</v>
      </c>
      <c r="L89" s="43" t="s">
        <v>143</v>
      </c>
      <c r="M89" s="43" t="s">
        <v>143</v>
      </c>
      <c r="N89" s="43" t="s">
        <v>143</v>
      </c>
      <c r="O89" s="43" t="s">
        <v>143</v>
      </c>
      <c r="P89" s="43" t="s">
        <v>143</v>
      </c>
      <c r="Q89" s="43" t="s">
        <v>143</v>
      </c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 t="s">
        <v>147</v>
      </c>
      <c r="AC89" s="34">
        <v>40476</v>
      </c>
      <c r="AD89" s="15">
        <v>5</v>
      </c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"/>
      <c r="AV89" s="4"/>
      <c r="AW89" s="4"/>
      <c r="AX89" s="4"/>
      <c r="AY89" s="4"/>
      <c r="AZ89" s="4"/>
      <c r="BA89" s="4"/>
      <c r="BB89" s="4"/>
    </row>
    <row r="90" spans="1:54" x14ac:dyDescent="0.2">
      <c r="A90">
        <v>88</v>
      </c>
      <c r="B90" s="24" t="s">
        <v>304</v>
      </c>
      <c r="C90" s="15" t="s">
        <v>143</v>
      </c>
      <c r="D90" s="15" t="s">
        <v>143</v>
      </c>
      <c r="E90" s="15" t="s">
        <v>143</v>
      </c>
      <c r="F90" s="15" t="s">
        <v>143</v>
      </c>
      <c r="G90" s="15" t="s">
        <v>143</v>
      </c>
      <c r="H90" s="15" t="s">
        <v>143</v>
      </c>
      <c r="I90" s="15" t="s">
        <v>143</v>
      </c>
      <c r="J90" s="15" t="s">
        <v>143</v>
      </c>
      <c r="K90" s="15" t="s">
        <v>143</v>
      </c>
      <c r="L90" s="15">
        <v>59.131</v>
      </c>
      <c r="M90" s="15">
        <v>25</v>
      </c>
      <c r="N90" s="15">
        <v>0</v>
      </c>
      <c r="O90" s="15">
        <v>11.811</v>
      </c>
      <c r="P90" s="15">
        <v>0</v>
      </c>
      <c r="Q90" s="15">
        <v>-120</v>
      </c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 t="s">
        <v>305</v>
      </c>
      <c r="AC90" s="34">
        <v>40476</v>
      </c>
      <c r="AD90" s="15">
        <v>5</v>
      </c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"/>
      <c r="AV90" s="4"/>
      <c r="AW90" s="4"/>
      <c r="AX90" s="4"/>
      <c r="AY90" s="4"/>
      <c r="AZ90" s="4"/>
      <c r="BA90" s="4"/>
      <c r="BB90" s="4"/>
    </row>
    <row r="91" spans="1:54" x14ac:dyDescent="0.2">
      <c r="A91">
        <v>89</v>
      </c>
      <c r="B91" s="24" t="s">
        <v>160</v>
      </c>
      <c r="C91" s="46">
        <v>31.75</v>
      </c>
      <c r="D91" s="42">
        <v>0</v>
      </c>
      <c r="E91" s="43">
        <v>-12</v>
      </c>
      <c r="F91" s="43">
        <v>16.763999999999999</v>
      </c>
      <c r="G91" s="43">
        <v>0</v>
      </c>
      <c r="H91" s="43">
        <v>-120</v>
      </c>
      <c r="I91" s="43" t="s">
        <v>143</v>
      </c>
      <c r="J91" s="43" t="s">
        <v>143</v>
      </c>
      <c r="K91" s="43" t="s">
        <v>143</v>
      </c>
      <c r="L91" s="43" t="s">
        <v>143</v>
      </c>
      <c r="M91" s="43" t="s">
        <v>143</v>
      </c>
      <c r="N91" s="43" t="s">
        <v>143</v>
      </c>
      <c r="O91" s="43" t="s">
        <v>143</v>
      </c>
      <c r="P91" s="43" t="s">
        <v>143</v>
      </c>
      <c r="Q91" s="43" t="s">
        <v>143</v>
      </c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 t="s">
        <v>161</v>
      </c>
      <c r="AC91" s="34">
        <v>40476</v>
      </c>
      <c r="AD91" s="15">
        <v>5</v>
      </c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"/>
      <c r="AV91" s="4"/>
      <c r="AW91" s="4"/>
      <c r="AX91" s="4"/>
      <c r="AY91" s="4"/>
      <c r="AZ91" s="4"/>
      <c r="BA91" s="4"/>
      <c r="BB91" s="4"/>
    </row>
    <row r="92" spans="1:54" x14ac:dyDescent="0.2">
      <c r="A92">
        <v>90</v>
      </c>
      <c r="B92" s="24" t="s">
        <v>136</v>
      </c>
      <c r="C92" s="41">
        <v>32</v>
      </c>
      <c r="D92" s="42">
        <v>0</v>
      </c>
      <c r="E92" s="43">
        <v>-12</v>
      </c>
      <c r="F92" s="43">
        <v>65.099999999999994</v>
      </c>
      <c r="G92" s="43">
        <v>0</v>
      </c>
      <c r="H92" s="43">
        <v>-200</v>
      </c>
      <c r="I92" s="43">
        <v>57</v>
      </c>
      <c r="J92" s="43">
        <v>0</v>
      </c>
      <c r="K92" s="43">
        <v>-120</v>
      </c>
      <c r="L92" s="43">
        <v>58</v>
      </c>
      <c r="M92" s="43">
        <v>0</v>
      </c>
      <c r="N92" s="43">
        <v>-16</v>
      </c>
      <c r="O92" s="43">
        <v>57</v>
      </c>
      <c r="P92" s="43">
        <v>0</v>
      </c>
      <c r="Q92" s="43">
        <v>-120</v>
      </c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 t="s">
        <v>137</v>
      </c>
      <c r="AC92" s="34">
        <v>40476</v>
      </c>
      <c r="AD92" s="15">
        <v>5</v>
      </c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"/>
      <c r="AV92" s="4"/>
      <c r="AW92" s="4"/>
      <c r="AX92" s="4"/>
      <c r="AY92" s="4"/>
      <c r="AZ92" s="4"/>
      <c r="BA92" s="4"/>
      <c r="BB92" s="4"/>
    </row>
    <row r="93" spans="1:54" x14ac:dyDescent="0.2">
      <c r="A93">
        <v>91</v>
      </c>
      <c r="B93" s="24" t="s">
        <v>129</v>
      </c>
      <c r="C93" s="41">
        <v>39.689</v>
      </c>
      <c r="D93" s="42">
        <v>13</v>
      </c>
      <c r="E93" s="43">
        <v>0</v>
      </c>
      <c r="F93" s="43">
        <v>22.076000000000001</v>
      </c>
      <c r="G93" s="43">
        <v>76</v>
      </c>
      <c r="H93" s="43">
        <v>-254</v>
      </c>
      <c r="I93" s="43">
        <v>18.777999999999999</v>
      </c>
      <c r="J93" s="43">
        <v>200</v>
      </c>
      <c r="K93" s="43">
        <v>0</v>
      </c>
      <c r="L93" s="43">
        <v>73.040000000000006</v>
      </c>
      <c r="M93" s="43">
        <v>25</v>
      </c>
      <c r="N93" s="43">
        <v>0</v>
      </c>
      <c r="O93" s="43">
        <v>15.3</v>
      </c>
      <c r="P93" s="43">
        <v>51</v>
      </c>
      <c r="Q93" s="43">
        <v>-254</v>
      </c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51" t="s">
        <v>133</v>
      </c>
      <c r="AC93" s="34">
        <v>40476</v>
      </c>
      <c r="AD93" s="15">
        <v>5</v>
      </c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"/>
      <c r="AV93" s="4"/>
      <c r="AW93" s="4"/>
      <c r="AX93" s="4"/>
      <c r="AY93" s="4"/>
      <c r="AZ93" s="4"/>
      <c r="BA93" s="4"/>
      <c r="BB93" s="4"/>
    </row>
    <row r="94" spans="1:54" x14ac:dyDescent="0.2">
      <c r="A94">
        <v>92</v>
      </c>
      <c r="B94" s="24" t="s">
        <v>130</v>
      </c>
      <c r="C94" s="41">
        <v>39.090000000000003</v>
      </c>
      <c r="D94" s="42">
        <v>13</v>
      </c>
      <c r="E94" s="43">
        <v>0</v>
      </c>
      <c r="F94" s="43">
        <v>22.076000000000001</v>
      </c>
      <c r="G94" s="43">
        <v>76</v>
      </c>
      <c r="H94" s="43">
        <v>-254</v>
      </c>
      <c r="I94" s="43">
        <v>19.399999999999999</v>
      </c>
      <c r="J94" s="43">
        <v>200</v>
      </c>
      <c r="K94" s="43">
        <v>0</v>
      </c>
      <c r="L94" s="43">
        <v>80</v>
      </c>
      <c r="M94" s="43">
        <v>0</v>
      </c>
      <c r="N94" s="43">
        <v>-13</v>
      </c>
      <c r="O94" s="43">
        <v>15.3</v>
      </c>
      <c r="P94" s="43">
        <v>51</v>
      </c>
      <c r="Q94" s="43">
        <v>-254</v>
      </c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 t="s">
        <v>134</v>
      </c>
      <c r="AC94" s="34">
        <v>40476</v>
      </c>
      <c r="AD94" s="15">
        <v>5</v>
      </c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"/>
      <c r="AV94" s="4"/>
      <c r="AW94" s="4"/>
      <c r="AX94" s="4"/>
      <c r="AY94" s="4"/>
      <c r="AZ94" s="4"/>
      <c r="BA94" s="4"/>
      <c r="BB94" s="4"/>
    </row>
    <row r="95" spans="1:54" x14ac:dyDescent="0.2">
      <c r="A95">
        <v>93</v>
      </c>
      <c r="B95" s="24" t="s">
        <v>131</v>
      </c>
      <c r="C95" s="41">
        <v>45</v>
      </c>
      <c r="D95" s="42">
        <v>0</v>
      </c>
      <c r="E95" s="43">
        <v>-12</v>
      </c>
      <c r="F95" s="43">
        <v>26</v>
      </c>
      <c r="G95" s="43">
        <v>0</v>
      </c>
      <c r="H95" s="43">
        <v>-120</v>
      </c>
      <c r="I95" s="43">
        <v>23.75</v>
      </c>
      <c r="J95" s="43">
        <v>200</v>
      </c>
      <c r="K95" s="43">
        <v>0</v>
      </c>
      <c r="L95" s="43">
        <v>80</v>
      </c>
      <c r="M95" s="43">
        <v>0</v>
      </c>
      <c r="N95" s="43">
        <v>-16</v>
      </c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 t="s">
        <v>135</v>
      </c>
      <c r="AC95" s="34">
        <v>40476</v>
      </c>
      <c r="AD95" s="15">
        <v>5</v>
      </c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"/>
      <c r="AV95" s="4"/>
      <c r="AW95" s="4"/>
      <c r="AX95" s="4"/>
      <c r="AY95" s="4"/>
      <c r="AZ95" s="4"/>
      <c r="BA95" s="4"/>
      <c r="BB95" s="4"/>
    </row>
    <row r="96" spans="1:54" x14ac:dyDescent="0.2">
      <c r="A96">
        <v>94</v>
      </c>
      <c r="B96" s="24" t="s">
        <v>128</v>
      </c>
      <c r="C96" s="41">
        <v>35</v>
      </c>
      <c r="D96" s="42">
        <v>0</v>
      </c>
      <c r="E96" s="43">
        <v>-12</v>
      </c>
      <c r="F96" s="43">
        <v>20.6</v>
      </c>
      <c r="G96" s="43">
        <v>0</v>
      </c>
      <c r="H96" s="43">
        <v>-120</v>
      </c>
      <c r="I96" s="43">
        <v>18</v>
      </c>
      <c r="J96" s="43">
        <v>200</v>
      </c>
      <c r="K96" s="43">
        <v>0</v>
      </c>
      <c r="L96" s="43">
        <v>65</v>
      </c>
      <c r="M96" s="43">
        <v>0</v>
      </c>
      <c r="N96" s="43">
        <v>-16</v>
      </c>
      <c r="O96" s="43">
        <v>14</v>
      </c>
      <c r="P96" s="43">
        <v>0</v>
      </c>
      <c r="Q96" s="43">
        <v>-120</v>
      </c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 t="s">
        <v>132</v>
      </c>
      <c r="AC96" s="34">
        <v>40476</v>
      </c>
      <c r="AD96" s="15">
        <v>5</v>
      </c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"/>
      <c r="AV96" s="4"/>
      <c r="AW96" s="4"/>
      <c r="AX96" s="4"/>
      <c r="AY96" s="4"/>
      <c r="AZ96" s="4"/>
      <c r="BA96" s="4"/>
      <c r="BB96" s="4"/>
    </row>
    <row r="97" spans="1:54" x14ac:dyDescent="0.2">
      <c r="A97">
        <v>95</v>
      </c>
      <c r="B97" s="24" t="s">
        <v>317</v>
      </c>
      <c r="C97" s="15">
        <v>17</v>
      </c>
      <c r="D97" s="15">
        <v>0</v>
      </c>
      <c r="E97" s="15">
        <v>-12</v>
      </c>
      <c r="F97" s="15">
        <v>12</v>
      </c>
      <c r="G97" s="15">
        <v>0</v>
      </c>
      <c r="H97" s="15">
        <v>-120</v>
      </c>
      <c r="I97" s="15">
        <v>13.25</v>
      </c>
      <c r="J97" s="15">
        <v>200</v>
      </c>
      <c r="K97" s="15">
        <v>0</v>
      </c>
      <c r="L97" s="15">
        <v>40</v>
      </c>
      <c r="M97" s="15">
        <v>0</v>
      </c>
      <c r="N97" s="15">
        <v>-14</v>
      </c>
      <c r="O97" s="15">
        <v>11</v>
      </c>
      <c r="P97" s="15">
        <v>0</v>
      </c>
      <c r="Q97" s="15">
        <v>-12</v>
      </c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 t="s">
        <v>318</v>
      </c>
      <c r="AC97" s="34">
        <v>40476</v>
      </c>
      <c r="AD97" s="15">
        <v>5</v>
      </c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"/>
      <c r="AV97" s="4"/>
      <c r="AW97" s="4"/>
      <c r="AX97" s="4"/>
      <c r="AY97" s="4"/>
      <c r="AZ97" s="4"/>
      <c r="BA97" s="4"/>
      <c r="BB97" s="4"/>
    </row>
    <row r="98" spans="1:54" x14ac:dyDescent="0.2">
      <c r="A98">
        <v>96</v>
      </c>
      <c r="B98" s="24" t="s">
        <v>368</v>
      </c>
      <c r="C98" s="15">
        <v>20</v>
      </c>
      <c r="D98" s="15">
        <v>0</v>
      </c>
      <c r="E98" s="15">
        <v>-12</v>
      </c>
      <c r="F98" s="15">
        <v>14</v>
      </c>
      <c r="G98" s="15">
        <v>0</v>
      </c>
      <c r="H98" s="15">
        <v>-120</v>
      </c>
      <c r="I98" s="43" t="s">
        <v>143</v>
      </c>
      <c r="J98" s="43" t="s">
        <v>143</v>
      </c>
      <c r="K98" s="43" t="s">
        <v>143</v>
      </c>
      <c r="L98" s="43" t="s">
        <v>143</v>
      </c>
      <c r="M98" s="43" t="s">
        <v>143</v>
      </c>
      <c r="N98" s="43" t="s">
        <v>143</v>
      </c>
      <c r="O98" s="43" t="s">
        <v>143</v>
      </c>
      <c r="P98" s="43" t="s">
        <v>143</v>
      </c>
      <c r="Q98" s="43" t="s">
        <v>143</v>
      </c>
      <c r="R98" s="15" t="s">
        <v>143</v>
      </c>
      <c r="S98" s="15" t="s">
        <v>143</v>
      </c>
      <c r="T98" s="15" t="s">
        <v>143</v>
      </c>
      <c r="U98" s="15" t="s">
        <v>143</v>
      </c>
      <c r="V98" s="15" t="s">
        <v>143</v>
      </c>
      <c r="W98" s="15" t="s">
        <v>143</v>
      </c>
      <c r="X98" s="15" t="s">
        <v>143</v>
      </c>
      <c r="Y98" s="15" t="s">
        <v>143</v>
      </c>
      <c r="Z98" s="15" t="s">
        <v>143</v>
      </c>
      <c r="AA98" s="15" t="s">
        <v>143</v>
      </c>
      <c r="AB98" s="43" t="s">
        <v>369</v>
      </c>
      <c r="AC98" s="34">
        <v>40702</v>
      </c>
      <c r="AD98" s="15">
        <v>5</v>
      </c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"/>
      <c r="AV98" s="4"/>
      <c r="AW98" s="4"/>
      <c r="AX98" s="4"/>
      <c r="AY98" s="4"/>
      <c r="AZ98" s="4"/>
      <c r="BA98" s="4"/>
      <c r="BB98" s="4"/>
    </row>
    <row r="99" spans="1:54" x14ac:dyDescent="0.2">
      <c r="A99">
        <v>97</v>
      </c>
      <c r="B99" s="24" t="s">
        <v>370</v>
      </c>
      <c r="C99" s="15">
        <v>25</v>
      </c>
      <c r="D99" s="15">
        <v>0</v>
      </c>
      <c r="E99" s="15">
        <v>-12</v>
      </c>
      <c r="F99" s="15">
        <v>15</v>
      </c>
      <c r="G99" s="15">
        <v>0</v>
      </c>
      <c r="H99" s="15">
        <v>-120</v>
      </c>
      <c r="I99" s="43" t="s">
        <v>143</v>
      </c>
      <c r="J99" s="43" t="s">
        <v>143</v>
      </c>
      <c r="K99" s="43" t="s">
        <v>143</v>
      </c>
      <c r="L99" s="43" t="s">
        <v>143</v>
      </c>
      <c r="M99" s="43" t="s">
        <v>143</v>
      </c>
      <c r="N99" s="43" t="s">
        <v>143</v>
      </c>
      <c r="O99" s="43" t="s">
        <v>143</v>
      </c>
      <c r="P99" s="43" t="s">
        <v>143</v>
      </c>
      <c r="Q99" s="43" t="s">
        <v>143</v>
      </c>
      <c r="R99" s="15" t="s">
        <v>143</v>
      </c>
      <c r="S99" s="15" t="s">
        <v>143</v>
      </c>
      <c r="T99" s="15" t="s">
        <v>143</v>
      </c>
      <c r="U99" s="15" t="s">
        <v>143</v>
      </c>
      <c r="V99" s="15" t="s">
        <v>143</v>
      </c>
      <c r="W99" s="15" t="s">
        <v>143</v>
      </c>
      <c r="X99" s="15" t="s">
        <v>143</v>
      </c>
      <c r="Y99" s="15" t="s">
        <v>143</v>
      </c>
      <c r="Z99" s="15" t="s">
        <v>143</v>
      </c>
      <c r="AA99" s="15" t="s">
        <v>143</v>
      </c>
      <c r="AB99" s="43" t="s">
        <v>371</v>
      </c>
      <c r="AC99" s="34">
        <v>40702</v>
      </c>
      <c r="AD99" s="15">
        <v>5</v>
      </c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"/>
      <c r="AV99" s="4"/>
      <c r="AW99" s="4"/>
      <c r="AX99" s="4"/>
      <c r="AY99" s="4"/>
      <c r="AZ99" s="4"/>
      <c r="BA99" s="4"/>
      <c r="BB99" s="4"/>
    </row>
    <row r="100" spans="1:54" x14ac:dyDescent="0.2">
      <c r="A100">
        <v>98</v>
      </c>
      <c r="B100" s="24" t="s">
        <v>372</v>
      </c>
      <c r="C100" s="41">
        <v>30</v>
      </c>
      <c r="D100" s="42">
        <v>0</v>
      </c>
      <c r="E100" s="43">
        <v>-12</v>
      </c>
      <c r="F100" s="43">
        <v>16</v>
      </c>
      <c r="G100" s="43">
        <v>0</v>
      </c>
      <c r="H100" s="43">
        <v>-120</v>
      </c>
      <c r="I100" s="43" t="s">
        <v>143</v>
      </c>
      <c r="J100" s="43" t="s">
        <v>143</v>
      </c>
      <c r="K100" s="43" t="s">
        <v>143</v>
      </c>
      <c r="L100" s="43" t="s">
        <v>143</v>
      </c>
      <c r="M100" s="43" t="s">
        <v>143</v>
      </c>
      <c r="N100" s="43" t="s">
        <v>143</v>
      </c>
      <c r="O100" s="43" t="s">
        <v>143</v>
      </c>
      <c r="P100" s="43" t="s">
        <v>143</v>
      </c>
      <c r="Q100" s="43" t="s">
        <v>143</v>
      </c>
      <c r="R100" s="15" t="s">
        <v>143</v>
      </c>
      <c r="S100" s="15" t="s">
        <v>143</v>
      </c>
      <c r="T100" s="15" t="s">
        <v>143</v>
      </c>
      <c r="U100" s="15" t="s">
        <v>143</v>
      </c>
      <c r="V100" s="15" t="s">
        <v>143</v>
      </c>
      <c r="W100" s="15" t="s">
        <v>143</v>
      </c>
      <c r="X100" s="15" t="s">
        <v>143</v>
      </c>
      <c r="Y100" s="15" t="s">
        <v>143</v>
      </c>
      <c r="Z100" s="15" t="s">
        <v>143</v>
      </c>
      <c r="AA100" s="15" t="s">
        <v>143</v>
      </c>
      <c r="AB100" s="43" t="s">
        <v>373</v>
      </c>
      <c r="AC100" s="34">
        <v>40702</v>
      </c>
      <c r="AD100" s="15">
        <v>5</v>
      </c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"/>
      <c r="AV100" s="4"/>
      <c r="AW100" s="4"/>
      <c r="AX100" s="4"/>
      <c r="AY100" s="4"/>
      <c r="AZ100" s="4"/>
      <c r="BA100" s="4"/>
      <c r="BB100" s="4"/>
    </row>
    <row r="101" spans="1:54" x14ac:dyDescent="0.2">
      <c r="A101">
        <v>99</v>
      </c>
      <c r="B101" s="24" t="s">
        <v>374</v>
      </c>
      <c r="C101" s="43">
        <v>40</v>
      </c>
      <c r="D101" s="43">
        <v>0</v>
      </c>
      <c r="E101" s="43">
        <v>-12</v>
      </c>
      <c r="F101" s="43">
        <v>18</v>
      </c>
      <c r="G101" s="43">
        <v>0</v>
      </c>
      <c r="H101" s="43">
        <v>-120</v>
      </c>
      <c r="I101" s="43" t="s">
        <v>143</v>
      </c>
      <c r="J101" s="43" t="s">
        <v>143</v>
      </c>
      <c r="K101" s="43" t="s">
        <v>143</v>
      </c>
      <c r="L101" s="43" t="s">
        <v>143</v>
      </c>
      <c r="M101" s="43" t="s">
        <v>143</v>
      </c>
      <c r="N101" s="43" t="s">
        <v>143</v>
      </c>
      <c r="O101" s="43" t="s">
        <v>143</v>
      </c>
      <c r="P101" s="43" t="s">
        <v>143</v>
      </c>
      <c r="Q101" s="43" t="s">
        <v>143</v>
      </c>
      <c r="R101" s="15" t="s">
        <v>143</v>
      </c>
      <c r="S101" s="15" t="s">
        <v>143</v>
      </c>
      <c r="T101" s="15" t="s">
        <v>143</v>
      </c>
      <c r="U101" s="15" t="s">
        <v>143</v>
      </c>
      <c r="V101" s="15" t="s">
        <v>143</v>
      </c>
      <c r="W101" s="15" t="s">
        <v>143</v>
      </c>
      <c r="X101" s="15" t="s">
        <v>143</v>
      </c>
      <c r="Y101" s="15" t="s">
        <v>143</v>
      </c>
      <c r="Z101" s="15" t="s">
        <v>143</v>
      </c>
      <c r="AA101" s="15" t="s">
        <v>143</v>
      </c>
      <c r="AB101" s="43" t="s">
        <v>375</v>
      </c>
      <c r="AC101" s="34">
        <v>40702</v>
      </c>
      <c r="AD101" s="15">
        <v>5</v>
      </c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"/>
      <c r="AV101" s="4"/>
      <c r="AW101" s="4"/>
      <c r="AX101" s="4"/>
      <c r="AY101" s="4"/>
      <c r="AZ101" s="4"/>
      <c r="BA101" s="4"/>
      <c r="BB101" s="4"/>
    </row>
    <row r="102" spans="1:54" x14ac:dyDescent="0.2">
      <c r="A102">
        <v>100</v>
      </c>
      <c r="B102" s="24" t="s">
        <v>365</v>
      </c>
      <c r="C102" s="43">
        <v>45</v>
      </c>
      <c r="D102" s="43">
        <v>0</v>
      </c>
      <c r="E102" s="43">
        <v>-12</v>
      </c>
      <c r="F102" s="43">
        <v>19</v>
      </c>
      <c r="G102" s="43">
        <v>0</v>
      </c>
      <c r="H102" s="43">
        <v>-120</v>
      </c>
      <c r="I102" s="43" t="s">
        <v>143</v>
      </c>
      <c r="J102" s="43" t="s">
        <v>143</v>
      </c>
      <c r="K102" s="43" t="s">
        <v>143</v>
      </c>
      <c r="L102" s="43" t="s">
        <v>143</v>
      </c>
      <c r="M102" s="43" t="s">
        <v>143</v>
      </c>
      <c r="N102" s="43" t="s">
        <v>143</v>
      </c>
      <c r="O102" s="43" t="s">
        <v>143</v>
      </c>
      <c r="P102" s="43" t="s">
        <v>143</v>
      </c>
      <c r="Q102" s="43" t="s">
        <v>143</v>
      </c>
      <c r="R102" s="15" t="s">
        <v>143</v>
      </c>
      <c r="S102" s="15" t="s">
        <v>143</v>
      </c>
      <c r="T102" s="15" t="s">
        <v>143</v>
      </c>
      <c r="U102" s="15" t="s">
        <v>143</v>
      </c>
      <c r="V102" s="15" t="s">
        <v>143</v>
      </c>
      <c r="W102" s="15" t="s">
        <v>143</v>
      </c>
      <c r="X102" s="15" t="s">
        <v>143</v>
      </c>
      <c r="Y102" s="15" t="s">
        <v>143</v>
      </c>
      <c r="Z102" s="15" t="s">
        <v>143</v>
      </c>
      <c r="AA102" s="15" t="s">
        <v>143</v>
      </c>
      <c r="AB102" s="43" t="s">
        <v>366</v>
      </c>
      <c r="AC102" s="34">
        <v>40693</v>
      </c>
      <c r="AD102" s="15">
        <v>5</v>
      </c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"/>
      <c r="AV102" s="4"/>
      <c r="AW102" s="4"/>
      <c r="AX102" s="4"/>
      <c r="AY102" s="4"/>
      <c r="AZ102" s="4"/>
      <c r="BA102" s="4"/>
      <c r="BB102" s="4"/>
    </row>
    <row r="103" spans="1:54" x14ac:dyDescent="0.2">
      <c r="A103">
        <v>101</v>
      </c>
      <c r="B103" s="24" t="s">
        <v>359</v>
      </c>
      <c r="C103" s="15">
        <v>55</v>
      </c>
      <c r="D103" s="15">
        <v>0</v>
      </c>
      <c r="E103" s="15">
        <v>-150</v>
      </c>
      <c r="F103" s="15">
        <v>22.75</v>
      </c>
      <c r="G103" s="15">
        <v>200</v>
      </c>
      <c r="H103" s="15">
        <v>0</v>
      </c>
      <c r="I103" s="15" t="s">
        <v>143</v>
      </c>
      <c r="J103" s="15" t="s">
        <v>143</v>
      </c>
      <c r="K103" s="15" t="s">
        <v>143</v>
      </c>
      <c r="L103" s="15" t="s">
        <v>143</v>
      </c>
      <c r="M103" s="15" t="s">
        <v>143</v>
      </c>
      <c r="N103" s="15" t="s">
        <v>143</v>
      </c>
      <c r="O103" s="15" t="s">
        <v>143</v>
      </c>
      <c r="P103" s="15" t="s">
        <v>143</v>
      </c>
      <c r="Q103" s="15" t="s">
        <v>143</v>
      </c>
      <c r="R103" s="15" t="s">
        <v>143</v>
      </c>
      <c r="S103" s="15" t="s">
        <v>143</v>
      </c>
      <c r="T103" s="15" t="s">
        <v>143</v>
      </c>
      <c r="U103" s="15" t="s">
        <v>143</v>
      </c>
      <c r="V103" s="15" t="s">
        <v>143</v>
      </c>
      <c r="W103" s="15" t="s">
        <v>143</v>
      </c>
      <c r="X103" s="15" t="s">
        <v>143</v>
      </c>
      <c r="Y103" s="15" t="s">
        <v>143</v>
      </c>
      <c r="Z103" s="15" t="s">
        <v>143</v>
      </c>
      <c r="AA103" s="15" t="s">
        <v>143</v>
      </c>
      <c r="AB103" s="15" t="s">
        <v>358</v>
      </c>
      <c r="AC103" s="34">
        <v>40672</v>
      </c>
      <c r="AD103" s="15">
        <v>5</v>
      </c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"/>
      <c r="AV103" s="4"/>
      <c r="AW103" s="4"/>
      <c r="AX103" s="4"/>
      <c r="AY103" s="4"/>
      <c r="AZ103" s="4"/>
      <c r="BA103" s="4"/>
      <c r="BB103" s="4"/>
    </row>
    <row r="104" spans="1:54" x14ac:dyDescent="0.2">
      <c r="A104">
        <v>102</v>
      </c>
      <c r="B104" s="24" t="s">
        <v>232</v>
      </c>
      <c r="C104" s="43">
        <v>60</v>
      </c>
      <c r="D104" s="43">
        <v>0</v>
      </c>
      <c r="E104" s="43">
        <v>-15</v>
      </c>
      <c r="F104" s="43">
        <v>22</v>
      </c>
      <c r="G104" s="43">
        <v>0</v>
      </c>
      <c r="H104" s="43">
        <v>-150</v>
      </c>
      <c r="I104" s="43" t="s">
        <v>143</v>
      </c>
      <c r="J104" s="43" t="s">
        <v>143</v>
      </c>
      <c r="K104" s="43" t="s">
        <v>143</v>
      </c>
      <c r="L104" s="43" t="s">
        <v>143</v>
      </c>
      <c r="M104" s="43" t="s">
        <v>143</v>
      </c>
      <c r="N104" s="43" t="s">
        <v>143</v>
      </c>
      <c r="O104" s="43" t="s">
        <v>143</v>
      </c>
      <c r="P104" s="43" t="s">
        <v>143</v>
      </c>
      <c r="Q104" s="43" t="s">
        <v>143</v>
      </c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 t="s">
        <v>245</v>
      </c>
      <c r="AC104" s="34">
        <v>40476</v>
      </c>
      <c r="AD104" s="15">
        <v>5</v>
      </c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"/>
      <c r="AV104" s="4"/>
      <c r="AW104" s="4"/>
      <c r="AX104" s="4"/>
      <c r="AY104" s="4"/>
      <c r="AZ104" s="4"/>
      <c r="BA104" s="4"/>
      <c r="BB104" s="4"/>
    </row>
    <row r="105" spans="1:54" x14ac:dyDescent="0.2">
      <c r="A105">
        <v>103</v>
      </c>
      <c r="B105" s="24" t="s">
        <v>328</v>
      </c>
      <c r="C105" s="15">
        <v>80</v>
      </c>
      <c r="D105" s="15">
        <v>0</v>
      </c>
      <c r="E105" s="15">
        <v>-15</v>
      </c>
      <c r="F105" s="15">
        <v>26</v>
      </c>
      <c r="G105" s="15">
        <v>0</v>
      </c>
      <c r="H105" s="15">
        <v>-150</v>
      </c>
      <c r="I105" s="15" t="s">
        <v>143</v>
      </c>
      <c r="J105" s="15" t="s">
        <v>143</v>
      </c>
      <c r="K105" s="15" t="s">
        <v>143</v>
      </c>
      <c r="L105" s="15" t="s">
        <v>143</v>
      </c>
      <c r="M105" s="15" t="s">
        <v>143</v>
      </c>
      <c r="N105" s="15" t="s">
        <v>143</v>
      </c>
      <c r="O105" s="15" t="s">
        <v>143</v>
      </c>
      <c r="P105" s="15" t="s">
        <v>143</v>
      </c>
      <c r="Q105" s="15" t="s">
        <v>143</v>
      </c>
      <c r="R105" s="15" t="s">
        <v>143</v>
      </c>
      <c r="S105" s="15" t="s">
        <v>143</v>
      </c>
      <c r="T105" s="15" t="s">
        <v>143</v>
      </c>
      <c r="U105" s="15" t="s">
        <v>143</v>
      </c>
      <c r="V105" s="15" t="s">
        <v>143</v>
      </c>
      <c r="W105" s="15" t="s">
        <v>143</v>
      </c>
      <c r="X105" s="15" t="s">
        <v>143</v>
      </c>
      <c r="Y105" s="15" t="s">
        <v>143</v>
      </c>
      <c r="Z105" s="15" t="s">
        <v>143</v>
      </c>
      <c r="AA105" s="15" t="s">
        <v>143</v>
      </c>
      <c r="AB105" s="15" t="s">
        <v>333</v>
      </c>
      <c r="AC105" s="34">
        <v>40564</v>
      </c>
      <c r="AD105" s="15">
        <v>5</v>
      </c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"/>
      <c r="AV105" s="4"/>
      <c r="AW105" s="4"/>
      <c r="AX105" s="4"/>
      <c r="AY105" s="4"/>
      <c r="AZ105" s="4"/>
      <c r="BA105" s="4"/>
      <c r="BB105" s="4"/>
    </row>
    <row r="106" spans="1:54" x14ac:dyDescent="0.2">
      <c r="A106">
        <v>104</v>
      </c>
      <c r="B106" s="24" t="s">
        <v>225</v>
      </c>
      <c r="C106" s="43">
        <v>25</v>
      </c>
      <c r="D106" s="43">
        <v>0</v>
      </c>
      <c r="E106" s="43">
        <v>-12</v>
      </c>
      <c r="F106" s="43">
        <v>17</v>
      </c>
      <c r="G106" s="43">
        <v>0</v>
      </c>
      <c r="H106" s="43">
        <v>-120</v>
      </c>
      <c r="I106" s="43" t="s">
        <v>143</v>
      </c>
      <c r="J106" s="43" t="s">
        <v>143</v>
      </c>
      <c r="K106" s="43" t="s">
        <v>143</v>
      </c>
      <c r="L106" s="43" t="s">
        <v>143</v>
      </c>
      <c r="M106" s="43" t="s">
        <v>143</v>
      </c>
      <c r="N106" s="43" t="s">
        <v>143</v>
      </c>
      <c r="O106" s="43" t="s">
        <v>143</v>
      </c>
      <c r="P106" s="43" t="s">
        <v>143</v>
      </c>
      <c r="Q106" s="43" t="s">
        <v>143</v>
      </c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 t="s">
        <v>253</v>
      </c>
      <c r="AC106" s="34">
        <v>40476</v>
      </c>
      <c r="AD106" s="15">
        <v>5</v>
      </c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"/>
      <c r="AV106" s="4"/>
      <c r="AW106" s="4"/>
      <c r="AX106" s="4"/>
      <c r="AY106" s="4"/>
      <c r="AZ106" s="4"/>
      <c r="BA106" s="4"/>
      <c r="BB106" s="4"/>
    </row>
    <row r="107" spans="1:54" x14ac:dyDescent="0.2">
      <c r="A107">
        <v>105</v>
      </c>
      <c r="B107" s="24" t="s">
        <v>251</v>
      </c>
      <c r="C107" s="43">
        <v>40</v>
      </c>
      <c r="D107" s="43">
        <v>0</v>
      </c>
      <c r="E107" s="43">
        <v>-12</v>
      </c>
      <c r="F107" s="43">
        <v>23</v>
      </c>
      <c r="G107" s="43">
        <v>0</v>
      </c>
      <c r="H107" s="43">
        <v>-120</v>
      </c>
      <c r="I107" s="43" t="s">
        <v>143</v>
      </c>
      <c r="J107" s="43" t="s">
        <v>143</v>
      </c>
      <c r="K107" s="43" t="s">
        <v>143</v>
      </c>
      <c r="L107" s="43" t="s">
        <v>143</v>
      </c>
      <c r="M107" s="43" t="s">
        <v>143</v>
      </c>
      <c r="N107" s="43" t="s">
        <v>143</v>
      </c>
      <c r="O107" s="43" t="s">
        <v>143</v>
      </c>
      <c r="P107" s="43" t="s">
        <v>143</v>
      </c>
      <c r="Q107" s="43" t="s">
        <v>143</v>
      </c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 t="s">
        <v>252</v>
      </c>
      <c r="AC107" s="34">
        <v>40476</v>
      </c>
      <c r="AD107" s="15">
        <v>5</v>
      </c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</row>
    <row r="108" spans="1:54" x14ac:dyDescent="0.2">
      <c r="A108">
        <v>106</v>
      </c>
      <c r="B108" s="24" t="s">
        <v>403</v>
      </c>
      <c r="C108" s="15">
        <v>45</v>
      </c>
      <c r="D108" s="15">
        <v>0</v>
      </c>
      <c r="E108" s="15">
        <v>-12</v>
      </c>
      <c r="F108" s="15">
        <v>25</v>
      </c>
      <c r="G108" s="15">
        <v>0</v>
      </c>
      <c r="H108" s="15">
        <v>-100</v>
      </c>
      <c r="I108" s="43" t="s">
        <v>143</v>
      </c>
      <c r="J108" s="43" t="s">
        <v>143</v>
      </c>
      <c r="K108" s="43" t="s">
        <v>143</v>
      </c>
      <c r="L108" s="43" t="s">
        <v>143</v>
      </c>
      <c r="M108" s="43" t="s">
        <v>143</v>
      </c>
      <c r="N108" s="43" t="s">
        <v>143</v>
      </c>
      <c r="O108" s="43" t="s">
        <v>143</v>
      </c>
      <c r="P108" s="43" t="s">
        <v>143</v>
      </c>
      <c r="Q108" s="43" t="s">
        <v>143</v>
      </c>
      <c r="R108" s="15" t="s">
        <v>143</v>
      </c>
      <c r="S108" s="15" t="s">
        <v>143</v>
      </c>
      <c r="T108" s="15">
        <v>64</v>
      </c>
      <c r="U108" s="15">
        <v>58</v>
      </c>
      <c r="V108" s="15" t="s">
        <v>143</v>
      </c>
      <c r="W108" s="15" t="s">
        <v>389</v>
      </c>
      <c r="X108" s="15" t="s">
        <v>389</v>
      </c>
      <c r="Y108" s="15" t="s">
        <v>143</v>
      </c>
      <c r="Z108" s="15" t="s">
        <v>143</v>
      </c>
      <c r="AA108" s="15" t="s">
        <v>143</v>
      </c>
      <c r="AB108" s="15" t="s">
        <v>396</v>
      </c>
      <c r="AC108" s="34">
        <v>40997</v>
      </c>
      <c r="AD108" s="15">
        <v>5</v>
      </c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</row>
    <row r="109" spans="1:54" x14ac:dyDescent="0.2">
      <c r="A109">
        <v>107</v>
      </c>
      <c r="B109" s="24" t="s">
        <v>335</v>
      </c>
      <c r="C109" s="15" t="s">
        <v>143</v>
      </c>
      <c r="D109" s="15" t="s">
        <v>143</v>
      </c>
      <c r="E109" s="15" t="s">
        <v>143</v>
      </c>
      <c r="F109" s="15" t="s">
        <v>143</v>
      </c>
      <c r="G109" s="15" t="s">
        <v>143</v>
      </c>
      <c r="H109" s="15" t="s">
        <v>143</v>
      </c>
      <c r="I109" s="15" t="s">
        <v>143</v>
      </c>
      <c r="J109" s="15" t="s">
        <v>143</v>
      </c>
      <c r="K109" s="15" t="s">
        <v>143</v>
      </c>
      <c r="L109" s="15">
        <v>40</v>
      </c>
      <c r="M109" s="15">
        <v>0</v>
      </c>
      <c r="N109" s="15">
        <v>-14</v>
      </c>
      <c r="O109" s="15">
        <v>11</v>
      </c>
      <c r="P109" s="15">
        <v>0</v>
      </c>
      <c r="Q109" s="15">
        <v>-120</v>
      </c>
      <c r="R109" s="15" t="s">
        <v>143</v>
      </c>
      <c r="S109" s="15" t="s">
        <v>143</v>
      </c>
      <c r="T109" s="15" t="s">
        <v>143</v>
      </c>
      <c r="U109" s="15" t="s">
        <v>143</v>
      </c>
      <c r="V109" s="15" t="s">
        <v>143</v>
      </c>
      <c r="W109" s="15" t="s">
        <v>143</v>
      </c>
      <c r="X109" s="15" t="s">
        <v>143</v>
      </c>
      <c r="Y109" s="15" t="s">
        <v>143</v>
      </c>
      <c r="Z109" s="15" t="s">
        <v>143</v>
      </c>
      <c r="AA109" s="15" t="s">
        <v>143</v>
      </c>
      <c r="AB109" s="15" t="s">
        <v>339</v>
      </c>
      <c r="AC109" s="34">
        <v>40640</v>
      </c>
      <c r="AD109" s="15">
        <v>5</v>
      </c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</row>
    <row r="110" spans="1:54" x14ac:dyDescent="0.2">
      <c r="A110">
        <v>108</v>
      </c>
      <c r="B110" s="24" t="s">
        <v>336</v>
      </c>
      <c r="C110" s="15" t="s">
        <v>143</v>
      </c>
      <c r="D110" s="15" t="s">
        <v>143</v>
      </c>
      <c r="E110" s="15" t="s">
        <v>143</v>
      </c>
      <c r="F110" s="15" t="s">
        <v>143</v>
      </c>
      <c r="G110" s="15" t="s">
        <v>143</v>
      </c>
      <c r="H110" s="15" t="s">
        <v>143</v>
      </c>
      <c r="I110" s="15" t="s">
        <v>143</v>
      </c>
      <c r="J110" s="15" t="s">
        <v>143</v>
      </c>
      <c r="K110" s="15" t="s">
        <v>143</v>
      </c>
      <c r="L110" s="15">
        <v>47</v>
      </c>
      <c r="M110" s="15">
        <v>0</v>
      </c>
      <c r="N110" s="15">
        <v>-14</v>
      </c>
      <c r="O110" s="15">
        <v>12</v>
      </c>
      <c r="P110" s="15">
        <v>0</v>
      </c>
      <c r="Q110" s="15">
        <v>-120</v>
      </c>
      <c r="R110" s="15" t="s">
        <v>143</v>
      </c>
      <c r="S110" s="15" t="s">
        <v>143</v>
      </c>
      <c r="T110" s="15" t="s">
        <v>143</v>
      </c>
      <c r="U110" s="15" t="s">
        <v>143</v>
      </c>
      <c r="V110" s="15" t="s">
        <v>143</v>
      </c>
      <c r="W110" s="15" t="s">
        <v>143</v>
      </c>
      <c r="X110" s="15" t="s">
        <v>143</v>
      </c>
      <c r="Y110" s="15" t="s">
        <v>143</v>
      </c>
      <c r="Z110" s="15" t="s">
        <v>143</v>
      </c>
      <c r="AA110" s="15" t="s">
        <v>143</v>
      </c>
      <c r="AB110" s="15" t="s">
        <v>340</v>
      </c>
      <c r="AC110" s="34">
        <v>40640</v>
      </c>
      <c r="AD110" s="15">
        <v>5</v>
      </c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</row>
    <row r="111" spans="1:54" x14ac:dyDescent="0.2">
      <c r="A111">
        <v>109</v>
      </c>
      <c r="B111" s="24" t="s">
        <v>349</v>
      </c>
      <c r="C111" s="15" t="s">
        <v>143</v>
      </c>
      <c r="D111" s="15" t="s">
        <v>143</v>
      </c>
      <c r="E111" s="15" t="s">
        <v>143</v>
      </c>
      <c r="F111" s="15" t="s">
        <v>143</v>
      </c>
      <c r="G111" s="15" t="s">
        <v>143</v>
      </c>
      <c r="H111" s="15" t="s">
        <v>143</v>
      </c>
      <c r="I111" s="15" t="s">
        <v>143</v>
      </c>
      <c r="J111" s="15" t="s">
        <v>143</v>
      </c>
      <c r="K111" s="15" t="s">
        <v>143</v>
      </c>
      <c r="L111" s="15">
        <v>52</v>
      </c>
      <c r="M111" s="15">
        <v>0</v>
      </c>
      <c r="N111" s="15">
        <v>-12</v>
      </c>
      <c r="O111" s="15">
        <v>13</v>
      </c>
      <c r="P111" s="15">
        <v>0</v>
      </c>
      <c r="Q111" s="15">
        <v>-120</v>
      </c>
      <c r="R111" s="15" t="s">
        <v>143</v>
      </c>
      <c r="S111" s="15" t="s">
        <v>143</v>
      </c>
      <c r="T111" s="15" t="s">
        <v>143</v>
      </c>
      <c r="U111" s="15" t="s">
        <v>143</v>
      </c>
      <c r="V111" s="15" t="s">
        <v>143</v>
      </c>
      <c r="W111" s="15" t="s">
        <v>143</v>
      </c>
      <c r="X111" s="15" t="s">
        <v>143</v>
      </c>
      <c r="Y111" s="15" t="s">
        <v>143</v>
      </c>
      <c r="Z111" s="15" t="s">
        <v>143</v>
      </c>
      <c r="AA111" s="15" t="s">
        <v>143</v>
      </c>
      <c r="AB111" s="15" t="s">
        <v>350</v>
      </c>
      <c r="AC111" s="34">
        <v>40659</v>
      </c>
      <c r="AD111" s="15">
        <v>5</v>
      </c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</row>
    <row r="112" spans="1:54" x14ac:dyDescent="0.2">
      <c r="A112">
        <v>110</v>
      </c>
      <c r="B112" s="24" t="s">
        <v>354</v>
      </c>
      <c r="C112" s="15" t="s">
        <v>143</v>
      </c>
      <c r="D112" s="15" t="s">
        <v>143</v>
      </c>
      <c r="E112" s="15" t="s">
        <v>143</v>
      </c>
      <c r="F112" s="15" t="s">
        <v>143</v>
      </c>
      <c r="G112" s="15" t="s">
        <v>143</v>
      </c>
      <c r="H112" s="15" t="s">
        <v>143</v>
      </c>
      <c r="I112" s="15" t="s">
        <v>143</v>
      </c>
      <c r="J112" s="15" t="s">
        <v>143</v>
      </c>
      <c r="K112" s="15" t="s">
        <v>143</v>
      </c>
      <c r="L112" s="15">
        <v>62</v>
      </c>
      <c r="M112" s="15" t="s">
        <v>355</v>
      </c>
      <c r="N112" s="15">
        <v>-16</v>
      </c>
      <c r="O112" s="15">
        <v>14</v>
      </c>
      <c r="P112" s="15">
        <v>0</v>
      </c>
      <c r="Q112" s="15">
        <v>-120</v>
      </c>
      <c r="R112" s="15" t="s">
        <v>143</v>
      </c>
      <c r="S112" s="15" t="s">
        <v>143</v>
      </c>
      <c r="T112" s="15" t="s">
        <v>143</v>
      </c>
      <c r="U112" s="15" t="s">
        <v>143</v>
      </c>
      <c r="V112" s="15" t="s">
        <v>143</v>
      </c>
      <c r="W112" s="15" t="s">
        <v>143</v>
      </c>
      <c r="X112" s="15" t="s">
        <v>143</v>
      </c>
      <c r="Y112" s="15" t="s">
        <v>143</v>
      </c>
      <c r="Z112" s="15" t="s">
        <v>143</v>
      </c>
      <c r="AA112" s="15" t="s">
        <v>143</v>
      </c>
      <c r="AB112" s="15" t="s">
        <v>356</v>
      </c>
      <c r="AC112" s="34">
        <v>40665</v>
      </c>
      <c r="AD112" s="15">
        <v>5</v>
      </c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</row>
    <row r="113" spans="1:54" x14ac:dyDescent="0.2">
      <c r="A113">
        <v>111</v>
      </c>
      <c r="B113" s="24" t="s">
        <v>419</v>
      </c>
      <c r="C113" s="15" t="s">
        <v>143</v>
      </c>
      <c r="D113" s="15" t="s">
        <v>143</v>
      </c>
      <c r="E113" s="15" t="s">
        <v>143</v>
      </c>
      <c r="F113" s="15" t="s">
        <v>143</v>
      </c>
      <c r="G113" s="15" t="s">
        <v>143</v>
      </c>
      <c r="H113" s="15" t="s">
        <v>143</v>
      </c>
      <c r="I113" s="15" t="s">
        <v>143</v>
      </c>
      <c r="J113" s="15" t="s">
        <v>143</v>
      </c>
      <c r="K113" s="15" t="s">
        <v>143</v>
      </c>
      <c r="L113" s="43">
        <v>72</v>
      </c>
      <c r="M113" s="43">
        <v>0</v>
      </c>
      <c r="N113" s="43">
        <v>-16</v>
      </c>
      <c r="O113" s="43">
        <v>15</v>
      </c>
      <c r="P113" s="43">
        <v>0</v>
      </c>
      <c r="Q113" s="43">
        <v>-120</v>
      </c>
      <c r="R113" s="15">
        <v>62</v>
      </c>
      <c r="S113" s="15">
        <v>58</v>
      </c>
      <c r="T113" s="15" t="s">
        <v>143</v>
      </c>
      <c r="U113" s="15" t="s">
        <v>143</v>
      </c>
      <c r="V113" s="15" t="s">
        <v>389</v>
      </c>
      <c r="W113" s="15" t="s">
        <v>143</v>
      </c>
      <c r="X113" s="15" t="s">
        <v>143</v>
      </c>
      <c r="Y113" s="15" t="s">
        <v>143</v>
      </c>
      <c r="Z113" s="15" t="s">
        <v>143</v>
      </c>
      <c r="AA113" s="15" t="s">
        <v>143</v>
      </c>
      <c r="AB113" s="40" t="s">
        <v>420</v>
      </c>
      <c r="AC113" s="34">
        <v>41193</v>
      </c>
      <c r="AD113" s="15">
        <v>5</v>
      </c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</row>
    <row r="114" spans="1:54" x14ac:dyDescent="0.2">
      <c r="A114">
        <v>112</v>
      </c>
      <c r="B114" s="24" t="s">
        <v>362</v>
      </c>
      <c r="C114" s="15" t="s">
        <v>143</v>
      </c>
      <c r="D114" s="15" t="s">
        <v>143</v>
      </c>
      <c r="E114" s="15" t="s">
        <v>143</v>
      </c>
      <c r="F114" s="15" t="s">
        <v>143</v>
      </c>
      <c r="G114" s="15" t="s">
        <v>143</v>
      </c>
      <c r="H114" s="15" t="s">
        <v>143</v>
      </c>
      <c r="I114" s="15" t="s">
        <v>143</v>
      </c>
      <c r="J114" s="15" t="s">
        <v>143</v>
      </c>
      <c r="K114" s="15" t="s">
        <v>143</v>
      </c>
      <c r="L114" s="15">
        <v>80</v>
      </c>
      <c r="M114" s="15">
        <v>0</v>
      </c>
      <c r="N114" s="15">
        <v>-16</v>
      </c>
      <c r="O114" s="15">
        <v>16</v>
      </c>
      <c r="P114" s="15">
        <v>0</v>
      </c>
      <c r="Q114" s="15">
        <v>-120</v>
      </c>
      <c r="R114" s="15" t="s">
        <v>143</v>
      </c>
      <c r="S114" s="15" t="s">
        <v>143</v>
      </c>
      <c r="T114" s="15" t="s">
        <v>143</v>
      </c>
      <c r="U114" s="15" t="s">
        <v>143</v>
      </c>
      <c r="V114" s="15" t="s">
        <v>143</v>
      </c>
      <c r="W114" s="15" t="s">
        <v>143</v>
      </c>
      <c r="X114" s="15" t="s">
        <v>143</v>
      </c>
      <c r="Y114" s="15" t="s">
        <v>143</v>
      </c>
      <c r="Z114" s="15" t="s">
        <v>143</v>
      </c>
      <c r="AA114" s="15" t="s">
        <v>143</v>
      </c>
      <c r="AB114" s="15" t="s">
        <v>364</v>
      </c>
      <c r="AC114" s="34">
        <v>40683</v>
      </c>
      <c r="AD114" s="15">
        <v>5</v>
      </c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</row>
    <row r="115" spans="1:54" x14ac:dyDescent="0.2">
      <c r="A115">
        <v>113</v>
      </c>
      <c r="B115" s="24" t="s">
        <v>337</v>
      </c>
      <c r="C115" s="15" t="s">
        <v>143</v>
      </c>
      <c r="D115" s="15" t="s">
        <v>143</v>
      </c>
      <c r="E115" s="15" t="s">
        <v>143</v>
      </c>
      <c r="F115" s="15" t="s">
        <v>143</v>
      </c>
      <c r="G115" s="15" t="s">
        <v>143</v>
      </c>
      <c r="H115" s="15" t="s">
        <v>143</v>
      </c>
      <c r="I115" s="15" t="s">
        <v>143</v>
      </c>
      <c r="J115" s="15" t="s">
        <v>143</v>
      </c>
      <c r="K115" s="15" t="s">
        <v>143</v>
      </c>
      <c r="L115" s="15">
        <v>85</v>
      </c>
      <c r="M115" s="15">
        <v>0</v>
      </c>
      <c r="N115" s="15">
        <v>-18</v>
      </c>
      <c r="O115" s="15">
        <v>16</v>
      </c>
      <c r="P115" s="15">
        <v>0</v>
      </c>
      <c r="Q115" s="15">
        <v>-120</v>
      </c>
      <c r="R115" s="15" t="s">
        <v>143</v>
      </c>
      <c r="S115" s="15" t="s">
        <v>143</v>
      </c>
      <c r="T115" s="15" t="s">
        <v>143</v>
      </c>
      <c r="U115" s="15" t="s">
        <v>143</v>
      </c>
      <c r="V115" s="15" t="s">
        <v>143</v>
      </c>
      <c r="W115" s="15" t="s">
        <v>143</v>
      </c>
      <c r="X115" s="15" t="s">
        <v>143</v>
      </c>
      <c r="Y115" s="15" t="s">
        <v>143</v>
      </c>
      <c r="Z115" s="15" t="s">
        <v>143</v>
      </c>
      <c r="AA115" s="15" t="s">
        <v>143</v>
      </c>
      <c r="AB115" s="15" t="s">
        <v>341</v>
      </c>
      <c r="AC115" s="34">
        <v>40640</v>
      </c>
      <c r="AD115" s="15">
        <v>5</v>
      </c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</row>
    <row r="116" spans="1:54" x14ac:dyDescent="0.2">
      <c r="A116">
        <v>114</v>
      </c>
      <c r="B116" s="24" t="s">
        <v>386</v>
      </c>
      <c r="C116" s="15" t="s">
        <v>143</v>
      </c>
      <c r="D116" s="15" t="s">
        <v>143</v>
      </c>
      <c r="E116" s="15" t="s">
        <v>143</v>
      </c>
      <c r="F116" s="15" t="s">
        <v>143</v>
      </c>
      <c r="G116" s="15" t="s">
        <v>143</v>
      </c>
      <c r="H116" s="15" t="s">
        <v>143</v>
      </c>
      <c r="I116" s="15" t="s">
        <v>143</v>
      </c>
      <c r="J116" s="15" t="s">
        <v>143</v>
      </c>
      <c r="K116" s="15" t="s">
        <v>143</v>
      </c>
      <c r="L116" s="15">
        <v>90</v>
      </c>
      <c r="M116" s="15">
        <v>0</v>
      </c>
      <c r="N116" s="15">
        <v>-18</v>
      </c>
      <c r="O116" s="15">
        <v>17</v>
      </c>
      <c r="P116" s="15">
        <v>0</v>
      </c>
      <c r="Q116" s="15">
        <v>-120</v>
      </c>
      <c r="R116" s="15" t="s">
        <v>143</v>
      </c>
      <c r="S116" s="15" t="s">
        <v>143</v>
      </c>
      <c r="T116" s="15" t="s">
        <v>143</v>
      </c>
      <c r="U116" s="15" t="s">
        <v>143</v>
      </c>
      <c r="V116" s="15" t="s">
        <v>143</v>
      </c>
      <c r="W116" s="15" t="s">
        <v>143</v>
      </c>
      <c r="X116" s="15" t="s">
        <v>143</v>
      </c>
      <c r="Y116" s="15" t="s">
        <v>143</v>
      </c>
      <c r="Z116" s="15" t="s">
        <v>143</v>
      </c>
      <c r="AA116" s="15" t="s">
        <v>143</v>
      </c>
      <c r="AB116" s="15" t="s">
        <v>387</v>
      </c>
      <c r="AC116" s="34">
        <v>40788</v>
      </c>
      <c r="AD116" s="15">
        <v>5</v>
      </c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</row>
    <row r="117" spans="1:54" x14ac:dyDescent="0.2">
      <c r="A117">
        <v>115</v>
      </c>
      <c r="B117" s="24" t="s">
        <v>329</v>
      </c>
      <c r="C117" s="15" t="s">
        <v>143</v>
      </c>
      <c r="D117" s="15" t="s">
        <v>143</v>
      </c>
      <c r="E117" s="15" t="s">
        <v>143</v>
      </c>
      <c r="F117" s="15" t="s">
        <v>143</v>
      </c>
      <c r="G117" s="15" t="s">
        <v>143</v>
      </c>
      <c r="H117" s="15" t="s">
        <v>143</v>
      </c>
      <c r="I117" s="15" t="s">
        <v>143</v>
      </c>
      <c r="J117" s="15" t="s">
        <v>143</v>
      </c>
      <c r="K117" s="15" t="s">
        <v>143</v>
      </c>
      <c r="L117" s="15">
        <v>100</v>
      </c>
      <c r="M117" s="15">
        <v>0</v>
      </c>
      <c r="N117" s="15">
        <v>-18</v>
      </c>
      <c r="O117" s="15">
        <v>18</v>
      </c>
      <c r="P117" s="15">
        <v>0</v>
      </c>
      <c r="Q117" s="15">
        <v>-150</v>
      </c>
      <c r="R117" s="15" t="s">
        <v>143</v>
      </c>
      <c r="S117" s="15" t="s">
        <v>143</v>
      </c>
      <c r="T117" s="15" t="s">
        <v>143</v>
      </c>
      <c r="U117" s="15" t="s">
        <v>143</v>
      </c>
      <c r="V117" s="15" t="s">
        <v>143</v>
      </c>
      <c r="W117" s="15" t="s">
        <v>143</v>
      </c>
      <c r="X117" s="15" t="s">
        <v>143</v>
      </c>
      <c r="Y117" s="15" t="s">
        <v>143</v>
      </c>
      <c r="Z117" s="15" t="s">
        <v>143</v>
      </c>
      <c r="AA117" s="15" t="s">
        <v>143</v>
      </c>
      <c r="AB117" s="15" t="s">
        <v>330</v>
      </c>
      <c r="AC117" s="34">
        <v>40581</v>
      </c>
      <c r="AD117" s="15">
        <v>5</v>
      </c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</row>
    <row r="118" spans="1:54" x14ac:dyDescent="0.2">
      <c r="A118">
        <v>116</v>
      </c>
      <c r="B118" s="24" t="s">
        <v>231</v>
      </c>
      <c r="C118" s="43" t="s">
        <v>143</v>
      </c>
      <c r="D118" s="43" t="s">
        <v>143</v>
      </c>
      <c r="E118" s="43" t="s">
        <v>143</v>
      </c>
      <c r="F118" s="43" t="s">
        <v>143</v>
      </c>
      <c r="G118" s="43" t="s">
        <v>143</v>
      </c>
      <c r="H118" s="43" t="s">
        <v>143</v>
      </c>
      <c r="I118" s="43" t="s">
        <v>143</v>
      </c>
      <c r="J118" s="43" t="s">
        <v>143</v>
      </c>
      <c r="K118" s="43" t="s">
        <v>143</v>
      </c>
      <c r="L118" s="43">
        <v>110</v>
      </c>
      <c r="M118" s="43">
        <v>0</v>
      </c>
      <c r="N118" s="43">
        <v>-18</v>
      </c>
      <c r="O118" s="43">
        <v>19</v>
      </c>
      <c r="P118" s="43">
        <v>0</v>
      </c>
      <c r="Q118" s="43">
        <v>-150</v>
      </c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 t="s">
        <v>290</v>
      </c>
      <c r="AC118" s="34">
        <v>40476</v>
      </c>
      <c r="AD118" s="15">
        <v>5</v>
      </c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</row>
    <row r="119" spans="1:54" x14ac:dyDescent="0.2">
      <c r="A119">
        <v>117</v>
      </c>
      <c r="B119" s="24" t="s">
        <v>338</v>
      </c>
      <c r="C119" s="15" t="s">
        <v>143</v>
      </c>
      <c r="D119" s="15" t="s">
        <v>143</v>
      </c>
      <c r="E119" s="15" t="s">
        <v>143</v>
      </c>
      <c r="F119" s="15" t="s">
        <v>143</v>
      </c>
      <c r="G119" s="15" t="s">
        <v>143</v>
      </c>
      <c r="H119" s="15" t="s">
        <v>143</v>
      </c>
      <c r="I119" s="15" t="s">
        <v>143</v>
      </c>
      <c r="J119" s="15" t="s">
        <v>143</v>
      </c>
      <c r="K119" s="15" t="s">
        <v>143</v>
      </c>
      <c r="L119" s="15">
        <v>140</v>
      </c>
      <c r="M119" s="15">
        <v>0</v>
      </c>
      <c r="N119" s="15">
        <v>-20</v>
      </c>
      <c r="O119" s="15">
        <v>22</v>
      </c>
      <c r="P119" s="15">
        <v>0</v>
      </c>
      <c r="Q119" s="15">
        <v>-150</v>
      </c>
      <c r="R119" s="15" t="s">
        <v>143</v>
      </c>
      <c r="S119" s="15" t="s">
        <v>143</v>
      </c>
      <c r="T119" s="15" t="s">
        <v>143</v>
      </c>
      <c r="U119" s="15" t="s">
        <v>143</v>
      </c>
      <c r="V119" s="15" t="s">
        <v>143</v>
      </c>
      <c r="W119" s="15" t="s">
        <v>143</v>
      </c>
      <c r="X119" s="15" t="s">
        <v>143</v>
      </c>
      <c r="Y119" s="15" t="s">
        <v>143</v>
      </c>
      <c r="Z119" s="15" t="s">
        <v>143</v>
      </c>
      <c r="AA119" s="15" t="s">
        <v>143</v>
      </c>
      <c r="AB119" s="15" t="s">
        <v>342</v>
      </c>
      <c r="AC119" s="34">
        <v>40640</v>
      </c>
      <c r="AD119" s="15">
        <v>5</v>
      </c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</row>
    <row r="120" spans="1:54" x14ac:dyDescent="0.2">
      <c r="A120">
        <v>118</v>
      </c>
      <c r="B120" s="24" t="s">
        <v>223</v>
      </c>
      <c r="C120" s="43" t="s">
        <v>143</v>
      </c>
      <c r="D120" s="43" t="s">
        <v>143</v>
      </c>
      <c r="E120" s="43" t="s">
        <v>143</v>
      </c>
      <c r="F120" s="43" t="s">
        <v>143</v>
      </c>
      <c r="G120" s="43" t="s">
        <v>143</v>
      </c>
      <c r="H120" s="43" t="s">
        <v>143</v>
      </c>
      <c r="I120" s="43" t="s">
        <v>143</v>
      </c>
      <c r="J120" s="43" t="s">
        <v>143</v>
      </c>
      <c r="K120" s="43" t="s">
        <v>143</v>
      </c>
      <c r="L120" s="43">
        <v>62</v>
      </c>
      <c r="M120" s="43">
        <v>0</v>
      </c>
      <c r="N120" s="43">
        <v>-16</v>
      </c>
      <c r="O120" s="43">
        <v>15</v>
      </c>
      <c r="P120" s="43">
        <v>0</v>
      </c>
      <c r="Q120" s="43">
        <v>-120</v>
      </c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 t="s">
        <v>224</v>
      </c>
      <c r="AC120" s="34">
        <v>40476</v>
      </c>
      <c r="AD120" s="15">
        <v>5</v>
      </c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</row>
    <row r="121" spans="1:54" x14ac:dyDescent="0.2">
      <c r="A121">
        <v>119</v>
      </c>
      <c r="B121" s="24" t="s">
        <v>410</v>
      </c>
      <c r="C121" s="43" t="s">
        <v>143</v>
      </c>
      <c r="D121" s="43" t="s">
        <v>143</v>
      </c>
      <c r="E121" s="43" t="s">
        <v>143</v>
      </c>
      <c r="F121" s="43" t="s">
        <v>143</v>
      </c>
      <c r="G121" s="43" t="s">
        <v>143</v>
      </c>
      <c r="H121" s="43" t="s">
        <v>143</v>
      </c>
      <c r="I121" s="43" t="s">
        <v>143</v>
      </c>
      <c r="J121" s="43" t="s">
        <v>143</v>
      </c>
      <c r="K121" s="43" t="s">
        <v>143</v>
      </c>
      <c r="L121" s="15">
        <v>100</v>
      </c>
      <c r="M121" s="15">
        <v>0</v>
      </c>
      <c r="N121" s="15">
        <v>-18</v>
      </c>
      <c r="O121" s="15">
        <v>22</v>
      </c>
      <c r="P121" s="15">
        <v>0</v>
      </c>
      <c r="Q121" s="15">
        <v>-200</v>
      </c>
      <c r="R121" s="15">
        <v>64</v>
      </c>
      <c r="S121" s="15">
        <v>58</v>
      </c>
      <c r="T121" s="15" t="s">
        <v>143</v>
      </c>
      <c r="U121" s="15" t="s">
        <v>143</v>
      </c>
      <c r="V121" s="15" t="s">
        <v>389</v>
      </c>
      <c r="W121" s="15" t="s">
        <v>143</v>
      </c>
      <c r="X121" s="15" t="s">
        <v>143</v>
      </c>
      <c r="Y121" s="15" t="s">
        <v>143</v>
      </c>
      <c r="Z121" s="15" t="s">
        <v>143</v>
      </c>
      <c r="AA121" s="15" t="s">
        <v>143</v>
      </c>
      <c r="AB121" s="40" t="s">
        <v>411</v>
      </c>
      <c r="AC121" s="34">
        <v>41018</v>
      </c>
      <c r="AD121" s="15">
        <v>5</v>
      </c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</row>
    <row r="122" spans="1:54" x14ac:dyDescent="0.2">
      <c r="A122">
        <v>120</v>
      </c>
      <c r="B122" s="24" t="s">
        <v>322</v>
      </c>
      <c r="C122" s="15">
        <v>65</v>
      </c>
      <c r="D122" s="15">
        <v>0</v>
      </c>
      <c r="E122" s="15">
        <v>-15</v>
      </c>
      <c r="F122" s="15">
        <v>23</v>
      </c>
      <c r="G122" s="15">
        <v>0</v>
      </c>
      <c r="H122" s="15">
        <v>-150</v>
      </c>
      <c r="I122" s="15">
        <v>23</v>
      </c>
      <c r="J122" s="15">
        <v>200</v>
      </c>
      <c r="K122" s="15">
        <v>0</v>
      </c>
      <c r="L122" s="15">
        <v>100</v>
      </c>
      <c r="M122" s="15">
        <v>0</v>
      </c>
      <c r="N122" s="15">
        <v>-18</v>
      </c>
      <c r="O122" s="15">
        <v>17.5</v>
      </c>
      <c r="P122" s="15">
        <v>0</v>
      </c>
      <c r="Q122" s="15">
        <v>-150</v>
      </c>
      <c r="R122" s="15" t="s">
        <v>143</v>
      </c>
      <c r="S122" s="15" t="s">
        <v>143</v>
      </c>
      <c r="T122" s="15" t="s">
        <v>143</v>
      </c>
      <c r="U122" s="15" t="s">
        <v>143</v>
      </c>
      <c r="V122" s="15" t="s">
        <v>143</v>
      </c>
      <c r="W122" s="15" t="s">
        <v>143</v>
      </c>
      <c r="X122" s="15" t="s">
        <v>143</v>
      </c>
      <c r="Y122" s="15" t="s">
        <v>143</v>
      </c>
      <c r="Z122" s="15" t="s">
        <v>143</v>
      </c>
      <c r="AA122" s="15" t="s">
        <v>143</v>
      </c>
      <c r="AB122" s="15"/>
      <c r="AC122" s="34">
        <v>40556</v>
      </c>
      <c r="AD122" s="15">
        <v>5</v>
      </c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</row>
    <row r="123" spans="1:54" x14ac:dyDescent="0.2">
      <c r="A123">
        <v>121</v>
      </c>
      <c r="B123" s="24" t="s">
        <v>282</v>
      </c>
      <c r="C123" s="15">
        <v>30</v>
      </c>
      <c r="D123" s="15">
        <v>0</v>
      </c>
      <c r="E123" s="15">
        <v>-12</v>
      </c>
      <c r="F123" s="15">
        <v>44.5</v>
      </c>
      <c r="G123" s="15">
        <v>100</v>
      </c>
      <c r="H123" s="15">
        <v>-100</v>
      </c>
      <c r="I123" s="15" t="s">
        <v>143</v>
      </c>
      <c r="J123" s="15" t="s">
        <v>143</v>
      </c>
      <c r="K123" s="15" t="s">
        <v>143</v>
      </c>
      <c r="L123" s="15" t="s">
        <v>143</v>
      </c>
      <c r="M123" s="15" t="s">
        <v>143</v>
      </c>
      <c r="N123" s="15" t="s">
        <v>143</v>
      </c>
      <c r="O123" s="15" t="s">
        <v>143</v>
      </c>
      <c r="P123" s="15" t="s">
        <v>143</v>
      </c>
      <c r="Q123" s="15" t="s">
        <v>143</v>
      </c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 t="s">
        <v>284</v>
      </c>
      <c r="AC123" s="34">
        <v>40476</v>
      </c>
      <c r="AD123" s="15">
        <v>5</v>
      </c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</row>
    <row r="124" spans="1:54" x14ac:dyDescent="0.2">
      <c r="A124">
        <v>122</v>
      </c>
      <c r="B124" s="24" t="s">
        <v>395</v>
      </c>
      <c r="C124" s="15">
        <v>35</v>
      </c>
      <c r="D124" s="15">
        <v>0</v>
      </c>
      <c r="E124" s="15">
        <v>-12</v>
      </c>
      <c r="F124" s="15">
        <v>18</v>
      </c>
      <c r="G124" s="15">
        <v>0</v>
      </c>
      <c r="H124" s="15">
        <v>-120</v>
      </c>
      <c r="I124" s="43" t="s">
        <v>143</v>
      </c>
      <c r="J124" s="43" t="s">
        <v>143</v>
      </c>
      <c r="K124" s="43" t="s">
        <v>143</v>
      </c>
      <c r="L124" s="43" t="s">
        <v>143</v>
      </c>
      <c r="M124" s="43" t="s">
        <v>143</v>
      </c>
      <c r="N124" s="43" t="s">
        <v>143</v>
      </c>
      <c r="O124" s="43" t="s">
        <v>143</v>
      </c>
      <c r="P124" s="43" t="s">
        <v>143</v>
      </c>
      <c r="Q124" s="43" t="s">
        <v>143</v>
      </c>
      <c r="R124" s="15" t="s">
        <v>143</v>
      </c>
      <c r="S124" s="15" t="s">
        <v>143</v>
      </c>
      <c r="T124" s="15" t="s">
        <v>143</v>
      </c>
      <c r="U124" s="15" t="s">
        <v>143</v>
      </c>
      <c r="V124" s="15" t="s">
        <v>389</v>
      </c>
      <c r="W124" s="15" t="s">
        <v>389</v>
      </c>
      <c r="X124" s="15" t="s">
        <v>389</v>
      </c>
      <c r="Y124" s="15" t="s">
        <v>143</v>
      </c>
      <c r="Z124" s="15" t="s">
        <v>143</v>
      </c>
      <c r="AA124" s="15" t="s">
        <v>143</v>
      </c>
      <c r="AB124" s="15" t="s">
        <v>396</v>
      </c>
      <c r="AC124" s="34">
        <v>40819</v>
      </c>
      <c r="AD124" s="15">
        <v>5</v>
      </c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</row>
    <row r="125" spans="1:54" x14ac:dyDescent="0.2">
      <c r="A125">
        <v>123</v>
      </c>
      <c r="B125" s="24" t="s">
        <v>288</v>
      </c>
      <c r="C125" s="15">
        <v>40</v>
      </c>
      <c r="D125" s="15">
        <v>0</v>
      </c>
      <c r="E125" s="15">
        <v>-12</v>
      </c>
      <c r="F125" s="15">
        <v>19</v>
      </c>
      <c r="G125" s="15">
        <v>200</v>
      </c>
      <c r="H125" s="15">
        <v>0</v>
      </c>
      <c r="I125" s="15" t="s">
        <v>143</v>
      </c>
      <c r="J125" s="15" t="s">
        <v>143</v>
      </c>
      <c r="K125" s="15" t="s">
        <v>143</v>
      </c>
      <c r="L125" s="15" t="s">
        <v>143</v>
      </c>
      <c r="M125" s="15" t="s">
        <v>143</v>
      </c>
      <c r="N125" s="15" t="s">
        <v>143</v>
      </c>
      <c r="O125" s="15" t="s">
        <v>143</v>
      </c>
      <c r="P125" s="15" t="s">
        <v>143</v>
      </c>
      <c r="Q125" s="15" t="s">
        <v>143</v>
      </c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 t="s">
        <v>289</v>
      </c>
      <c r="AC125" s="34">
        <v>40476</v>
      </c>
      <c r="AD125" s="15">
        <v>5</v>
      </c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</row>
    <row r="126" spans="1:54" x14ac:dyDescent="0.2">
      <c r="A126">
        <v>124</v>
      </c>
      <c r="B126" s="24" t="s">
        <v>280</v>
      </c>
      <c r="C126" s="15">
        <v>45</v>
      </c>
      <c r="D126" s="15">
        <v>0</v>
      </c>
      <c r="E126" s="15">
        <v>-12</v>
      </c>
      <c r="F126" s="15">
        <v>20</v>
      </c>
      <c r="G126" s="15">
        <v>200</v>
      </c>
      <c r="H126" s="15">
        <v>0</v>
      </c>
      <c r="I126" s="15" t="s">
        <v>143</v>
      </c>
      <c r="J126" s="15" t="s">
        <v>143</v>
      </c>
      <c r="K126" s="15" t="s">
        <v>143</v>
      </c>
      <c r="L126" s="15" t="s">
        <v>143</v>
      </c>
      <c r="M126" s="15" t="s">
        <v>143</v>
      </c>
      <c r="N126" s="15" t="s">
        <v>143</v>
      </c>
      <c r="O126" s="15" t="s">
        <v>143</v>
      </c>
      <c r="P126" s="15" t="s">
        <v>143</v>
      </c>
      <c r="Q126" s="15" t="s">
        <v>143</v>
      </c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43" t="s">
        <v>281</v>
      </c>
      <c r="AC126" s="34">
        <v>40476</v>
      </c>
      <c r="AD126" s="15">
        <v>5</v>
      </c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</row>
    <row r="127" spans="1:54" x14ac:dyDescent="0.2">
      <c r="A127">
        <v>125</v>
      </c>
      <c r="B127" s="24" t="s">
        <v>325</v>
      </c>
      <c r="C127" s="15">
        <v>35</v>
      </c>
      <c r="D127" s="15">
        <v>0</v>
      </c>
      <c r="E127" s="15">
        <v>12</v>
      </c>
      <c r="F127" s="15">
        <v>23</v>
      </c>
      <c r="G127" s="15">
        <v>0</v>
      </c>
      <c r="H127" s="15">
        <v>-120</v>
      </c>
      <c r="I127" s="15" t="s">
        <v>143</v>
      </c>
      <c r="J127" s="15" t="s">
        <v>143</v>
      </c>
      <c r="K127" s="15" t="s">
        <v>143</v>
      </c>
      <c r="L127" s="15" t="s">
        <v>143</v>
      </c>
      <c r="M127" s="15" t="s">
        <v>143</v>
      </c>
      <c r="N127" s="15" t="s">
        <v>143</v>
      </c>
      <c r="O127" s="15" t="s">
        <v>143</v>
      </c>
      <c r="P127" s="15" t="s">
        <v>143</v>
      </c>
      <c r="Q127" s="15" t="s">
        <v>143</v>
      </c>
      <c r="R127" s="15" t="s">
        <v>143</v>
      </c>
      <c r="S127" s="15" t="s">
        <v>143</v>
      </c>
      <c r="T127" s="15" t="s">
        <v>143</v>
      </c>
      <c r="U127" s="15" t="s">
        <v>143</v>
      </c>
      <c r="V127" s="15" t="s">
        <v>143</v>
      </c>
      <c r="W127" s="15" t="s">
        <v>143</v>
      </c>
      <c r="X127" s="15" t="s">
        <v>143</v>
      </c>
      <c r="Y127" s="15" t="s">
        <v>143</v>
      </c>
      <c r="Z127" s="15" t="s">
        <v>143</v>
      </c>
      <c r="AA127" s="15" t="s">
        <v>143</v>
      </c>
      <c r="AB127" s="15" t="s">
        <v>331</v>
      </c>
      <c r="AC127" s="34">
        <v>40564</v>
      </c>
      <c r="AD127" s="15">
        <v>5</v>
      </c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</row>
    <row r="128" spans="1:54" x14ac:dyDescent="0.2">
      <c r="A128">
        <v>126</v>
      </c>
      <c r="B128" s="24" t="s">
        <v>367</v>
      </c>
      <c r="C128" s="15">
        <v>40</v>
      </c>
      <c r="D128" s="15">
        <v>0</v>
      </c>
      <c r="E128" s="15">
        <v>-12</v>
      </c>
      <c r="F128" s="15">
        <v>23</v>
      </c>
      <c r="G128" s="15">
        <v>0</v>
      </c>
      <c r="H128" s="15">
        <v>-120</v>
      </c>
      <c r="I128" s="43" t="s">
        <v>143</v>
      </c>
      <c r="J128" s="43" t="s">
        <v>143</v>
      </c>
      <c r="K128" s="43" t="s">
        <v>143</v>
      </c>
      <c r="L128" s="43" t="s">
        <v>143</v>
      </c>
      <c r="M128" s="43" t="s">
        <v>143</v>
      </c>
      <c r="N128" s="43" t="s">
        <v>143</v>
      </c>
      <c r="O128" s="43" t="s">
        <v>143</v>
      </c>
      <c r="P128" s="43" t="s">
        <v>143</v>
      </c>
      <c r="Q128" s="43" t="s">
        <v>143</v>
      </c>
      <c r="R128" s="15" t="s">
        <v>143</v>
      </c>
      <c r="S128" s="15" t="s">
        <v>143</v>
      </c>
      <c r="T128" s="15" t="s">
        <v>143</v>
      </c>
      <c r="U128" s="15" t="s">
        <v>143</v>
      </c>
      <c r="V128" s="15" t="s">
        <v>143</v>
      </c>
      <c r="W128" s="15" t="s">
        <v>143</v>
      </c>
      <c r="X128" s="15" t="s">
        <v>143</v>
      </c>
      <c r="Y128" s="15" t="s">
        <v>143</v>
      </c>
      <c r="Z128" s="15" t="s">
        <v>143</v>
      </c>
      <c r="AA128" s="15" t="s">
        <v>143</v>
      </c>
      <c r="AB128" s="43" t="s">
        <v>303</v>
      </c>
      <c r="AC128" s="34">
        <v>40702</v>
      </c>
      <c r="AD128" s="15">
        <v>5</v>
      </c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</row>
    <row r="129" spans="1:54" x14ac:dyDescent="0.2">
      <c r="A129">
        <v>127</v>
      </c>
      <c r="B129" s="24" t="s">
        <v>302</v>
      </c>
      <c r="C129" s="15">
        <v>40</v>
      </c>
      <c r="D129" s="15">
        <v>0</v>
      </c>
      <c r="E129" s="15">
        <v>-12</v>
      </c>
      <c r="F129" s="15">
        <v>23</v>
      </c>
      <c r="G129" s="15">
        <v>0</v>
      </c>
      <c r="H129" s="15">
        <v>-120</v>
      </c>
      <c r="I129" s="15" t="s">
        <v>143</v>
      </c>
      <c r="J129" s="15" t="s">
        <v>143</v>
      </c>
      <c r="K129" s="15" t="s">
        <v>143</v>
      </c>
      <c r="L129" s="15" t="s">
        <v>143</v>
      </c>
      <c r="M129" s="15" t="s">
        <v>143</v>
      </c>
      <c r="N129" s="15" t="s">
        <v>143</v>
      </c>
      <c r="O129" s="15" t="s">
        <v>143</v>
      </c>
      <c r="P129" s="15" t="s">
        <v>143</v>
      </c>
      <c r="Q129" s="15" t="s">
        <v>143</v>
      </c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 t="s">
        <v>303</v>
      </c>
      <c r="AC129" s="34">
        <v>40476</v>
      </c>
      <c r="AD129" s="15">
        <v>5</v>
      </c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</row>
    <row r="130" spans="1:54" x14ac:dyDescent="0.2">
      <c r="A130">
        <v>128</v>
      </c>
      <c r="B130" s="24" t="s">
        <v>417</v>
      </c>
      <c r="C130" s="15">
        <v>45</v>
      </c>
      <c r="D130" s="15">
        <v>0</v>
      </c>
      <c r="E130" s="15">
        <v>-12</v>
      </c>
      <c r="F130" s="15">
        <v>23</v>
      </c>
      <c r="G130" s="15">
        <v>0</v>
      </c>
      <c r="H130" s="15">
        <v>-120</v>
      </c>
      <c r="I130" s="43" t="s">
        <v>143</v>
      </c>
      <c r="J130" s="43" t="s">
        <v>143</v>
      </c>
      <c r="K130" s="43" t="s">
        <v>143</v>
      </c>
      <c r="L130" s="43" t="s">
        <v>143</v>
      </c>
      <c r="M130" s="43" t="s">
        <v>143</v>
      </c>
      <c r="N130" s="43" t="s">
        <v>143</v>
      </c>
      <c r="O130" s="43" t="s">
        <v>143</v>
      </c>
      <c r="P130" s="43" t="s">
        <v>143</v>
      </c>
      <c r="Q130" s="43" t="s">
        <v>143</v>
      </c>
      <c r="R130" s="15" t="s">
        <v>143</v>
      </c>
      <c r="S130" s="15" t="s">
        <v>143</v>
      </c>
      <c r="T130" s="15">
        <v>64</v>
      </c>
      <c r="U130" s="15">
        <v>58</v>
      </c>
      <c r="V130" s="15" t="s">
        <v>389</v>
      </c>
      <c r="W130" s="15" t="s">
        <v>389</v>
      </c>
      <c r="X130" s="15" t="s">
        <v>389</v>
      </c>
      <c r="Y130" s="15" t="s">
        <v>143</v>
      </c>
      <c r="Z130" s="15" t="s">
        <v>143</v>
      </c>
      <c r="AA130" s="15" t="s">
        <v>143</v>
      </c>
      <c r="AB130" s="15" t="s">
        <v>396</v>
      </c>
      <c r="AC130" s="34">
        <v>41177</v>
      </c>
      <c r="AD130" s="15">
        <v>5</v>
      </c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</row>
    <row r="131" spans="1:54" x14ac:dyDescent="0.2">
      <c r="A131">
        <v>129</v>
      </c>
      <c r="B131" s="24" t="s">
        <v>406</v>
      </c>
      <c r="C131" s="15">
        <v>55</v>
      </c>
      <c r="D131" s="15">
        <v>0</v>
      </c>
      <c r="E131" s="15">
        <v>-15</v>
      </c>
      <c r="F131" s="15">
        <v>26</v>
      </c>
      <c r="G131" s="15">
        <v>200</v>
      </c>
      <c r="H131" s="15">
        <v>0</v>
      </c>
      <c r="I131" s="43" t="s">
        <v>143</v>
      </c>
      <c r="J131" s="43" t="s">
        <v>143</v>
      </c>
      <c r="K131" s="43" t="s">
        <v>143</v>
      </c>
      <c r="L131" s="43" t="s">
        <v>143</v>
      </c>
      <c r="M131" s="43" t="s">
        <v>143</v>
      </c>
      <c r="N131" s="43" t="s">
        <v>143</v>
      </c>
      <c r="O131" s="43" t="s">
        <v>143</v>
      </c>
      <c r="P131" s="43" t="s">
        <v>143</v>
      </c>
      <c r="Q131" s="43" t="s">
        <v>143</v>
      </c>
      <c r="R131" s="15">
        <v>62</v>
      </c>
      <c r="S131" s="15">
        <v>58</v>
      </c>
      <c r="T131" s="15">
        <v>62</v>
      </c>
      <c r="U131" s="15">
        <v>58</v>
      </c>
      <c r="V131" s="15" t="s">
        <v>389</v>
      </c>
      <c r="W131" s="15" t="s">
        <v>389</v>
      </c>
      <c r="X131" s="15" t="s">
        <v>389</v>
      </c>
      <c r="Y131" s="15" t="s">
        <v>143</v>
      </c>
      <c r="Z131" s="15" t="s">
        <v>143</v>
      </c>
      <c r="AA131" s="15" t="s">
        <v>143</v>
      </c>
      <c r="AB131" s="15" t="s">
        <v>407</v>
      </c>
      <c r="AC131" s="15"/>
      <c r="AD131" s="15">
        <v>5</v>
      </c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</row>
    <row r="132" spans="1:54" x14ac:dyDescent="0.2">
      <c r="A132">
        <v>130</v>
      </c>
      <c r="B132" s="24" t="s">
        <v>397</v>
      </c>
      <c r="C132" s="15">
        <v>60</v>
      </c>
      <c r="D132" s="15">
        <v>0</v>
      </c>
      <c r="E132" s="15">
        <v>-15</v>
      </c>
      <c r="F132" s="15">
        <v>28</v>
      </c>
      <c r="G132" s="15">
        <v>0</v>
      </c>
      <c r="H132" s="15">
        <v>-150</v>
      </c>
      <c r="I132" s="43" t="s">
        <v>143</v>
      </c>
      <c r="J132" s="43" t="s">
        <v>143</v>
      </c>
      <c r="K132" s="43" t="s">
        <v>143</v>
      </c>
      <c r="L132" s="43" t="s">
        <v>143</v>
      </c>
      <c r="M132" s="43" t="s">
        <v>143</v>
      </c>
      <c r="N132" s="43" t="s">
        <v>143</v>
      </c>
      <c r="O132" s="43" t="s">
        <v>143</v>
      </c>
      <c r="P132" s="43" t="s">
        <v>143</v>
      </c>
      <c r="Q132" s="43" t="s">
        <v>143</v>
      </c>
      <c r="R132" s="15" t="s">
        <v>143</v>
      </c>
      <c r="S132" s="15" t="s">
        <v>143</v>
      </c>
      <c r="T132" s="15">
        <v>64</v>
      </c>
      <c r="U132" s="15">
        <v>58</v>
      </c>
      <c r="V132" s="15" t="s">
        <v>389</v>
      </c>
      <c r="W132" s="15" t="s">
        <v>389</v>
      </c>
      <c r="X132" s="15" t="s">
        <v>389</v>
      </c>
      <c r="Y132" s="15" t="s">
        <v>143</v>
      </c>
      <c r="Z132" s="15" t="s">
        <v>143</v>
      </c>
      <c r="AA132" s="15" t="s">
        <v>143</v>
      </c>
      <c r="AB132" s="15" t="s">
        <v>396</v>
      </c>
      <c r="AC132" s="34">
        <v>40819</v>
      </c>
      <c r="AD132" s="15">
        <v>5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</row>
    <row r="133" spans="1:54" x14ac:dyDescent="0.2">
      <c r="A133">
        <v>131</v>
      </c>
      <c r="B133" s="24" t="s">
        <v>418</v>
      </c>
      <c r="C133" s="15">
        <v>65</v>
      </c>
      <c r="D133" s="15">
        <v>0</v>
      </c>
      <c r="E133" s="15">
        <v>-15</v>
      </c>
      <c r="F133" s="15">
        <v>31</v>
      </c>
      <c r="G133" s="15">
        <v>0</v>
      </c>
      <c r="H133" s="15">
        <v>-150</v>
      </c>
      <c r="I133" s="43" t="s">
        <v>143</v>
      </c>
      <c r="J133" s="43" t="s">
        <v>143</v>
      </c>
      <c r="K133" s="43" t="s">
        <v>143</v>
      </c>
      <c r="L133" s="43" t="s">
        <v>143</v>
      </c>
      <c r="M133" s="43" t="s">
        <v>143</v>
      </c>
      <c r="N133" s="43" t="s">
        <v>143</v>
      </c>
      <c r="O133" s="43" t="s">
        <v>143</v>
      </c>
      <c r="P133" s="43" t="s">
        <v>143</v>
      </c>
      <c r="Q133" s="43" t="s">
        <v>143</v>
      </c>
      <c r="R133" s="15" t="s">
        <v>143</v>
      </c>
      <c r="S133" s="15" t="s">
        <v>143</v>
      </c>
      <c r="T133" s="15">
        <v>64</v>
      </c>
      <c r="U133" s="15">
        <v>58</v>
      </c>
      <c r="V133" s="15" t="s">
        <v>389</v>
      </c>
      <c r="W133" s="15" t="s">
        <v>389</v>
      </c>
      <c r="X133" s="15" t="s">
        <v>389</v>
      </c>
      <c r="Y133" s="15" t="s">
        <v>143</v>
      </c>
      <c r="Z133" s="15" t="s">
        <v>143</v>
      </c>
      <c r="AA133" s="15" t="s">
        <v>143</v>
      </c>
      <c r="AB133" s="15" t="s">
        <v>396</v>
      </c>
      <c r="AC133" s="34">
        <v>41177</v>
      </c>
      <c r="AD133" s="15">
        <v>5</v>
      </c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</row>
    <row r="134" spans="1:54" x14ac:dyDescent="0.2">
      <c r="A134">
        <v>132</v>
      </c>
      <c r="B134" s="24" t="s">
        <v>326</v>
      </c>
      <c r="C134" s="15">
        <v>75</v>
      </c>
      <c r="D134" s="15">
        <v>0</v>
      </c>
      <c r="E134" s="15">
        <v>15</v>
      </c>
      <c r="F134" s="15">
        <v>31</v>
      </c>
      <c r="G134" s="15">
        <v>0</v>
      </c>
      <c r="H134" s="15">
        <v>-150</v>
      </c>
      <c r="I134" s="15" t="s">
        <v>143</v>
      </c>
      <c r="J134" s="15" t="s">
        <v>143</v>
      </c>
      <c r="K134" s="15" t="s">
        <v>143</v>
      </c>
      <c r="L134" s="15" t="s">
        <v>143</v>
      </c>
      <c r="M134" s="15" t="s">
        <v>143</v>
      </c>
      <c r="N134" s="15" t="s">
        <v>143</v>
      </c>
      <c r="O134" s="15" t="s">
        <v>143</v>
      </c>
      <c r="P134" s="15" t="s">
        <v>143</v>
      </c>
      <c r="Q134" s="15" t="s">
        <v>143</v>
      </c>
      <c r="R134" s="15" t="s">
        <v>143</v>
      </c>
      <c r="S134" s="15" t="s">
        <v>143</v>
      </c>
      <c r="T134" s="15" t="s">
        <v>143</v>
      </c>
      <c r="U134" s="15" t="s">
        <v>143</v>
      </c>
      <c r="V134" s="15" t="s">
        <v>143</v>
      </c>
      <c r="W134" s="15" t="s">
        <v>143</v>
      </c>
      <c r="X134" s="15" t="s">
        <v>143</v>
      </c>
      <c r="Y134" s="15" t="s">
        <v>143</v>
      </c>
      <c r="Z134" s="15" t="s">
        <v>143</v>
      </c>
      <c r="AA134" s="15" t="s">
        <v>143</v>
      </c>
      <c r="AB134" s="15" t="s">
        <v>332</v>
      </c>
      <c r="AC134" s="34">
        <v>40564</v>
      </c>
      <c r="AD134" s="15">
        <v>5</v>
      </c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</row>
    <row r="135" spans="1:54" x14ac:dyDescent="0.2">
      <c r="A135">
        <v>133</v>
      </c>
      <c r="B135" s="24" t="s">
        <v>398</v>
      </c>
      <c r="C135" s="15">
        <v>80</v>
      </c>
      <c r="D135" s="15">
        <v>0</v>
      </c>
      <c r="E135" s="15">
        <v>-15</v>
      </c>
      <c r="F135" s="15">
        <v>33</v>
      </c>
      <c r="G135" s="15">
        <v>0</v>
      </c>
      <c r="H135" s="15">
        <v>-150</v>
      </c>
      <c r="I135" s="43" t="s">
        <v>143</v>
      </c>
      <c r="J135" s="43" t="s">
        <v>143</v>
      </c>
      <c r="K135" s="43" t="s">
        <v>143</v>
      </c>
      <c r="L135" s="43" t="s">
        <v>143</v>
      </c>
      <c r="M135" s="43" t="s">
        <v>143</v>
      </c>
      <c r="N135" s="43" t="s">
        <v>143</v>
      </c>
      <c r="O135" s="43" t="s">
        <v>143</v>
      </c>
      <c r="P135" s="43" t="s">
        <v>143</v>
      </c>
      <c r="Q135" s="43" t="s">
        <v>143</v>
      </c>
      <c r="R135" s="15" t="s">
        <v>143</v>
      </c>
      <c r="S135" s="15" t="s">
        <v>143</v>
      </c>
      <c r="T135" s="15">
        <v>64</v>
      </c>
      <c r="U135" s="15">
        <v>58</v>
      </c>
      <c r="V135" s="15" t="s">
        <v>389</v>
      </c>
      <c r="W135" s="15" t="s">
        <v>389</v>
      </c>
      <c r="X135" s="15" t="s">
        <v>389</v>
      </c>
      <c r="Y135" s="15" t="s">
        <v>143</v>
      </c>
      <c r="Z135" s="15" t="s">
        <v>143</v>
      </c>
      <c r="AA135" s="15" t="s">
        <v>143</v>
      </c>
      <c r="AB135" s="15" t="s">
        <v>396</v>
      </c>
      <c r="AC135" s="34">
        <v>40819</v>
      </c>
      <c r="AD135" s="15">
        <v>5</v>
      </c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</row>
    <row r="136" spans="1:54" x14ac:dyDescent="0.2">
      <c r="A136">
        <v>134</v>
      </c>
      <c r="B136" s="24" t="s">
        <v>361</v>
      </c>
      <c r="C136" s="15">
        <v>85</v>
      </c>
      <c r="D136" s="15">
        <v>0</v>
      </c>
      <c r="E136" s="15">
        <v>-20</v>
      </c>
      <c r="F136" s="15">
        <v>36</v>
      </c>
      <c r="G136" s="15">
        <v>0</v>
      </c>
      <c r="H136" s="15">
        <v>-200</v>
      </c>
      <c r="I136" s="15" t="s">
        <v>143</v>
      </c>
      <c r="J136" s="15" t="s">
        <v>143</v>
      </c>
      <c r="K136" s="15" t="s">
        <v>143</v>
      </c>
      <c r="L136" s="15" t="s">
        <v>143</v>
      </c>
      <c r="M136" s="15" t="s">
        <v>143</v>
      </c>
      <c r="N136" s="15" t="s">
        <v>143</v>
      </c>
      <c r="O136" s="15" t="s">
        <v>143</v>
      </c>
      <c r="P136" s="15" t="s">
        <v>143</v>
      </c>
      <c r="Q136" s="15" t="s">
        <v>143</v>
      </c>
      <c r="R136" s="15" t="s">
        <v>143</v>
      </c>
      <c r="S136" s="15" t="s">
        <v>143</v>
      </c>
      <c r="T136" s="15" t="s">
        <v>143</v>
      </c>
      <c r="U136" s="15" t="s">
        <v>143</v>
      </c>
      <c r="V136" s="15" t="s">
        <v>143</v>
      </c>
      <c r="W136" s="15" t="s">
        <v>143</v>
      </c>
      <c r="X136" s="15" t="s">
        <v>143</v>
      </c>
      <c r="Y136" s="15" t="s">
        <v>143</v>
      </c>
      <c r="Z136" s="15" t="s">
        <v>143</v>
      </c>
      <c r="AA136" s="15" t="s">
        <v>143</v>
      </c>
      <c r="AB136" s="15" t="s">
        <v>363</v>
      </c>
      <c r="AC136" s="34">
        <v>40682</v>
      </c>
      <c r="AD136" s="15">
        <v>5</v>
      </c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</row>
    <row r="137" spans="1:54" x14ac:dyDescent="0.2">
      <c r="A137">
        <v>135</v>
      </c>
      <c r="B137" s="24" t="s">
        <v>399</v>
      </c>
      <c r="C137" s="15">
        <v>90</v>
      </c>
      <c r="D137" s="15">
        <v>0</v>
      </c>
      <c r="E137" s="15">
        <v>-20</v>
      </c>
      <c r="F137" s="15">
        <v>40</v>
      </c>
      <c r="G137" s="15">
        <v>0</v>
      </c>
      <c r="H137" s="15">
        <v>-150</v>
      </c>
      <c r="I137" s="43" t="s">
        <v>143</v>
      </c>
      <c r="J137" s="43" t="s">
        <v>143</v>
      </c>
      <c r="K137" s="43" t="s">
        <v>143</v>
      </c>
      <c r="L137" s="43" t="s">
        <v>143</v>
      </c>
      <c r="M137" s="43" t="s">
        <v>143</v>
      </c>
      <c r="N137" s="43" t="s">
        <v>143</v>
      </c>
      <c r="O137" s="43" t="s">
        <v>143</v>
      </c>
      <c r="P137" s="43" t="s">
        <v>143</v>
      </c>
      <c r="Q137" s="43" t="s">
        <v>143</v>
      </c>
      <c r="R137" s="15" t="s">
        <v>143</v>
      </c>
      <c r="S137" s="15" t="s">
        <v>143</v>
      </c>
      <c r="T137" s="15">
        <v>64</v>
      </c>
      <c r="U137" s="15">
        <v>58</v>
      </c>
      <c r="V137" s="15" t="s">
        <v>389</v>
      </c>
      <c r="W137" s="15" t="s">
        <v>389</v>
      </c>
      <c r="X137" s="15" t="s">
        <v>389</v>
      </c>
      <c r="Y137" s="15" t="s">
        <v>143</v>
      </c>
      <c r="Z137" s="15" t="s">
        <v>143</v>
      </c>
      <c r="AA137" s="15" t="s">
        <v>143</v>
      </c>
      <c r="AB137" s="15" t="s">
        <v>396</v>
      </c>
      <c r="AC137" s="34">
        <v>40819</v>
      </c>
      <c r="AD137" s="15">
        <v>5</v>
      </c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</row>
    <row r="138" spans="1:54" x14ac:dyDescent="0.2">
      <c r="A138">
        <v>136</v>
      </c>
      <c r="B138" s="24" t="s">
        <v>327</v>
      </c>
      <c r="C138" s="15">
        <v>50</v>
      </c>
      <c r="D138" s="15">
        <v>0</v>
      </c>
      <c r="E138" s="15">
        <v>-12</v>
      </c>
      <c r="F138" s="15">
        <v>40</v>
      </c>
      <c r="G138" s="15">
        <v>0</v>
      </c>
      <c r="H138" s="15">
        <v>-120</v>
      </c>
      <c r="I138" s="15" t="s">
        <v>143</v>
      </c>
      <c r="J138" s="15" t="s">
        <v>143</v>
      </c>
      <c r="K138" s="15" t="s">
        <v>143</v>
      </c>
      <c r="L138" s="15" t="s">
        <v>143</v>
      </c>
      <c r="M138" s="15" t="s">
        <v>143</v>
      </c>
      <c r="N138" s="15" t="s">
        <v>143</v>
      </c>
      <c r="O138" s="15" t="s">
        <v>143</v>
      </c>
      <c r="P138" s="15" t="s">
        <v>143</v>
      </c>
      <c r="Q138" s="15" t="s">
        <v>143</v>
      </c>
      <c r="R138" s="15" t="s">
        <v>143</v>
      </c>
      <c r="S138" s="15" t="s">
        <v>143</v>
      </c>
      <c r="T138" s="15" t="s">
        <v>143</v>
      </c>
      <c r="U138" s="15" t="s">
        <v>143</v>
      </c>
      <c r="V138" s="15" t="s">
        <v>143</v>
      </c>
      <c r="W138" s="15" t="s">
        <v>143</v>
      </c>
      <c r="X138" s="15" t="s">
        <v>143</v>
      </c>
      <c r="Y138" s="15" t="s">
        <v>143</v>
      </c>
      <c r="Z138" s="15" t="s">
        <v>143</v>
      </c>
      <c r="AA138" s="15" t="s">
        <v>143</v>
      </c>
      <c r="AB138" s="15" t="s">
        <v>334</v>
      </c>
      <c r="AC138" s="34">
        <v>40564</v>
      </c>
      <c r="AD138" s="15">
        <v>5</v>
      </c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</row>
    <row r="139" spans="1:54" x14ac:dyDescent="0.2">
      <c r="A139">
        <v>137</v>
      </c>
      <c r="B139" s="24" t="s">
        <v>274</v>
      </c>
      <c r="C139" s="43" t="s">
        <v>143</v>
      </c>
      <c r="D139" s="43" t="s">
        <v>143</v>
      </c>
      <c r="E139" s="43" t="s">
        <v>143</v>
      </c>
      <c r="F139" s="43" t="s">
        <v>143</v>
      </c>
      <c r="G139" s="43" t="s">
        <v>143</v>
      </c>
      <c r="H139" s="43" t="s">
        <v>143</v>
      </c>
      <c r="I139" s="43" t="s">
        <v>143</v>
      </c>
      <c r="J139" s="43" t="s">
        <v>143</v>
      </c>
      <c r="K139" s="43" t="s">
        <v>143</v>
      </c>
      <c r="L139" s="43">
        <v>55</v>
      </c>
      <c r="M139" s="43">
        <v>0</v>
      </c>
      <c r="N139" s="43">
        <v>-16</v>
      </c>
      <c r="O139" s="43">
        <v>13</v>
      </c>
      <c r="P139" s="43">
        <v>0</v>
      </c>
      <c r="Q139" s="43">
        <v>-120</v>
      </c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 t="s">
        <v>276</v>
      </c>
      <c r="AC139" s="34">
        <v>40476</v>
      </c>
      <c r="AD139" s="15">
        <v>5</v>
      </c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</row>
    <row r="140" spans="1:54" x14ac:dyDescent="0.2">
      <c r="A140">
        <v>138</v>
      </c>
      <c r="B140" s="24" t="s">
        <v>388</v>
      </c>
      <c r="C140" s="43" t="s">
        <v>143</v>
      </c>
      <c r="D140" s="43" t="s">
        <v>143</v>
      </c>
      <c r="E140" s="43" t="s">
        <v>143</v>
      </c>
      <c r="F140" s="43" t="s">
        <v>143</v>
      </c>
      <c r="G140" s="43" t="s">
        <v>143</v>
      </c>
      <c r="H140" s="43" t="s">
        <v>143</v>
      </c>
      <c r="I140" s="43" t="s">
        <v>143</v>
      </c>
      <c r="J140" s="43" t="s">
        <v>143</v>
      </c>
      <c r="K140" s="43" t="s">
        <v>143</v>
      </c>
      <c r="L140" s="43">
        <v>62</v>
      </c>
      <c r="M140" s="43">
        <v>0</v>
      </c>
      <c r="N140" s="43">
        <v>-16</v>
      </c>
      <c r="O140" s="43">
        <v>14</v>
      </c>
      <c r="P140" s="43">
        <v>0</v>
      </c>
      <c r="Q140" s="43">
        <v>-120</v>
      </c>
      <c r="R140" s="15" t="s">
        <v>143</v>
      </c>
      <c r="S140" s="15" t="s">
        <v>143</v>
      </c>
      <c r="T140" s="15" t="s">
        <v>143</v>
      </c>
      <c r="U140" s="15" t="s">
        <v>143</v>
      </c>
      <c r="V140" s="15" t="s">
        <v>389</v>
      </c>
      <c r="W140" s="15" t="s">
        <v>389</v>
      </c>
      <c r="X140" s="15" t="s">
        <v>389</v>
      </c>
      <c r="Y140" s="15" t="s">
        <v>143</v>
      </c>
      <c r="Z140" s="15" t="s">
        <v>143</v>
      </c>
      <c r="AA140" s="15" t="s">
        <v>143</v>
      </c>
      <c r="AB140" s="43" t="s">
        <v>390</v>
      </c>
      <c r="AC140" s="34">
        <v>40799</v>
      </c>
      <c r="AD140" s="15">
        <v>5</v>
      </c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</row>
    <row r="141" spans="1:54" x14ac:dyDescent="0.2">
      <c r="A141">
        <v>139</v>
      </c>
      <c r="B141" s="24" t="s">
        <v>272</v>
      </c>
      <c r="C141" s="43" t="s">
        <v>143</v>
      </c>
      <c r="D141" s="43" t="s">
        <v>143</v>
      </c>
      <c r="E141" s="43" t="s">
        <v>143</v>
      </c>
      <c r="F141" s="43" t="s">
        <v>143</v>
      </c>
      <c r="G141" s="43" t="s">
        <v>143</v>
      </c>
      <c r="H141" s="43" t="s">
        <v>143</v>
      </c>
      <c r="I141" s="43" t="s">
        <v>143</v>
      </c>
      <c r="J141" s="43" t="s">
        <v>143</v>
      </c>
      <c r="K141" s="43" t="s">
        <v>143</v>
      </c>
      <c r="L141" s="43">
        <v>68</v>
      </c>
      <c r="M141" s="43">
        <v>0</v>
      </c>
      <c r="N141" s="43">
        <v>-16</v>
      </c>
      <c r="O141" s="43">
        <v>14.5</v>
      </c>
      <c r="P141" s="43">
        <v>0</v>
      </c>
      <c r="Q141" s="43">
        <v>-120</v>
      </c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 t="s">
        <v>273</v>
      </c>
      <c r="AC141" s="34">
        <v>40476</v>
      </c>
      <c r="AD141" s="15">
        <v>5</v>
      </c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</row>
    <row r="142" spans="1:54" x14ac:dyDescent="0.2">
      <c r="A142">
        <v>140</v>
      </c>
      <c r="B142" s="24" t="s">
        <v>277</v>
      </c>
      <c r="C142" s="43" t="s">
        <v>143</v>
      </c>
      <c r="D142" s="43" t="s">
        <v>143</v>
      </c>
      <c r="E142" s="43" t="s">
        <v>143</v>
      </c>
      <c r="F142" s="43" t="s">
        <v>143</v>
      </c>
      <c r="G142" s="43" t="s">
        <v>143</v>
      </c>
      <c r="H142" s="43" t="s">
        <v>143</v>
      </c>
      <c r="I142" s="43" t="s">
        <v>143</v>
      </c>
      <c r="J142" s="43" t="s">
        <v>143</v>
      </c>
      <c r="K142" s="43" t="s">
        <v>143</v>
      </c>
      <c r="L142" s="43">
        <v>75</v>
      </c>
      <c r="M142" s="43">
        <v>0</v>
      </c>
      <c r="N142" s="43">
        <v>-16</v>
      </c>
      <c r="O142" s="43">
        <v>15.5</v>
      </c>
      <c r="P142" s="43">
        <v>0</v>
      </c>
      <c r="Q142" s="43">
        <v>-120</v>
      </c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 t="s">
        <v>275</v>
      </c>
      <c r="AC142" s="34">
        <v>40476</v>
      </c>
      <c r="AD142" s="15">
        <v>5</v>
      </c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</row>
    <row r="143" spans="1:54" x14ac:dyDescent="0.2">
      <c r="A143">
        <v>141</v>
      </c>
      <c r="B143" s="24" t="s">
        <v>323</v>
      </c>
      <c r="C143" s="15" t="s">
        <v>143</v>
      </c>
      <c r="D143" s="15" t="s">
        <v>143</v>
      </c>
      <c r="E143" s="15" t="s">
        <v>143</v>
      </c>
      <c r="F143" s="15" t="s">
        <v>143</v>
      </c>
      <c r="G143" s="15" t="s">
        <v>143</v>
      </c>
      <c r="H143" s="15" t="s">
        <v>143</v>
      </c>
      <c r="I143" s="15" t="s">
        <v>143</v>
      </c>
      <c r="J143" s="15" t="s">
        <v>143</v>
      </c>
      <c r="K143" s="15" t="s">
        <v>143</v>
      </c>
      <c r="L143" s="15">
        <v>72</v>
      </c>
      <c r="M143" s="15">
        <v>0</v>
      </c>
      <c r="N143" s="15">
        <v>-16</v>
      </c>
      <c r="O143" s="15">
        <v>19</v>
      </c>
      <c r="P143" s="15">
        <v>0</v>
      </c>
      <c r="Q143" s="15">
        <v>-120</v>
      </c>
      <c r="R143" s="15" t="s">
        <v>143</v>
      </c>
      <c r="S143" s="15" t="s">
        <v>143</v>
      </c>
      <c r="T143" s="15" t="s">
        <v>143</v>
      </c>
      <c r="U143" s="15" t="s">
        <v>143</v>
      </c>
      <c r="V143" s="15" t="s">
        <v>143</v>
      </c>
      <c r="W143" s="15" t="s">
        <v>143</v>
      </c>
      <c r="X143" s="15" t="s">
        <v>143</v>
      </c>
      <c r="Y143" s="15" t="s">
        <v>143</v>
      </c>
      <c r="Z143" s="15" t="s">
        <v>143</v>
      </c>
      <c r="AA143" s="15" t="s">
        <v>143</v>
      </c>
      <c r="AB143" s="15" t="s">
        <v>324</v>
      </c>
      <c r="AC143" s="34">
        <v>40557</v>
      </c>
      <c r="AD143" s="15">
        <v>5</v>
      </c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</row>
    <row r="144" spans="1:54" x14ac:dyDescent="0.2">
      <c r="A144">
        <v>142</v>
      </c>
      <c r="B144" s="24" t="s">
        <v>300</v>
      </c>
      <c r="C144" s="15" t="s">
        <v>143</v>
      </c>
      <c r="D144" s="15" t="s">
        <v>143</v>
      </c>
      <c r="E144" s="15" t="s">
        <v>143</v>
      </c>
      <c r="F144" s="15" t="s">
        <v>143</v>
      </c>
      <c r="G144" s="15" t="s">
        <v>143</v>
      </c>
      <c r="H144" s="15" t="s">
        <v>143</v>
      </c>
      <c r="I144" s="15" t="s">
        <v>143</v>
      </c>
      <c r="J144" s="15" t="s">
        <v>143</v>
      </c>
      <c r="K144" s="15" t="s">
        <v>143</v>
      </c>
      <c r="L144" s="15">
        <v>80</v>
      </c>
      <c r="M144" s="15">
        <v>0</v>
      </c>
      <c r="N144" s="15">
        <v>-16</v>
      </c>
      <c r="O144" s="15">
        <v>19</v>
      </c>
      <c r="P144" s="15">
        <v>0</v>
      </c>
      <c r="Q144" s="15">
        <v>-120</v>
      </c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 t="s">
        <v>301</v>
      </c>
      <c r="AC144" s="34">
        <v>40476</v>
      </c>
      <c r="AD144" s="15">
        <v>5</v>
      </c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</row>
    <row r="145" spans="1:54" x14ac:dyDescent="0.2">
      <c r="A145">
        <v>143</v>
      </c>
      <c r="B145" s="24" t="s">
        <v>300</v>
      </c>
      <c r="C145" s="15" t="s">
        <v>143</v>
      </c>
      <c r="D145" s="15" t="s">
        <v>143</v>
      </c>
      <c r="E145" s="15" t="s">
        <v>143</v>
      </c>
      <c r="F145" s="15" t="s">
        <v>143</v>
      </c>
      <c r="G145" s="15" t="s">
        <v>143</v>
      </c>
      <c r="H145" s="15" t="s">
        <v>143</v>
      </c>
      <c r="I145" s="15" t="s">
        <v>143</v>
      </c>
      <c r="J145" s="15" t="s">
        <v>143</v>
      </c>
      <c r="K145" s="15" t="s">
        <v>143</v>
      </c>
      <c r="L145" s="15">
        <v>80</v>
      </c>
      <c r="M145" s="15">
        <v>0</v>
      </c>
      <c r="N145" s="15">
        <v>-16</v>
      </c>
      <c r="O145" s="15">
        <v>19</v>
      </c>
      <c r="P145" s="15">
        <v>0</v>
      </c>
      <c r="Q145" s="15">
        <v>-120</v>
      </c>
      <c r="R145" s="15" t="s">
        <v>143</v>
      </c>
      <c r="S145" s="15" t="s">
        <v>143</v>
      </c>
      <c r="T145" s="15" t="s">
        <v>143</v>
      </c>
      <c r="U145" s="15" t="s">
        <v>143</v>
      </c>
      <c r="V145" s="15" t="s">
        <v>143</v>
      </c>
      <c r="W145" s="15" t="s">
        <v>143</v>
      </c>
      <c r="X145" s="15" t="s">
        <v>143</v>
      </c>
      <c r="Y145" s="15" t="s">
        <v>143</v>
      </c>
      <c r="Z145" s="15" t="s">
        <v>143</v>
      </c>
      <c r="AA145" s="15" t="s">
        <v>143</v>
      </c>
      <c r="AB145" s="15" t="s">
        <v>301</v>
      </c>
      <c r="AC145" s="34">
        <v>40683</v>
      </c>
      <c r="AD145" s="15">
        <v>5</v>
      </c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</row>
    <row r="146" spans="1:54" x14ac:dyDescent="0.2">
      <c r="A146">
        <v>144</v>
      </c>
      <c r="B146" s="24" t="s">
        <v>415</v>
      </c>
      <c r="C146" s="43" t="s">
        <v>143</v>
      </c>
      <c r="D146" s="43" t="s">
        <v>143</v>
      </c>
      <c r="E146" s="43" t="s">
        <v>143</v>
      </c>
      <c r="F146" s="43" t="s">
        <v>143</v>
      </c>
      <c r="G146" s="43" t="s">
        <v>143</v>
      </c>
      <c r="H146" s="43" t="s">
        <v>143</v>
      </c>
      <c r="I146" s="43" t="s">
        <v>143</v>
      </c>
      <c r="J146" s="43" t="s">
        <v>143</v>
      </c>
      <c r="K146" s="43" t="s">
        <v>143</v>
      </c>
      <c r="L146" s="15">
        <v>85</v>
      </c>
      <c r="M146" s="15">
        <v>0</v>
      </c>
      <c r="N146" s="15">
        <v>-18</v>
      </c>
      <c r="O146" s="15">
        <v>19</v>
      </c>
      <c r="P146" s="15">
        <v>0</v>
      </c>
      <c r="Q146" s="15">
        <v>-120</v>
      </c>
      <c r="R146" s="15">
        <v>64</v>
      </c>
      <c r="S146" s="15">
        <v>58</v>
      </c>
      <c r="T146" s="15" t="s">
        <v>143</v>
      </c>
      <c r="U146" s="15" t="s">
        <v>143</v>
      </c>
      <c r="V146" s="15" t="s">
        <v>389</v>
      </c>
      <c r="W146" s="15" t="s">
        <v>143</v>
      </c>
      <c r="X146" s="15" t="s">
        <v>143</v>
      </c>
      <c r="Y146" s="15" t="s">
        <v>143</v>
      </c>
      <c r="Z146" s="15" t="s">
        <v>143</v>
      </c>
      <c r="AA146" s="15" t="s">
        <v>143</v>
      </c>
      <c r="AB146" s="15" t="s">
        <v>416</v>
      </c>
      <c r="AC146" s="34">
        <v>41177</v>
      </c>
      <c r="AD146" s="15">
        <v>5</v>
      </c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</row>
    <row r="147" spans="1:54" x14ac:dyDescent="0.2">
      <c r="A147">
        <v>145</v>
      </c>
      <c r="B147" s="24" t="s">
        <v>408</v>
      </c>
      <c r="C147" s="43" t="s">
        <v>143</v>
      </c>
      <c r="D147" s="43" t="s">
        <v>143</v>
      </c>
      <c r="E147" s="43" t="s">
        <v>143</v>
      </c>
      <c r="F147" s="43" t="s">
        <v>143</v>
      </c>
      <c r="G147" s="43" t="s">
        <v>143</v>
      </c>
      <c r="H147" s="43" t="s">
        <v>143</v>
      </c>
      <c r="I147" s="43" t="s">
        <v>143</v>
      </c>
      <c r="J147" s="43" t="s">
        <v>143</v>
      </c>
      <c r="K147" s="43" t="s">
        <v>143</v>
      </c>
      <c r="L147" s="15">
        <v>90</v>
      </c>
      <c r="M147" s="15">
        <v>0</v>
      </c>
      <c r="N147" s="15">
        <v>-18</v>
      </c>
      <c r="O147" s="15">
        <v>19</v>
      </c>
      <c r="P147" s="15">
        <v>0</v>
      </c>
      <c r="Q147" s="15">
        <v>-120</v>
      </c>
      <c r="R147" s="15">
        <v>62</v>
      </c>
      <c r="S147" s="15">
        <v>58</v>
      </c>
      <c r="T147" s="15" t="s">
        <v>143</v>
      </c>
      <c r="U147" s="15" t="s">
        <v>143</v>
      </c>
      <c r="V147" s="15" t="s">
        <v>389</v>
      </c>
      <c r="W147" s="15" t="s">
        <v>389</v>
      </c>
      <c r="X147" s="15" t="s">
        <v>143</v>
      </c>
      <c r="Y147" s="15" t="s">
        <v>143</v>
      </c>
      <c r="Z147" s="15" t="s">
        <v>143</v>
      </c>
      <c r="AA147" s="15" t="s">
        <v>143</v>
      </c>
      <c r="AB147" s="15" t="s">
        <v>409</v>
      </c>
      <c r="AC147" s="34">
        <v>41009</v>
      </c>
      <c r="AD147" s="15">
        <v>5</v>
      </c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</row>
    <row r="148" spans="1:54" x14ac:dyDescent="0.2">
      <c r="A148">
        <v>146</v>
      </c>
      <c r="B148" s="24" t="s">
        <v>391</v>
      </c>
      <c r="C148" s="43" t="s">
        <v>143</v>
      </c>
      <c r="D148" s="43" t="s">
        <v>143</v>
      </c>
      <c r="E148" s="43" t="s">
        <v>143</v>
      </c>
      <c r="F148" s="43" t="s">
        <v>143</v>
      </c>
      <c r="G148" s="43" t="s">
        <v>143</v>
      </c>
      <c r="H148" s="43" t="s">
        <v>143</v>
      </c>
      <c r="I148" s="43" t="s">
        <v>143</v>
      </c>
      <c r="J148" s="43" t="s">
        <v>143</v>
      </c>
      <c r="K148" s="43" t="s">
        <v>143</v>
      </c>
      <c r="L148" s="15">
        <v>100</v>
      </c>
      <c r="M148" s="15">
        <v>0</v>
      </c>
      <c r="N148" s="15">
        <v>-18</v>
      </c>
      <c r="O148" s="15">
        <v>21</v>
      </c>
      <c r="P148" s="15">
        <v>0</v>
      </c>
      <c r="Q148" s="15">
        <v>-150</v>
      </c>
      <c r="R148" s="15" t="s">
        <v>143</v>
      </c>
      <c r="S148" s="15" t="s">
        <v>143</v>
      </c>
      <c r="T148" s="15" t="s">
        <v>143</v>
      </c>
      <c r="U148" s="15" t="s">
        <v>143</v>
      </c>
      <c r="V148" s="15" t="s">
        <v>389</v>
      </c>
      <c r="W148" s="15" t="s">
        <v>389</v>
      </c>
      <c r="X148" s="15" t="s">
        <v>389</v>
      </c>
      <c r="Y148" s="15" t="s">
        <v>143</v>
      </c>
      <c r="Z148" s="15" t="s">
        <v>143</v>
      </c>
      <c r="AA148" s="15" t="s">
        <v>143</v>
      </c>
      <c r="AB148" s="40" t="s">
        <v>394</v>
      </c>
      <c r="AC148" s="34">
        <v>40799</v>
      </c>
      <c r="AD148" s="15">
        <v>5</v>
      </c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</row>
    <row r="149" spans="1:54" x14ac:dyDescent="0.2">
      <c r="A149">
        <v>147</v>
      </c>
      <c r="B149" s="24" t="s">
        <v>380</v>
      </c>
      <c r="C149" s="15" t="s">
        <v>143</v>
      </c>
      <c r="D149" s="15" t="s">
        <v>143</v>
      </c>
      <c r="E149" s="15" t="s">
        <v>143</v>
      </c>
      <c r="F149" s="15" t="s">
        <v>143</v>
      </c>
      <c r="G149" s="15" t="s">
        <v>143</v>
      </c>
      <c r="H149" s="15" t="s">
        <v>143</v>
      </c>
      <c r="I149" s="15" t="s">
        <v>143</v>
      </c>
      <c r="J149" s="15" t="s">
        <v>143</v>
      </c>
      <c r="K149" s="15" t="s">
        <v>143</v>
      </c>
      <c r="L149" s="15">
        <v>110</v>
      </c>
      <c r="M149" s="15">
        <v>0</v>
      </c>
      <c r="N149" s="15">
        <v>-18</v>
      </c>
      <c r="O149" s="15">
        <v>24</v>
      </c>
      <c r="P149" s="15">
        <v>0</v>
      </c>
      <c r="Q149" s="15">
        <v>-150</v>
      </c>
      <c r="R149" s="15">
        <v>62</v>
      </c>
      <c r="S149" s="15">
        <v>58</v>
      </c>
      <c r="T149" s="15">
        <v>62</v>
      </c>
      <c r="U149" s="15">
        <v>58</v>
      </c>
      <c r="V149" s="15" t="s">
        <v>143</v>
      </c>
      <c r="W149" s="15" t="s">
        <v>143</v>
      </c>
      <c r="X149" s="15" t="s">
        <v>143</v>
      </c>
      <c r="Y149" s="15" t="s">
        <v>143</v>
      </c>
      <c r="Z149" s="15" t="s">
        <v>143</v>
      </c>
      <c r="AA149" s="15" t="s">
        <v>143</v>
      </c>
      <c r="AB149" s="15" t="s">
        <v>381</v>
      </c>
      <c r="AC149" s="34">
        <v>40779</v>
      </c>
      <c r="AD149" s="15">
        <v>5</v>
      </c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</row>
    <row r="150" spans="1:54" x14ac:dyDescent="0.2">
      <c r="A150">
        <v>148</v>
      </c>
      <c r="B150" s="24" t="s">
        <v>384</v>
      </c>
      <c r="C150" s="15" t="s">
        <v>143</v>
      </c>
      <c r="D150" s="15" t="s">
        <v>143</v>
      </c>
      <c r="E150" s="15" t="s">
        <v>143</v>
      </c>
      <c r="F150" s="15" t="s">
        <v>143</v>
      </c>
      <c r="G150" s="15" t="s">
        <v>143</v>
      </c>
      <c r="H150" s="15" t="s">
        <v>143</v>
      </c>
      <c r="I150" s="15" t="s">
        <v>143</v>
      </c>
      <c r="J150" s="15" t="s">
        <v>143</v>
      </c>
      <c r="K150" s="15" t="s">
        <v>143</v>
      </c>
      <c r="L150" s="15">
        <v>120</v>
      </c>
      <c r="M150" s="15">
        <v>0</v>
      </c>
      <c r="N150" s="15">
        <v>-18</v>
      </c>
      <c r="O150" s="15">
        <v>27</v>
      </c>
      <c r="P150" s="15">
        <v>0</v>
      </c>
      <c r="Q150" s="15">
        <v>-150</v>
      </c>
      <c r="R150" s="15">
        <v>62</v>
      </c>
      <c r="S150" s="15">
        <v>58</v>
      </c>
      <c r="T150" s="15">
        <v>62</v>
      </c>
      <c r="U150" s="15">
        <v>58</v>
      </c>
      <c r="V150" s="15" t="s">
        <v>389</v>
      </c>
      <c r="W150" s="15" t="s">
        <v>143</v>
      </c>
      <c r="X150" s="15" t="s">
        <v>143</v>
      </c>
      <c r="Y150" s="15" t="s">
        <v>143</v>
      </c>
      <c r="Z150" s="15" t="s">
        <v>143</v>
      </c>
      <c r="AA150" s="15" t="s">
        <v>143</v>
      </c>
      <c r="AB150" s="15" t="s">
        <v>385</v>
      </c>
      <c r="AC150" s="34">
        <v>40781</v>
      </c>
      <c r="AD150" s="15">
        <v>5</v>
      </c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</row>
    <row r="151" spans="1:54" x14ac:dyDescent="0.2">
      <c r="A151">
        <v>149</v>
      </c>
      <c r="B151" s="24" t="s">
        <v>346</v>
      </c>
      <c r="C151" s="15" t="s">
        <v>143</v>
      </c>
      <c r="D151" s="15" t="s">
        <v>143</v>
      </c>
      <c r="E151" s="15" t="s">
        <v>143</v>
      </c>
      <c r="F151" s="15" t="s">
        <v>143</v>
      </c>
      <c r="G151" s="15" t="s">
        <v>143</v>
      </c>
      <c r="H151" s="15" t="s">
        <v>143</v>
      </c>
      <c r="I151" s="15" t="s">
        <v>143</v>
      </c>
      <c r="J151" s="15" t="s">
        <v>143</v>
      </c>
      <c r="K151" s="15" t="s">
        <v>143</v>
      </c>
      <c r="L151" s="15">
        <v>130</v>
      </c>
      <c r="M151" s="15">
        <v>0</v>
      </c>
      <c r="N151" s="15">
        <v>-20</v>
      </c>
      <c r="O151" s="15">
        <v>27</v>
      </c>
      <c r="P151" s="15">
        <v>0</v>
      </c>
      <c r="Q151" s="15">
        <v>-150</v>
      </c>
      <c r="R151" s="15" t="s">
        <v>143</v>
      </c>
      <c r="S151" s="15" t="s">
        <v>143</v>
      </c>
      <c r="T151" s="15" t="s">
        <v>143</v>
      </c>
      <c r="U151" s="15" t="s">
        <v>143</v>
      </c>
      <c r="V151" s="15" t="s">
        <v>143</v>
      </c>
      <c r="W151" s="15" t="s">
        <v>143</v>
      </c>
      <c r="X151" s="15" t="s">
        <v>143</v>
      </c>
      <c r="Y151" s="15" t="s">
        <v>143</v>
      </c>
      <c r="Z151" s="15" t="s">
        <v>143</v>
      </c>
      <c r="AA151" s="15" t="s">
        <v>143</v>
      </c>
      <c r="AB151" s="15" t="s">
        <v>345</v>
      </c>
      <c r="AC151" s="34">
        <v>40640</v>
      </c>
      <c r="AD151" s="15">
        <v>5</v>
      </c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</row>
    <row r="152" spans="1:54" x14ac:dyDescent="0.2">
      <c r="A152">
        <v>150</v>
      </c>
      <c r="B152" s="24" t="s">
        <v>378</v>
      </c>
      <c r="C152" s="15" t="s">
        <v>143</v>
      </c>
      <c r="D152" s="15" t="s">
        <v>143</v>
      </c>
      <c r="E152" s="15" t="s">
        <v>143</v>
      </c>
      <c r="F152" s="15" t="s">
        <v>143</v>
      </c>
      <c r="G152" s="15" t="s">
        <v>143</v>
      </c>
      <c r="H152" s="15" t="s">
        <v>143</v>
      </c>
      <c r="I152" s="15" t="s">
        <v>143</v>
      </c>
      <c r="J152" s="15" t="s">
        <v>143</v>
      </c>
      <c r="K152" s="15" t="s">
        <v>143</v>
      </c>
      <c r="L152" s="15">
        <v>140</v>
      </c>
      <c r="M152" s="15">
        <v>0</v>
      </c>
      <c r="N152" s="15">
        <v>-20</v>
      </c>
      <c r="O152" s="15">
        <v>28</v>
      </c>
      <c r="P152" s="15">
        <v>0</v>
      </c>
      <c r="Q152" s="15">
        <v>-150</v>
      </c>
      <c r="R152" s="15" t="s">
        <v>143</v>
      </c>
      <c r="S152" s="15" t="s">
        <v>143</v>
      </c>
      <c r="T152" s="15" t="s">
        <v>143</v>
      </c>
      <c r="U152" s="15" t="s">
        <v>143</v>
      </c>
      <c r="V152" s="15" t="s">
        <v>143</v>
      </c>
      <c r="W152" s="15" t="s">
        <v>143</v>
      </c>
      <c r="X152" s="15" t="s">
        <v>143</v>
      </c>
      <c r="Y152" s="15" t="s">
        <v>143</v>
      </c>
      <c r="Z152" s="15" t="s">
        <v>143</v>
      </c>
      <c r="AA152" s="15" t="s">
        <v>143</v>
      </c>
      <c r="AB152" s="15" t="s">
        <v>379</v>
      </c>
      <c r="AC152" s="34">
        <v>40764</v>
      </c>
      <c r="AD152" s="15">
        <v>5</v>
      </c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</row>
    <row r="153" spans="1:54" x14ac:dyDescent="0.2">
      <c r="A153">
        <v>151</v>
      </c>
      <c r="B153" s="24" t="s">
        <v>360</v>
      </c>
      <c r="C153" s="15" t="s">
        <v>143</v>
      </c>
      <c r="D153" s="15" t="s">
        <v>143</v>
      </c>
      <c r="E153" s="15" t="s">
        <v>143</v>
      </c>
      <c r="F153" s="15" t="s">
        <v>143</v>
      </c>
      <c r="G153" s="15" t="s">
        <v>143</v>
      </c>
      <c r="H153" s="15" t="s">
        <v>143</v>
      </c>
      <c r="I153" s="15" t="s">
        <v>143</v>
      </c>
      <c r="J153" s="15" t="s">
        <v>143</v>
      </c>
      <c r="K153" s="15" t="s">
        <v>143</v>
      </c>
      <c r="L153" s="15">
        <v>150</v>
      </c>
      <c r="M153" s="15">
        <v>0</v>
      </c>
      <c r="N153" s="15">
        <v>-20</v>
      </c>
      <c r="O153" s="15">
        <v>30</v>
      </c>
      <c r="P153" s="15">
        <v>0</v>
      </c>
      <c r="Q153" s="15">
        <v>-200</v>
      </c>
      <c r="R153" s="15" t="s">
        <v>143</v>
      </c>
      <c r="S153" s="15" t="s">
        <v>143</v>
      </c>
      <c r="T153" s="15" t="s">
        <v>143</v>
      </c>
      <c r="U153" s="15" t="s">
        <v>143</v>
      </c>
      <c r="V153" s="15" t="s">
        <v>143</v>
      </c>
      <c r="W153" s="15" t="s">
        <v>143</v>
      </c>
      <c r="X153" s="15" t="s">
        <v>143</v>
      </c>
      <c r="Y153" s="15" t="s">
        <v>143</v>
      </c>
      <c r="Z153" s="15" t="s">
        <v>143</v>
      </c>
      <c r="AA153" s="15" t="s">
        <v>143</v>
      </c>
      <c r="AB153" s="15" t="s">
        <v>351</v>
      </c>
      <c r="AC153" s="34">
        <v>40660</v>
      </c>
      <c r="AD153" s="15">
        <v>5</v>
      </c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</row>
    <row r="154" spans="1:54" x14ac:dyDescent="0.2">
      <c r="A154">
        <v>152</v>
      </c>
      <c r="B154" s="24" t="s">
        <v>392</v>
      </c>
      <c r="C154" s="43" t="s">
        <v>143</v>
      </c>
      <c r="D154" s="43" t="s">
        <v>143</v>
      </c>
      <c r="E154" s="43" t="s">
        <v>143</v>
      </c>
      <c r="F154" s="43" t="s">
        <v>143</v>
      </c>
      <c r="G154" s="43" t="s">
        <v>143</v>
      </c>
      <c r="H154" s="43" t="s">
        <v>143</v>
      </c>
      <c r="I154" s="43" t="s">
        <v>143</v>
      </c>
      <c r="J154" s="43" t="s">
        <v>143</v>
      </c>
      <c r="K154" s="43" t="s">
        <v>143</v>
      </c>
      <c r="L154" s="15">
        <v>160</v>
      </c>
      <c r="M154" s="15">
        <v>0</v>
      </c>
      <c r="N154" s="15">
        <v>-25</v>
      </c>
      <c r="O154" s="15">
        <v>34</v>
      </c>
      <c r="P154" s="15">
        <v>0</v>
      </c>
      <c r="Q154" s="15">
        <v>-200</v>
      </c>
      <c r="R154" s="15" t="s">
        <v>143</v>
      </c>
      <c r="S154" s="15" t="s">
        <v>143</v>
      </c>
      <c r="T154" s="15" t="s">
        <v>143</v>
      </c>
      <c r="U154" s="15" t="s">
        <v>143</v>
      </c>
      <c r="V154" s="15" t="s">
        <v>389</v>
      </c>
      <c r="W154" s="15" t="s">
        <v>389</v>
      </c>
      <c r="X154" s="15" t="s">
        <v>389</v>
      </c>
      <c r="Y154" s="15" t="s">
        <v>143</v>
      </c>
      <c r="Z154" s="15" t="s">
        <v>143</v>
      </c>
      <c r="AA154" s="15" t="s">
        <v>143</v>
      </c>
      <c r="AB154" s="40" t="s">
        <v>393</v>
      </c>
      <c r="AC154" s="34">
        <v>40801</v>
      </c>
      <c r="AD154" s="15">
        <v>5</v>
      </c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</row>
    <row r="155" spans="1:54" x14ac:dyDescent="0.2">
      <c r="A155">
        <v>153</v>
      </c>
      <c r="B155" s="24" t="s">
        <v>343</v>
      </c>
      <c r="C155" s="15" t="s">
        <v>143</v>
      </c>
      <c r="D155" s="15" t="s">
        <v>143</v>
      </c>
      <c r="E155" s="15" t="s">
        <v>143</v>
      </c>
      <c r="F155" s="15" t="s">
        <v>143</v>
      </c>
      <c r="G155" s="15" t="s">
        <v>143</v>
      </c>
      <c r="H155" s="15" t="s">
        <v>143</v>
      </c>
      <c r="I155" s="15" t="s">
        <v>143</v>
      </c>
      <c r="J155" s="15" t="s">
        <v>143</v>
      </c>
      <c r="K155" s="15" t="s">
        <v>143</v>
      </c>
      <c r="L155" s="15">
        <v>110</v>
      </c>
      <c r="M155" s="15">
        <v>0</v>
      </c>
      <c r="N155" s="15">
        <v>-18</v>
      </c>
      <c r="O155" s="15">
        <v>33</v>
      </c>
      <c r="P155" s="15">
        <v>0</v>
      </c>
      <c r="Q155" s="15">
        <v>-120</v>
      </c>
      <c r="R155" s="15" t="s">
        <v>143</v>
      </c>
      <c r="S155" s="15" t="s">
        <v>143</v>
      </c>
      <c r="T155" s="15" t="s">
        <v>143</v>
      </c>
      <c r="U155" s="15" t="s">
        <v>143</v>
      </c>
      <c r="V155" s="15" t="s">
        <v>143</v>
      </c>
      <c r="W155" s="15" t="s">
        <v>143</v>
      </c>
      <c r="X155" s="15" t="s">
        <v>143</v>
      </c>
      <c r="Y155" s="15" t="s">
        <v>143</v>
      </c>
      <c r="Z155" s="15" t="s">
        <v>143</v>
      </c>
      <c r="AA155" s="15" t="s">
        <v>143</v>
      </c>
      <c r="AB155" s="15" t="s">
        <v>344</v>
      </c>
      <c r="AC155" s="34">
        <v>40640</v>
      </c>
      <c r="AD155" s="15">
        <v>5</v>
      </c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</row>
    <row r="156" spans="1:54" x14ac:dyDescent="0.2">
      <c r="A156">
        <v>154</v>
      </c>
      <c r="B156" s="24" t="s">
        <v>404</v>
      </c>
      <c r="C156" s="15">
        <v>50</v>
      </c>
      <c r="D156" s="15">
        <v>0</v>
      </c>
      <c r="E156" s="15">
        <v>-12</v>
      </c>
      <c r="F156" s="15">
        <v>20</v>
      </c>
      <c r="G156" s="15">
        <v>0</v>
      </c>
      <c r="H156" s="15">
        <v>-120</v>
      </c>
      <c r="I156" s="43" t="s">
        <v>143</v>
      </c>
      <c r="J156" s="43" t="s">
        <v>143</v>
      </c>
      <c r="K156" s="43" t="s">
        <v>143</v>
      </c>
      <c r="L156" s="43" t="s">
        <v>143</v>
      </c>
      <c r="M156" s="43" t="s">
        <v>143</v>
      </c>
      <c r="N156" s="43" t="s">
        <v>143</v>
      </c>
      <c r="O156" s="43" t="s">
        <v>143</v>
      </c>
      <c r="P156" s="43" t="s">
        <v>143</v>
      </c>
      <c r="Q156" s="43" t="s">
        <v>143</v>
      </c>
      <c r="R156" s="15">
        <v>64</v>
      </c>
      <c r="S156" s="15">
        <v>58</v>
      </c>
      <c r="T156" s="15">
        <v>64</v>
      </c>
      <c r="U156" s="15">
        <v>58</v>
      </c>
      <c r="V156" s="15" t="s">
        <v>389</v>
      </c>
      <c r="W156" s="15" t="s">
        <v>389</v>
      </c>
      <c r="X156" s="15" t="s">
        <v>389</v>
      </c>
      <c r="Y156" s="15" t="s">
        <v>143</v>
      </c>
      <c r="Z156" s="15" t="s">
        <v>143</v>
      </c>
      <c r="AA156" s="15" t="s">
        <v>143</v>
      </c>
      <c r="AB156" s="15" t="s">
        <v>405</v>
      </c>
      <c r="AC156" s="34">
        <v>40976</v>
      </c>
      <c r="AD156" s="15">
        <v>5</v>
      </c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</row>
    <row r="157" spans="1:54" x14ac:dyDescent="0.2">
      <c r="A157">
        <v>155</v>
      </c>
      <c r="B157" s="24" t="s">
        <v>413</v>
      </c>
      <c r="C157" s="41">
        <v>88.9</v>
      </c>
      <c r="D157" s="42">
        <v>25</v>
      </c>
      <c r="E157" s="43">
        <v>0</v>
      </c>
      <c r="F157" s="43">
        <v>39.688000000000002</v>
      </c>
      <c r="G157" s="43">
        <v>0</v>
      </c>
      <c r="H157" s="43">
        <v>-200</v>
      </c>
      <c r="I157" s="43" t="s">
        <v>143</v>
      </c>
      <c r="J157" s="43" t="s">
        <v>143</v>
      </c>
      <c r="K157" s="43" t="s">
        <v>143</v>
      </c>
      <c r="L157" s="43" t="s">
        <v>143</v>
      </c>
      <c r="M157" s="43" t="s">
        <v>143</v>
      </c>
      <c r="N157" s="43" t="s">
        <v>143</v>
      </c>
      <c r="O157" s="43" t="s">
        <v>143</v>
      </c>
      <c r="P157" s="43" t="s">
        <v>143</v>
      </c>
      <c r="Q157" s="43" t="s">
        <v>143</v>
      </c>
      <c r="R157" s="15"/>
      <c r="S157" s="15"/>
      <c r="T157" s="15"/>
      <c r="U157" s="15"/>
      <c r="V157" s="15" t="s">
        <v>389</v>
      </c>
      <c r="W157" s="15" t="s">
        <v>389</v>
      </c>
      <c r="X157" s="15" t="s">
        <v>389</v>
      </c>
      <c r="Y157" s="15" t="s">
        <v>143</v>
      </c>
      <c r="Z157" s="15" t="s">
        <v>143</v>
      </c>
      <c r="AA157" s="15" t="s">
        <v>143</v>
      </c>
      <c r="AB157" s="43" t="s">
        <v>414</v>
      </c>
      <c r="AC157" s="34">
        <v>41169</v>
      </c>
      <c r="AD157" s="15">
        <v>5</v>
      </c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</row>
    <row r="158" spans="1:54" x14ac:dyDescent="0.2">
      <c r="A158">
        <v>156</v>
      </c>
      <c r="B158" s="24" t="s">
        <v>401</v>
      </c>
      <c r="C158" s="15"/>
      <c r="D158" s="15"/>
      <c r="E158" s="15"/>
      <c r="F158" s="15"/>
      <c r="G158" s="15"/>
      <c r="H158" s="15"/>
      <c r="I158" s="15"/>
      <c r="J158" s="15"/>
      <c r="K158" s="15"/>
      <c r="L158" s="15">
        <v>152.4</v>
      </c>
      <c r="M158" s="15">
        <v>25</v>
      </c>
      <c r="N158" s="15">
        <v>0</v>
      </c>
      <c r="O158" s="15">
        <v>30.161999999999999</v>
      </c>
      <c r="P158" s="15">
        <v>0</v>
      </c>
      <c r="Q158" s="15">
        <v>-200</v>
      </c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40" t="s">
        <v>402</v>
      </c>
      <c r="AC158" s="34">
        <v>40938</v>
      </c>
      <c r="AD158" s="15">
        <v>5</v>
      </c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</row>
    <row r="159" spans="1:54" x14ac:dyDescent="0.2">
      <c r="A159">
        <v>157</v>
      </c>
      <c r="B159" s="24" t="s">
        <v>295</v>
      </c>
      <c r="C159" s="41">
        <v>30</v>
      </c>
      <c r="D159" s="42">
        <v>0</v>
      </c>
      <c r="E159" s="43">
        <v>-12</v>
      </c>
      <c r="F159" s="43">
        <v>16</v>
      </c>
      <c r="G159" s="43">
        <v>0</v>
      </c>
      <c r="H159" s="43">
        <v>-120</v>
      </c>
      <c r="I159" s="15" t="s">
        <v>143</v>
      </c>
      <c r="J159" s="15" t="s">
        <v>143</v>
      </c>
      <c r="K159" s="15" t="s">
        <v>143</v>
      </c>
      <c r="L159" s="15" t="s">
        <v>143</v>
      </c>
      <c r="M159" s="15" t="s">
        <v>143</v>
      </c>
      <c r="N159" s="15" t="s">
        <v>143</v>
      </c>
      <c r="O159" s="15" t="s">
        <v>143</v>
      </c>
      <c r="P159" s="15" t="s">
        <v>143</v>
      </c>
      <c r="Q159" s="15" t="s">
        <v>143</v>
      </c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7" t="s">
        <v>294</v>
      </c>
      <c r="AC159" s="34">
        <v>40476</v>
      </c>
      <c r="AD159" s="15">
        <v>5</v>
      </c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</row>
    <row r="160" spans="1:54" x14ac:dyDescent="0.2">
      <c r="A160">
        <v>158</v>
      </c>
      <c r="B160" s="24" t="s">
        <v>256</v>
      </c>
      <c r="C160" s="43">
        <v>45</v>
      </c>
      <c r="D160" s="43">
        <v>0</v>
      </c>
      <c r="E160" s="43">
        <v>-12</v>
      </c>
      <c r="F160" s="43">
        <v>19</v>
      </c>
      <c r="G160" s="43">
        <v>0</v>
      </c>
      <c r="H160" s="43">
        <v>-120</v>
      </c>
      <c r="I160" s="43" t="s">
        <v>143</v>
      </c>
      <c r="J160" s="43" t="s">
        <v>143</v>
      </c>
      <c r="K160" s="43" t="s">
        <v>143</v>
      </c>
      <c r="L160" s="43" t="s">
        <v>143</v>
      </c>
      <c r="M160" s="43" t="s">
        <v>143</v>
      </c>
      <c r="N160" s="43" t="s">
        <v>143</v>
      </c>
      <c r="O160" s="43" t="s">
        <v>143</v>
      </c>
      <c r="P160" s="43" t="s">
        <v>143</v>
      </c>
      <c r="Q160" s="43" t="s">
        <v>143</v>
      </c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 t="s">
        <v>257</v>
      </c>
      <c r="AC160" s="34">
        <v>40476</v>
      </c>
      <c r="AD160" s="15">
        <v>5</v>
      </c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</row>
    <row r="161" spans="1:54" x14ac:dyDescent="0.2">
      <c r="A161">
        <v>159</v>
      </c>
      <c r="B161" s="24" t="s">
        <v>237</v>
      </c>
      <c r="C161" s="43">
        <v>50</v>
      </c>
      <c r="D161" s="43">
        <v>0</v>
      </c>
      <c r="E161" s="43">
        <v>-12</v>
      </c>
      <c r="F161" s="43">
        <v>20</v>
      </c>
      <c r="G161" s="43">
        <v>0</v>
      </c>
      <c r="H161" s="43">
        <v>-120</v>
      </c>
      <c r="I161" s="43" t="s">
        <v>143</v>
      </c>
      <c r="J161" s="43" t="s">
        <v>143</v>
      </c>
      <c r="K161" s="43" t="s">
        <v>143</v>
      </c>
      <c r="L161" s="43" t="s">
        <v>143</v>
      </c>
      <c r="M161" s="43" t="s">
        <v>143</v>
      </c>
      <c r="N161" s="43" t="s">
        <v>143</v>
      </c>
      <c r="O161" s="43" t="s">
        <v>143</v>
      </c>
      <c r="P161" s="43" t="s">
        <v>143</v>
      </c>
      <c r="Q161" s="43" t="s">
        <v>143</v>
      </c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 t="s">
        <v>238</v>
      </c>
      <c r="AC161" s="34">
        <v>40476</v>
      </c>
      <c r="AD161" s="15">
        <v>5</v>
      </c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</row>
    <row r="162" spans="1:54" x14ac:dyDescent="0.2">
      <c r="A162">
        <v>160</v>
      </c>
      <c r="B162" s="24" t="s">
        <v>237</v>
      </c>
      <c r="C162" s="43">
        <v>50</v>
      </c>
      <c r="D162" s="43">
        <v>0</v>
      </c>
      <c r="E162" s="43">
        <v>-12</v>
      </c>
      <c r="F162" s="43">
        <v>20</v>
      </c>
      <c r="G162" s="43">
        <v>0</v>
      </c>
      <c r="H162" s="43">
        <v>-120</v>
      </c>
      <c r="I162" s="43" t="s">
        <v>143</v>
      </c>
      <c r="J162" s="43" t="s">
        <v>143</v>
      </c>
      <c r="K162" s="43" t="s">
        <v>143</v>
      </c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 t="s">
        <v>238</v>
      </c>
      <c r="AC162" s="34">
        <v>40476</v>
      </c>
      <c r="AD162" s="15">
        <v>5</v>
      </c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</row>
    <row r="163" spans="1:54" x14ac:dyDescent="0.2">
      <c r="A163">
        <v>161</v>
      </c>
      <c r="B163" s="24" t="s">
        <v>264</v>
      </c>
      <c r="C163" s="43">
        <v>55</v>
      </c>
      <c r="D163" s="43">
        <v>0</v>
      </c>
      <c r="E163" s="43">
        <v>-15</v>
      </c>
      <c r="F163" s="43">
        <v>21</v>
      </c>
      <c r="G163" s="43">
        <v>0</v>
      </c>
      <c r="H163" s="43">
        <v>-150</v>
      </c>
      <c r="I163" s="43" t="s">
        <v>143</v>
      </c>
      <c r="J163" s="43" t="s">
        <v>143</v>
      </c>
      <c r="K163" s="43" t="s">
        <v>143</v>
      </c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 t="s">
        <v>265</v>
      </c>
      <c r="AC163" s="34">
        <v>40476</v>
      </c>
      <c r="AD163" s="15">
        <v>5</v>
      </c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</row>
    <row r="164" spans="1:54" x14ac:dyDescent="0.2">
      <c r="A164">
        <v>162</v>
      </c>
      <c r="B164" s="24" t="s">
        <v>310</v>
      </c>
      <c r="C164" s="15">
        <v>50</v>
      </c>
      <c r="D164" s="15">
        <v>0</v>
      </c>
      <c r="E164" s="15">
        <v>-12</v>
      </c>
      <c r="F164" s="15">
        <v>27</v>
      </c>
      <c r="G164" s="15">
        <v>0</v>
      </c>
      <c r="H164" s="15">
        <v>-120</v>
      </c>
      <c r="I164" s="15" t="s">
        <v>143</v>
      </c>
      <c r="J164" s="15" t="s">
        <v>143</v>
      </c>
      <c r="K164" s="15" t="s">
        <v>143</v>
      </c>
      <c r="L164" s="15" t="s">
        <v>143</v>
      </c>
      <c r="M164" s="15" t="s">
        <v>143</v>
      </c>
      <c r="N164" s="15" t="s">
        <v>143</v>
      </c>
      <c r="O164" s="15" t="s">
        <v>143</v>
      </c>
      <c r="P164" s="15" t="s">
        <v>143</v>
      </c>
      <c r="Q164" s="15" t="s">
        <v>143</v>
      </c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 t="s">
        <v>311</v>
      </c>
      <c r="AC164" s="34">
        <v>40476</v>
      </c>
      <c r="AD164" s="15">
        <v>5</v>
      </c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</row>
    <row r="165" spans="1:54" x14ac:dyDescent="0.2">
      <c r="A165">
        <v>163</v>
      </c>
      <c r="B165" s="24" t="s">
        <v>204</v>
      </c>
      <c r="C165" s="43">
        <v>25</v>
      </c>
      <c r="D165" s="43">
        <v>0</v>
      </c>
      <c r="E165" s="43">
        <v>-12</v>
      </c>
      <c r="F165" s="43">
        <v>15</v>
      </c>
      <c r="G165" s="43">
        <v>0</v>
      </c>
      <c r="H165" s="43">
        <v>-120</v>
      </c>
      <c r="I165" s="43" t="s">
        <v>143</v>
      </c>
      <c r="J165" s="43" t="s">
        <v>143</v>
      </c>
      <c r="K165" s="43" t="s">
        <v>143</v>
      </c>
      <c r="L165" s="43" t="s">
        <v>143</v>
      </c>
      <c r="M165" s="43" t="s">
        <v>143</v>
      </c>
      <c r="N165" s="43" t="s">
        <v>143</v>
      </c>
      <c r="O165" s="43" t="s">
        <v>143</v>
      </c>
      <c r="P165" s="43" t="s">
        <v>143</v>
      </c>
      <c r="Q165" s="43" t="s">
        <v>143</v>
      </c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 t="s">
        <v>203</v>
      </c>
      <c r="AC165" s="34">
        <v>40476</v>
      </c>
      <c r="AD165" s="15">
        <v>5</v>
      </c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</row>
    <row r="166" spans="1:54" x14ac:dyDescent="0.2">
      <c r="A166">
        <v>164</v>
      </c>
      <c r="B166" s="24" t="s">
        <v>207</v>
      </c>
      <c r="C166" s="43">
        <v>35</v>
      </c>
      <c r="D166" s="43">
        <v>0</v>
      </c>
      <c r="E166" s="43">
        <v>-12</v>
      </c>
      <c r="F166" s="43">
        <v>18</v>
      </c>
      <c r="G166" s="43">
        <v>0</v>
      </c>
      <c r="H166" s="43">
        <v>-120</v>
      </c>
      <c r="I166" s="43" t="s">
        <v>143</v>
      </c>
      <c r="J166" s="43" t="s">
        <v>143</v>
      </c>
      <c r="K166" s="43" t="s">
        <v>143</v>
      </c>
      <c r="L166" s="43" t="s">
        <v>143</v>
      </c>
      <c r="M166" s="43" t="s">
        <v>143</v>
      </c>
      <c r="N166" s="43" t="s">
        <v>143</v>
      </c>
      <c r="O166" s="43" t="s">
        <v>143</v>
      </c>
      <c r="P166" s="43" t="s">
        <v>143</v>
      </c>
      <c r="Q166" s="43" t="s">
        <v>143</v>
      </c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 t="s">
        <v>208</v>
      </c>
      <c r="AC166" s="34">
        <v>40476</v>
      </c>
      <c r="AD166" s="15">
        <v>5</v>
      </c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</row>
    <row r="167" spans="1:54" x14ac:dyDescent="0.2">
      <c r="A167">
        <v>165</v>
      </c>
      <c r="B167" s="24" t="s">
        <v>218</v>
      </c>
      <c r="C167" s="43">
        <v>55</v>
      </c>
      <c r="D167" s="43">
        <v>0</v>
      </c>
      <c r="E167" s="43">
        <v>-15</v>
      </c>
      <c r="F167" s="43">
        <v>23</v>
      </c>
      <c r="G167" s="43">
        <v>0</v>
      </c>
      <c r="H167" s="43">
        <v>-150</v>
      </c>
      <c r="I167" s="43">
        <v>23</v>
      </c>
      <c r="J167" s="43">
        <v>200</v>
      </c>
      <c r="K167" s="43">
        <v>0</v>
      </c>
      <c r="L167" s="43">
        <v>90</v>
      </c>
      <c r="M167" s="43">
        <v>0</v>
      </c>
      <c r="N167" s="43">
        <v>-18</v>
      </c>
      <c r="O167" s="43">
        <v>17.5</v>
      </c>
      <c r="P167" s="43">
        <v>0</v>
      </c>
      <c r="Q167" s="43">
        <v>-150</v>
      </c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 t="s">
        <v>198</v>
      </c>
      <c r="AC167" s="34">
        <v>40476</v>
      </c>
      <c r="AD167" s="15">
        <v>5</v>
      </c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</row>
    <row r="168" spans="1:54" x14ac:dyDescent="0.2">
      <c r="A168">
        <v>166</v>
      </c>
      <c r="B168" s="24" t="s">
        <v>226</v>
      </c>
      <c r="C168" s="43">
        <v>32</v>
      </c>
      <c r="D168" s="43">
        <v>0</v>
      </c>
      <c r="E168" s="43">
        <v>-12</v>
      </c>
      <c r="F168" s="43">
        <v>17</v>
      </c>
      <c r="G168" s="43">
        <v>0</v>
      </c>
      <c r="H168" s="43">
        <v>-12</v>
      </c>
      <c r="I168" s="43" t="s">
        <v>143</v>
      </c>
      <c r="J168" s="43" t="s">
        <v>143</v>
      </c>
      <c r="K168" s="43" t="s">
        <v>143</v>
      </c>
      <c r="L168" s="43" t="s">
        <v>143</v>
      </c>
      <c r="M168" s="43" t="s">
        <v>143</v>
      </c>
      <c r="N168" s="43" t="s">
        <v>143</v>
      </c>
      <c r="O168" s="43" t="s">
        <v>143</v>
      </c>
      <c r="P168" s="43" t="s">
        <v>143</v>
      </c>
      <c r="Q168" s="43" t="s">
        <v>143</v>
      </c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 t="s">
        <v>227</v>
      </c>
      <c r="AC168" s="34">
        <v>40476</v>
      </c>
      <c r="AD168" s="15">
        <v>5</v>
      </c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</row>
    <row r="169" spans="1:54" x14ac:dyDescent="0.2">
      <c r="A169">
        <v>167</v>
      </c>
      <c r="B169" s="24" t="s">
        <v>243</v>
      </c>
      <c r="C169" s="43">
        <v>60</v>
      </c>
      <c r="D169" s="43">
        <v>0</v>
      </c>
      <c r="E169" s="43">
        <v>-15</v>
      </c>
      <c r="F169" s="43">
        <v>28</v>
      </c>
      <c r="G169" s="43">
        <v>0</v>
      </c>
      <c r="H169" s="43">
        <v>-150</v>
      </c>
      <c r="I169" s="43" t="s">
        <v>143</v>
      </c>
      <c r="J169" s="43" t="s">
        <v>143</v>
      </c>
      <c r="K169" s="43" t="s">
        <v>143</v>
      </c>
      <c r="L169" s="43" t="s">
        <v>143</v>
      </c>
      <c r="M169" s="43" t="s">
        <v>143</v>
      </c>
      <c r="N169" s="43" t="s">
        <v>143</v>
      </c>
      <c r="O169" s="43" t="s">
        <v>143</v>
      </c>
      <c r="P169" s="43" t="s">
        <v>143</v>
      </c>
      <c r="Q169" s="43" t="s">
        <v>143</v>
      </c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 t="s">
        <v>244</v>
      </c>
      <c r="AC169" s="34">
        <v>40476</v>
      </c>
      <c r="AD169" s="15">
        <v>5</v>
      </c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</row>
    <row r="170" spans="1:54" x14ac:dyDescent="0.2">
      <c r="A170">
        <v>168</v>
      </c>
      <c r="B170" s="24" t="s">
        <v>267</v>
      </c>
      <c r="C170" s="43">
        <v>65</v>
      </c>
      <c r="D170" s="43">
        <v>0</v>
      </c>
      <c r="E170" s="43">
        <v>-15</v>
      </c>
      <c r="F170" s="43">
        <v>31</v>
      </c>
      <c r="G170" s="43">
        <v>0</v>
      </c>
      <c r="H170" s="43">
        <v>-150</v>
      </c>
      <c r="I170" s="43" t="s">
        <v>143</v>
      </c>
      <c r="J170" s="43" t="s">
        <v>143</v>
      </c>
      <c r="K170" s="43" t="s">
        <v>143</v>
      </c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 t="s">
        <v>266</v>
      </c>
      <c r="AC170" s="34">
        <v>40476</v>
      </c>
      <c r="AD170" s="15">
        <v>5</v>
      </c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</row>
    <row r="171" spans="1:54" x14ac:dyDescent="0.2">
      <c r="A171">
        <v>169</v>
      </c>
      <c r="B171" s="24" t="s">
        <v>312</v>
      </c>
      <c r="C171" s="15">
        <v>70</v>
      </c>
      <c r="D171" s="15">
        <v>0</v>
      </c>
      <c r="E171" s="15">
        <v>-15</v>
      </c>
      <c r="F171" s="15">
        <v>31</v>
      </c>
      <c r="G171" s="15">
        <v>0</v>
      </c>
      <c r="H171" s="15">
        <v>-150</v>
      </c>
      <c r="I171" s="15" t="s">
        <v>143</v>
      </c>
      <c r="J171" s="15" t="s">
        <v>143</v>
      </c>
      <c r="K171" s="15" t="s">
        <v>143</v>
      </c>
      <c r="L171" s="15" t="s">
        <v>143</v>
      </c>
      <c r="M171" s="15" t="s">
        <v>143</v>
      </c>
      <c r="N171" s="15" t="s">
        <v>143</v>
      </c>
      <c r="O171" s="15" t="s">
        <v>143</v>
      </c>
      <c r="P171" s="15" t="s">
        <v>143</v>
      </c>
      <c r="Q171" s="15" t="s">
        <v>143</v>
      </c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 t="s">
        <v>313</v>
      </c>
      <c r="AC171" s="34">
        <v>40476</v>
      </c>
      <c r="AD171" s="15">
        <v>5</v>
      </c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</row>
    <row r="172" spans="1:54" x14ac:dyDescent="0.2">
      <c r="A172">
        <v>170</v>
      </c>
      <c r="B172" s="24" t="s">
        <v>260</v>
      </c>
      <c r="C172" s="41">
        <v>80</v>
      </c>
      <c r="D172" s="42">
        <v>0</v>
      </c>
      <c r="E172" s="43">
        <v>-15</v>
      </c>
      <c r="F172" s="43">
        <v>33</v>
      </c>
      <c r="G172" s="43">
        <v>0</v>
      </c>
      <c r="H172" s="43">
        <v>-150</v>
      </c>
      <c r="I172" s="43" t="s">
        <v>143</v>
      </c>
      <c r="J172" s="43" t="s">
        <v>143</v>
      </c>
      <c r="K172" s="43" t="s">
        <v>143</v>
      </c>
      <c r="L172" s="43" t="s">
        <v>143</v>
      </c>
      <c r="M172" s="43" t="s">
        <v>143</v>
      </c>
      <c r="N172" s="43" t="s">
        <v>143</v>
      </c>
      <c r="O172" s="43" t="s">
        <v>143</v>
      </c>
      <c r="P172" s="43" t="s">
        <v>143</v>
      </c>
      <c r="Q172" s="43" t="s">
        <v>143</v>
      </c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 t="s">
        <v>261</v>
      </c>
      <c r="AC172" s="34">
        <v>40476</v>
      </c>
      <c r="AD172" s="15">
        <v>5</v>
      </c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</row>
    <row r="173" spans="1:54" x14ac:dyDescent="0.2">
      <c r="A173">
        <v>171</v>
      </c>
      <c r="B173" s="24" t="s">
        <v>299</v>
      </c>
      <c r="C173" s="43" t="s">
        <v>143</v>
      </c>
      <c r="D173" s="43" t="s">
        <v>143</v>
      </c>
      <c r="E173" s="43" t="s">
        <v>143</v>
      </c>
      <c r="F173" s="43" t="s">
        <v>143</v>
      </c>
      <c r="G173" s="43" t="s">
        <v>143</v>
      </c>
      <c r="H173" s="43" t="s">
        <v>143</v>
      </c>
      <c r="I173" s="43" t="s">
        <v>143</v>
      </c>
      <c r="J173" s="43" t="s">
        <v>143</v>
      </c>
      <c r="K173" s="43" t="s">
        <v>143</v>
      </c>
      <c r="L173" s="43">
        <v>62</v>
      </c>
      <c r="M173" s="43">
        <v>0</v>
      </c>
      <c r="N173" s="43">
        <v>-16</v>
      </c>
      <c r="O173" s="43">
        <v>14</v>
      </c>
      <c r="P173" s="43">
        <v>0</v>
      </c>
      <c r="Q173" s="43">
        <v>-120</v>
      </c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7" t="s">
        <v>298</v>
      </c>
      <c r="AC173" s="34">
        <v>40476</v>
      </c>
      <c r="AD173" s="15">
        <v>5</v>
      </c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</row>
    <row r="174" spans="1:54" x14ac:dyDescent="0.2">
      <c r="A174">
        <v>172</v>
      </c>
      <c r="B174" s="24" t="s">
        <v>241</v>
      </c>
      <c r="C174" s="43" t="s">
        <v>143</v>
      </c>
      <c r="D174" s="43" t="s">
        <v>143</v>
      </c>
      <c r="E174" s="43" t="s">
        <v>143</v>
      </c>
      <c r="F174" s="43" t="s">
        <v>143</v>
      </c>
      <c r="G174" s="43" t="s">
        <v>143</v>
      </c>
      <c r="H174" s="43" t="s">
        <v>143</v>
      </c>
      <c r="I174" s="43" t="s">
        <v>143</v>
      </c>
      <c r="J174" s="43" t="s">
        <v>143</v>
      </c>
      <c r="K174" s="43" t="s">
        <v>143</v>
      </c>
      <c r="L174" s="43">
        <v>85</v>
      </c>
      <c r="M174" s="43">
        <v>0</v>
      </c>
      <c r="N174" s="43">
        <v>-18</v>
      </c>
      <c r="O174" s="43">
        <v>16</v>
      </c>
      <c r="P174" s="43">
        <v>0</v>
      </c>
      <c r="Q174" s="43">
        <v>-120</v>
      </c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 t="s">
        <v>242</v>
      </c>
      <c r="AC174" s="34">
        <v>40476</v>
      </c>
      <c r="AD174" s="15">
        <v>5</v>
      </c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</row>
    <row r="175" spans="1:54" x14ac:dyDescent="0.2">
      <c r="A175">
        <v>173</v>
      </c>
      <c r="B175" s="24" t="s">
        <v>268</v>
      </c>
      <c r="C175" s="43"/>
      <c r="D175" s="43"/>
      <c r="E175" s="43"/>
      <c r="F175" s="43"/>
      <c r="G175" s="43"/>
      <c r="H175" s="43"/>
      <c r="I175" s="43" t="s">
        <v>143</v>
      </c>
      <c r="J175" s="43" t="s">
        <v>143</v>
      </c>
      <c r="K175" s="43" t="s">
        <v>143</v>
      </c>
      <c r="L175" s="43">
        <v>90</v>
      </c>
      <c r="M175" s="43">
        <v>0</v>
      </c>
      <c r="N175" s="43">
        <v>-18</v>
      </c>
      <c r="O175" s="43">
        <v>17</v>
      </c>
      <c r="P175" s="43">
        <v>0</v>
      </c>
      <c r="Q175" s="43">
        <v>-120</v>
      </c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 t="s">
        <v>269</v>
      </c>
      <c r="AC175" s="34">
        <v>40476</v>
      </c>
      <c r="AD175" s="15">
        <v>5</v>
      </c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</row>
    <row r="176" spans="1:54" x14ac:dyDescent="0.2">
      <c r="A176">
        <v>174</v>
      </c>
      <c r="B176" s="24" t="s">
        <v>239</v>
      </c>
      <c r="C176" s="43" t="s">
        <v>143</v>
      </c>
      <c r="D176" s="43" t="s">
        <v>143</v>
      </c>
      <c r="E176" s="43" t="s">
        <v>143</v>
      </c>
      <c r="F176" s="43" t="s">
        <v>143</v>
      </c>
      <c r="G176" s="43" t="s">
        <v>143</v>
      </c>
      <c r="H176" s="43" t="s">
        <v>143</v>
      </c>
      <c r="I176" s="43" t="s">
        <v>143</v>
      </c>
      <c r="J176" s="43" t="s">
        <v>143</v>
      </c>
      <c r="K176" s="43" t="s">
        <v>143</v>
      </c>
      <c r="L176" s="43">
        <v>100</v>
      </c>
      <c r="M176" s="43">
        <v>0</v>
      </c>
      <c r="N176" s="43">
        <v>-18</v>
      </c>
      <c r="O176" s="43">
        <v>18</v>
      </c>
      <c r="P176" s="43">
        <v>0</v>
      </c>
      <c r="Q176" s="43">
        <v>-150</v>
      </c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 t="s">
        <v>240</v>
      </c>
      <c r="AC176" s="34">
        <v>40476</v>
      </c>
      <c r="AD176" s="15">
        <v>5</v>
      </c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</row>
    <row r="177" spans="1:54" x14ac:dyDescent="0.2">
      <c r="A177">
        <v>175</v>
      </c>
      <c r="B177" s="24" t="s">
        <v>308</v>
      </c>
      <c r="C177" s="15" t="s">
        <v>143</v>
      </c>
      <c r="D177" s="15" t="s">
        <v>143</v>
      </c>
      <c r="E177" s="15" t="s">
        <v>143</v>
      </c>
      <c r="F177" s="15" t="s">
        <v>143</v>
      </c>
      <c r="G177" s="15" t="s">
        <v>143</v>
      </c>
      <c r="H177" s="15" t="s">
        <v>143</v>
      </c>
      <c r="I177" s="15" t="s">
        <v>143</v>
      </c>
      <c r="J177" s="15" t="s">
        <v>143</v>
      </c>
      <c r="K177" s="15" t="s">
        <v>143</v>
      </c>
      <c r="L177" s="15">
        <v>110</v>
      </c>
      <c r="M177" s="15">
        <v>0</v>
      </c>
      <c r="N177" s="15">
        <v>-18</v>
      </c>
      <c r="O177" s="15">
        <v>23</v>
      </c>
      <c r="P177" s="15">
        <v>0</v>
      </c>
      <c r="Q177" s="15">
        <v>-120</v>
      </c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 t="s">
        <v>309</v>
      </c>
      <c r="AC177" s="34">
        <v>40476</v>
      </c>
      <c r="AD177" s="15">
        <v>5</v>
      </c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</row>
    <row r="178" spans="1:54" x14ac:dyDescent="0.2">
      <c r="A178">
        <v>176</v>
      </c>
      <c r="B178" s="24" t="s">
        <v>202</v>
      </c>
      <c r="C178" s="43" t="s">
        <v>143</v>
      </c>
      <c r="D178" s="43" t="s">
        <v>143</v>
      </c>
      <c r="E178" s="43" t="s">
        <v>143</v>
      </c>
      <c r="F178" s="43" t="s">
        <v>143</v>
      </c>
      <c r="G178" s="43" t="s">
        <v>143</v>
      </c>
      <c r="H178" s="43" t="s">
        <v>143</v>
      </c>
      <c r="I178" s="43" t="s">
        <v>143</v>
      </c>
      <c r="J178" s="43" t="s">
        <v>143</v>
      </c>
      <c r="K178" s="43" t="s">
        <v>143</v>
      </c>
      <c r="L178" s="43">
        <v>47</v>
      </c>
      <c r="M178" s="43">
        <v>0</v>
      </c>
      <c r="N178" s="43">
        <v>-14</v>
      </c>
      <c r="O178" s="43">
        <v>11.5</v>
      </c>
      <c r="P178" s="43">
        <v>0</v>
      </c>
      <c r="Q178" s="43">
        <v>-120</v>
      </c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 t="s">
        <v>201</v>
      </c>
      <c r="AC178" s="34">
        <v>40476</v>
      </c>
      <c r="AD178" s="15">
        <v>5</v>
      </c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</row>
    <row r="179" spans="1:54" x14ac:dyDescent="0.2">
      <c r="A179">
        <v>177</v>
      </c>
      <c r="B179" s="24" t="s">
        <v>209</v>
      </c>
      <c r="C179" s="43" t="s">
        <v>143</v>
      </c>
      <c r="D179" s="43" t="s">
        <v>143</v>
      </c>
      <c r="E179" s="43" t="s">
        <v>143</v>
      </c>
      <c r="F179" s="43" t="s">
        <v>143</v>
      </c>
      <c r="G179" s="43" t="s">
        <v>143</v>
      </c>
      <c r="H179" s="43" t="s">
        <v>143</v>
      </c>
      <c r="I179" s="43" t="s">
        <v>143</v>
      </c>
      <c r="J179" s="43" t="s">
        <v>143</v>
      </c>
      <c r="K179" s="43" t="s">
        <v>143</v>
      </c>
      <c r="L179" s="43">
        <v>62</v>
      </c>
      <c r="M179" s="43">
        <v>0</v>
      </c>
      <c r="N179" s="43">
        <v>-16</v>
      </c>
      <c r="O179" s="43">
        <v>14</v>
      </c>
      <c r="P179" s="43">
        <v>0</v>
      </c>
      <c r="Q179" s="43">
        <v>-120</v>
      </c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 t="s">
        <v>210</v>
      </c>
      <c r="AC179" s="34">
        <v>40476</v>
      </c>
      <c r="AD179" s="15">
        <v>5</v>
      </c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</row>
    <row r="180" spans="1:54" x14ac:dyDescent="0.2">
      <c r="A180">
        <v>178</v>
      </c>
      <c r="B180" s="24" t="s">
        <v>400</v>
      </c>
      <c r="C180" s="15">
        <v>32</v>
      </c>
      <c r="D180" s="15">
        <v>0</v>
      </c>
      <c r="E180" s="15">
        <v>-12</v>
      </c>
      <c r="F180" s="15">
        <v>17</v>
      </c>
      <c r="G180" s="15">
        <v>0</v>
      </c>
      <c r="H180" s="15">
        <v>-100</v>
      </c>
      <c r="I180" s="15">
        <v>17</v>
      </c>
      <c r="J180" s="15">
        <v>200</v>
      </c>
      <c r="K180" s="15">
        <v>0</v>
      </c>
      <c r="L180" s="15">
        <v>58</v>
      </c>
      <c r="M180" s="15">
        <v>0</v>
      </c>
      <c r="N180" s="15">
        <v>-16</v>
      </c>
      <c r="O180" s="15">
        <v>13</v>
      </c>
      <c r="P180" s="15">
        <v>0</v>
      </c>
      <c r="Q180" s="15">
        <v>-150</v>
      </c>
      <c r="R180" s="15">
        <v>64</v>
      </c>
      <c r="S180" s="15">
        <v>58</v>
      </c>
      <c r="T180" s="15">
        <v>64</v>
      </c>
      <c r="U180" s="15">
        <v>58</v>
      </c>
      <c r="V180" s="15" t="s">
        <v>389</v>
      </c>
      <c r="W180" s="15" t="s">
        <v>389</v>
      </c>
      <c r="X180" s="15" t="s">
        <v>389</v>
      </c>
      <c r="Y180" s="15" t="s">
        <v>143</v>
      </c>
      <c r="Z180" s="15" t="s">
        <v>143</v>
      </c>
      <c r="AA180" s="15" t="s">
        <v>143</v>
      </c>
      <c r="AB180" s="15" t="s">
        <v>396</v>
      </c>
      <c r="AC180" s="34">
        <v>40865</v>
      </c>
      <c r="AD180" s="15">
        <v>5</v>
      </c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</row>
    <row r="181" spans="1:54" x14ac:dyDescent="0.2">
      <c r="A181">
        <v>179</v>
      </c>
      <c r="B181" s="24" t="s">
        <v>306</v>
      </c>
      <c r="C181" s="15" t="s">
        <v>143</v>
      </c>
      <c r="D181" s="15" t="s">
        <v>143</v>
      </c>
      <c r="E181" s="15" t="s">
        <v>143</v>
      </c>
      <c r="F181" s="15" t="s">
        <v>143</v>
      </c>
      <c r="G181" s="15" t="s">
        <v>143</v>
      </c>
      <c r="H181" s="15" t="s">
        <v>143</v>
      </c>
      <c r="I181" s="15" t="s">
        <v>143</v>
      </c>
      <c r="J181" s="15" t="s">
        <v>143</v>
      </c>
      <c r="K181" s="15" t="s">
        <v>143</v>
      </c>
      <c r="L181" s="43">
        <v>110</v>
      </c>
      <c r="M181" s="43">
        <v>0</v>
      </c>
      <c r="N181" s="43">
        <v>-18</v>
      </c>
      <c r="O181" s="43">
        <v>24</v>
      </c>
      <c r="P181" s="43">
        <v>0</v>
      </c>
      <c r="Q181" s="43">
        <v>-150</v>
      </c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 t="s">
        <v>307</v>
      </c>
      <c r="AC181" s="34">
        <v>40476</v>
      </c>
      <c r="AD181" s="15">
        <v>5</v>
      </c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</row>
    <row r="182" spans="1:54" x14ac:dyDescent="0.2">
      <c r="A182">
        <v>180</v>
      </c>
      <c r="B182" s="24" t="s">
        <v>314</v>
      </c>
      <c r="C182" s="15" t="s">
        <v>143</v>
      </c>
      <c r="D182" s="15" t="s">
        <v>143</v>
      </c>
      <c r="E182" s="15" t="s">
        <v>143</v>
      </c>
      <c r="F182" s="15" t="s">
        <v>143</v>
      </c>
      <c r="G182" s="15" t="s">
        <v>143</v>
      </c>
      <c r="H182" s="15" t="s">
        <v>143</v>
      </c>
      <c r="I182" s="15" t="s">
        <v>143</v>
      </c>
      <c r="J182" s="15" t="s">
        <v>143</v>
      </c>
      <c r="K182" s="15" t="s">
        <v>143</v>
      </c>
      <c r="L182" s="15">
        <v>125</v>
      </c>
      <c r="M182" s="15">
        <v>0</v>
      </c>
      <c r="N182" s="15">
        <v>-20</v>
      </c>
      <c r="O182" s="15">
        <v>27</v>
      </c>
      <c r="P182" s="15">
        <v>0</v>
      </c>
      <c r="Q182" s="15">
        <v>-150</v>
      </c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 t="s">
        <v>315</v>
      </c>
      <c r="AC182" s="34">
        <v>40476</v>
      </c>
      <c r="AD182" s="15">
        <v>5</v>
      </c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</row>
    <row r="183" spans="1:54" x14ac:dyDescent="0.2">
      <c r="A183">
        <v>181</v>
      </c>
      <c r="B183" s="66" t="s">
        <v>425</v>
      </c>
      <c r="C183" s="67">
        <v>64.5</v>
      </c>
      <c r="D183" s="67">
        <v>620</v>
      </c>
      <c r="E183" s="67">
        <v>0</v>
      </c>
      <c r="F183" s="68">
        <v>19.3</v>
      </c>
      <c r="G183" s="15" t="s">
        <v>143</v>
      </c>
      <c r="H183" s="15" t="s">
        <v>143</v>
      </c>
      <c r="I183" s="15" t="s">
        <v>143</v>
      </c>
      <c r="J183" s="15" t="s">
        <v>143</v>
      </c>
      <c r="K183" s="15" t="s">
        <v>143</v>
      </c>
      <c r="L183" s="15" t="s">
        <v>143</v>
      </c>
      <c r="M183" s="15" t="s">
        <v>143</v>
      </c>
      <c r="N183" s="15" t="s">
        <v>143</v>
      </c>
      <c r="O183" s="15" t="s">
        <v>143</v>
      </c>
      <c r="P183" s="15" t="s">
        <v>143</v>
      </c>
      <c r="Q183" s="15" t="s">
        <v>143</v>
      </c>
      <c r="R183" s="15" t="s">
        <v>143</v>
      </c>
      <c r="S183" s="15" t="s">
        <v>143</v>
      </c>
      <c r="T183" s="15" t="s">
        <v>143</v>
      </c>
      <c r="U183" s="15" t="s">
        <v>143</v>
      </c>
      <c r="V183" s="15" t="s">
        <v>143</v>
      </c>
      <c r="W183" s="15" t="s">
        <v>143</v>
      </c>
      <c r="X183" s="15" t="s">
        <v>143</v>
      </c>
      <c r="Y183" s="15" t="s">
        <v>143</v>
      </c>
      <c r="Z183" s="15" t="s">
        <v>143</v>
      </c>
      <c r="AA183" s="15" t="s">
        <v>143</v>
      </c>
      <c r="AB183" s="15" t="s">
        <v>424</v>
      </c>
      <c r="AC183" s="34">
        <v>43348</v>
      </c>
      <c r="AD183" s="15">
        <v>0</v>
      </c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</row>
    <row r="184" spans="1:54" x14ac:dyDescent="0.2">
      <c r="A184">
        <v>182</v>
      </c>
      <c r="B184" s="69" t="s">
        <v>427</v>
      </c>
      <c r="C184" s="15" t="s">
        <v>143</v>
      </c>
      <c r="D184" s="15" t="s">
        <v>143</v>
      </c>
      <c r="E184" s="15" t="s">
        <v>143</v>
      </c>
      <c r="F184" s="15" t="s">
        <v>143</v>
      </c>
      <c r="G184" s="15" t="s">
        <v>143</v>
      </c>
      <c r="H184" s="15" t="s">
        <v>143</v>
      </c>
      <c r="I184" s="15" t="s">
        <v>143</v>
      </c>
      <c r="J184" s="15" t="s">
        <v>143</v>
      </c>
      <c r="K184" s="15" t="s">
        <v>143</v>
      </c>
      <c r="L184" s="35">
        <v>72</v>
      </c>
      <c r="M184" s="35">
        <v>0</v>
      </c>
      <c r="N184" s="35">
        <v>-16</v>
      </c>
      <c r="O184" s="35">
        <v>15</v>
      </c>
      <c r="P184" s="35">
        <v>0</v>
      </c>
      <c r="Q184" s="35">
        <v>-150</v>
      </c>
      <c r="R184" s="35">
        <v>64</v>
      </c>
      <c r="S184" s="35">
        <v>58</v>
      </c>
      <c r="T184" s="15" t="s">
        <v>143</v>
      </c>
      <c r="U184" s="15" t="s">
        <v>143</v>
      </c>
      <c r="V184" s="15" t="s">
        <v>389</v>
      </c>
      <c r="W184" s="15" t="s">
        <v>143</v>
      </c>
      <c r="X184" s="15" t="s">
        <v>143</v>
      </c>
      <c r="Y184" s="15" t="s">
        <v>143</v>
      </c>
      <c r="Z184" s="15" t="s">
        <v>143</v>
      </c>
      <c r="AA184" s="15" t="s">
        <v>143</v>
      </c>
      <c r="AB184" s="15" t="s">
        <v>426</v>
      </c>
      <c r="AC184" s="34">
        <v>43214</v>
      </c>
      <c r="AD184" s="15">
        <v>0</v>
      </c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</row>
    <row r="185" spans="1:54" x14ac:dyDescent="0.2">
      <c r="A185">
        <v>183</v>
      </c>
      <c r="B185" s="70" t="s">
        <v>428</v>
      </c>
      <c r="C185" s="35">
        <v>35</v>
      </c>
      <c r="D185" s="35">
        <v>0</v>
      </c>
      <c r="E185" s="35">
        <v>-12</v>
      </c>
      <c r="F185" s="35">
        <v>17</v>
      </c>
      <c r="G185" s="35">
        <v>0</v>
      </c>
      <c r="H185" s="35">
        <v>-100</v>
      </c>
      <c r="I185" s="15" t="s">
        <v>143</v>
      </c>
      <c r="J185" s="15" t="s">
        <v>143</v>
      </c>
      <c r="K185" s="15" t="s">
        <v>143</v>
      </c>
      <c r="L185" s="15" t="s">
        <v>143</v>
      </c>
      <c r="M185" s="15" t="s">
        <v>143</v>
      </c>
      <c r="N185" s="15" t="s">
        <v>143</v>
      </c>
      <c r="O185" s="15" t="s">
        <v>143</v>
      </c>
      <c r="P185" s="15" t="s">
        <v>143</v>
      </c>
      <c r="Q185" s="15" t="s">
        <v>143</v>
      </c>
      <c r="R185" s="15" t="s">
        <v>143</v>
      </c>
      <c r="S185" s="15" t="s">
        <v>143</v>
      </c>
      <c r="T185" s="35">
        <v>64</v>
      </c>
      <c r="U185" s="35">
        <v>58</v>
      </c>
      <c r="V185" s="15" t="s">
        <v>143</v>
      </c>
      <c r="W185" s="15" t="s">
        <v>389</v>
      </c>
      <c r="X185" s="15" t="s">
        <v>389</v>
      </c>
      <c r="Y185" s="15" t="s">
        <v>143</v>
      </c>
      <c r="Z185" s="15" t="s">
        <v>143</v>
      </c>
      <c r="AA185" s="15" t="s">
        <v>143</v>
      </c>
      <c r="AB185" s="15" t="s">
        <v>429</v>
      </c>
      <c r="AC185" s="34">
        <v>43214</v>
      </c>
      <c r="AD185" s="15">
        <v>0</v>
      </c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</row>
    <row r="186" spans="1:54" x14ac:dyDescent="0.2">
      <c r="A186">
        <v>184</v>
      </c>
      <c r="B186" s="69" t="s">
        <v>430</v>
      </c>
      <c r="C186" s="15" t="s">
        <v>143</v>
      </c>
      <c r="D186" s="15" t="s">
        <v>143</v>
      </c>
      <c r="E186" s="15" t="s">
        <v>143</v>
      </c>
      <c r="F186" s="15" t="s">
        <v>143</v>
      </c>
      <c r="G186" s="15" t="s">
        <v>143</v>
      </c>
      <c r="H186" s="15" t="s">
        <v>143</v>
      </c>
      <c r="I186" s="15" t="s">
        <v>143</v>
      </c>
      <c r="J186" s="15" t="s">
        <v>143</v>
      </c>
      <c r="K186" s="15" t="s">
        <v>143</v>
      </c>
      <c r="L186" s="35">
        <v>80</v>
      </c>
      <c r="M186" s="35">
        <v>0</v>
      </c>
      <c r="N186" s="35">
        <v>-16</v>
      </c>
      <c r="O186" s="35">
        <v>15.5</v>
      </c>
      <c r="P186" s="35">
        <v>0</v>
      </c>
      <c r="Q186" s="35">
        <v>-150</v>
      </c>
      <c r="R186" s="35">
        <v>64</v>
      </c>
      <c r="S186" s="35">
        <v>58</v>
      </c>
      <c r="T186" s="15" t="s">
        <v>143</v>
      </c>
      <c r="U186" s="15" t="s">
        <v>143</v>
      </c>
      <c r="V186" s="15" t="s">
        <v>389</v>
      </c>
      <c r="W186" s="15" t="s">
        <v>143</v>
      </c>
      <c r="X186" s="15" t="s">
        <v>143</v>
      </c>
      <c r="Y186" s="15" t="s">
        <v>143</v>
      </c>
      <c r="Z186" s="15" t="s">
        <v>143</v>
      </c>
      <c r="AA186" s="15" t="s">
        <v>143</v>
      </c>
      <c r="AB186" s="15" t="s">
        <v>431</v>
      </c>
      <c r="AC186" s="34">
        <v>43362</v>
      </c>
      <c r="AD186" s="15">
        <v>0</v>
      </c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</row>
    <row r="187" spans="1:54" x14ac:dyDescent="0.2">
      <c r="A187">
        <v>185</v>
      </c>
      <c r="B187" s="24" t="s">
        <v>432</v>
      </c>
      <c r="C187" s="35">
        <v>50</v>
      </c>
      <c r="D187" s="35">
        <v>0</v>
      </c>
      <c r="E187" s="35">
        <v>-12</v>
      </c>
      <c r="F187" s="35">
        <v>20</v>
      </c>
      <c r="G187" s="35">
        <v>0</v>
      </c>
      <c r="H187" s="35">
        <v>-100</v>
      </c>
      <c r="I187" s="15" t="s">
        <v>143</v>
      </c>
      <c r="J187" s="15" t="s">
        <v>143</v>
      </c>
      <c r="K187" s="15" t="s">
        <v>143</v>
      </c>
      <c r="L187" s="15" t="s">
        <v>143</v>
      </c>
      <c r="M187" s="15" t="s">
        <v>143</v>
      </c>
      <c r="N187" s="15" t="s">
        <v>143</v>
      </c>
      <c r="O187" s="15" t="s">
        <v>143</v>
      </c>
      <c r="P187" s="15" t="s">
        <v>143</v>
      </c>
      <c r="Q187" s="15" t="s">
        <v>143</v>
      </c>
      <c r="R187" s="15" t="s">
        <v>143</v>
      </c>
      <c r="S187" s="15" t="s">
        <v>143</v>
      </c>
      <c r="T187" s="35">
        <v>64</v>
      </c>
      <c r="U187" s="35">
        <v>58</v>
      </c>
      <c r="V187" s="15" t="s">
        <v>143</v>
      </c>
      <c r="W187" s="15" t="s">
        <v>389</v>
      </c>
      <c r="X187" s="15" t="s">
        <v>389</v>
      </c>
      <c r="Y187" s="15" t="s">
        <v>143</v>
      </c>
      <c r="Z187" s="15" t="s">
        <v>143</v>
      </c>
      <c r="AA187" s="15" t="s">
        <v>143</v>
      </c>
      <c r="AB187" s="15" t="s">
        <v>433</v>
      </c>
      <c r="AC187" s="34">
        <v>43362</v>
      </c>
      <c r="AD187" s="15">
        <v>0</v>
      </c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</row>
    <row r="188" spans="1:54" x14ac:dyDescent="0.2">
      <c r="A188">
        <v>186</v>
      </c>
      <c r="B188" s="24" t="s">
        <v>434</v>
      </c>
      <c r="C188" s="68" t="s">
        <v>143</v>
      </c>
      <c r="D188" s="15" t="s">
        <v>143</v>
      </c>
      <c r="E188" s="15" t="s">
        <v>143</v>
      </c>
      <c r="F188" s="15" t="s">
        <v>143</v>
      </c>
      <c r="G188" s="15" t="s">
        <v>143</v>
      </c>
      <c r="H188" s="15" t="s">
        <v>143</v>
      </c>
      <c r="I188" s="15" t="s">
        <v>143</v>
      </c>
      <c r="J188" s="15" t="s">
        <v>143</v>
      </c>
      <c r="K188" s="15" t="s">
        <v>143</v>
      </c>
      <c r="L188" s="35">
        <v>85</v>
      </c>
      <c r="M188" s="35">
        <v>0</v>
      </c>
      <c r="N188" s="35">
        <v>-18</v>
      </c>
      <c r="O188" s="35">
        <v>20</v>
      </c>
      <c r="P188" s="35">
        <v>0</v>
      </c>
      <c r="Q188" s="35">
        <v>-150</v>
      </c>
      <c r="R188" s="35">
        <v>64</v>
      </c>
      <c r="S188" s="35">
        <v>58</v>
      </c>
      <c r="T188" s="15" t="s">
        <v>143</v>
      </c>
      <c r="U188" s="15" t="s">
        <v>143</v>
      </c>
      <c r="V188" s="15" t="s">
        <v>389</v>
      </c>
      <c r="W188" s="15" t="s">
        <v>143</v>
      </c>
      <c r="X188" s="15" t="s">
        <v>143</v>
      </c>
      <c r="Y188" s="15" t="s">
        <v>143</v>
      </c>
      <c r="Z188" s="15" t="s">
        <v>143</v>
      </c>
      <c r="AA188" s="15" t="s">
        <v>143</v>
      </c>
      <c r="AB188" s="15" t="s">
        <v>435</v>
      </c>
      <c r="AC188" s="34">
        <v>43362</v>
      </c>
      <c r="AD188" s="15">
        <v>0</v>
      </c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</row>
    <row r="189" spans="1:54" x14ac:dyDescent="0.2">
      <c r="A189">
        <v>187</v>
      </c>
      <c r="B189" s="24" t="s">
        <v>436</v>
      </c>
      <c r="C189" s="35">
        <v>50</v>
      </c>
      <c r="D189" s="35">
        <v>0</v>
      </c>
      <c r="E189" s="35">
        <v>-17</v>
      </c>
      <c r="F189" s="35">
        <v>26</v>
      </c>
      <c r="G189" s="35">
        <v>0</v>
      </c>
      <c r="H189" s="35">
        <v>-120</v>
      </c>
      <c r="I189" s="15" t="s">
        <v>143</v>
      </c>
      <c r="J189" s="15" t="s">
        <v>143</v>
      </c>
      <c r="K189" s="15" t="s">
        <v>143</v>
      </c>
      <c r="L189" s="15" t="s">
        <v>143</v>
      </c>
      <c r="M189" s="15" t="s">
        <v>143</v>
      </c>
      <c r="N189" s="15" t="s">
        <v>143</v>
      </c>
      <c r="O189" s="15" t="s">
        <v>143</v>
      </c>
      <c r="P189" s="15" t="s">
        <v>143</v>
      </c>
      <c r="Q189" s="15" t="s">
        <v>143</v>
      </c>
      <c r="R189" s="15" t="s">
        <v>143</v>
      </c>
      <c r="S189" s="15" t="s">
        <v>143</v>
      </c>
      <c r="T189" s="35">
        <v>64</v>
      </c>
      <c r="U189" s="35">
        <v>58</v>
      </c>
      <c r="V189" s="15" t="s">
        <v>143</v>
      </c>
      <c r="W189" s="15" t="s">
        <v>389</v>
      </c>
      <c r="X189" s="15" t="s">
        <v>389</v>
      </c>
      <c r="Y189" s="15" t="s">
        <v>143</v>
      </c>
      <c r="Z189" s="15" t="s">
        <v>143</v>
      </c>
      <c r="AA189" s="15" t="s">
        <v>143</v>
      </c>
      <c r="AB189" s="15" t="s">
        <v>437</v>
      </c>
      <c r="AC189" s="34">
        <v>43362</v>
      </c>
      <c r="AD189" s="15">
        <v>0</v>
      </c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</row>
    <row r="190" spans="1:54" x14ac:dyDescent="0.2">
      <c r="A190">
        <v>188</v>
      </c>
      <c r="B190" s="24" t="s">
        <v>438</v>
      </c>
      <c r="C190" s="68" t="s">
        <v>143</v>
      </c>
      <c r="D190" s="15" t="s">
        <v>143</v>
      </c>
      <c r="E190" s="15" t="s">
        <v>143</v>
      </c>
      <c r="F190" s="15" t="s">
        <v>143</v>
      </c>
      <c r="G190" s="15" t="s">
        <v>143</v>
      </c>
      <c r="H190" s="15" t="s">
        <v>143</v>
      </c>
      <c r="I190" s="15" t="s">
        <v>143</v>
      </c>
      <c r="J190" s="15" t="s">
        <v>143</v>
      </c>
      <c r="K190" s="15" t="s">
        <v>143</v>
      </c>
      <c r="L190" s="35">
        <v>72</v>
      </c>
      <c r="M190" s="35">
        <v>0</v>
      </c>
      <c r="N190" s="35">
        <v>-16</v>
      </c>
      <c r="O190" s="35">
        <v>22</v>
      </c>
      <c r="P190" s="35">
        <v>0</v>
      </c>
      <c r="Q190" s="35">
        <v>-120</v>
      </c>
      <c r="R190" s="35">
        <v>64</v>
      </c>
      <c r="S190" s="35">
        <v>58</v>
      </c>
      <c r="T190" s="15" t="s">
        <v>143</v>
      </c>
      <c r="U190" s="15" t="s">
        <v>143</v>
      </c>
      <c r="V190" s="15" t="s">
        <v>389</v>
      </c>
      <c r="W190" s="15" t="s">
        <v>143</v>
      </c>
      <c r="X190" s="15" t="s">
        <v>143</v>
      </c>
      <c r="Y190" s="15" t="s">
        <v>143</v>
      </c>
      <c r="Z190" s="15" t="s">
        <v>143</v>
      </c>
      <c r="AA190" s="15" t="s">
        <v>143</v>
      </c>
      <c r="AB190" s="15" t="s">
        <v>439</v>
      </c>
      <c r="AC190" s="34">
        <v>43362</v>
      </c>
      <c r="AD190" s="15">
        <v>0</v>
      </c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</row>
    <row r="191" spans="1:54" x14ac:dyDescent="0.2">
      <c r="A191">
        <v>189</v>
      </c>
      <c r="B191" s="24" t="s">
        <v>440</v>
      </c>
      <c r="C191" s="35">
        <v>35</v>
      </c>
      <c r="D191" s="35">
        <v>0</v>
      </c>
      <c r="E191" s="35">
        <v>-12</v>
      </c>
      <c r="F191" s="35">
        <v>28</v>
      </c>
      <c r="G191" s="35">
        <v>0</v>
      </c>
      <c r="H191" s="35">
        <v>-120</v>
      </c>
      <c r="I191" s="15" t="s">
        <v>143</v>
      </c>
      <c r="J191" s="15" t="s">
        <v>143</v>
      </c>
      <c r="K191" s="15" t="s">
        <v>143</v>
      </c>
      <c r="L191" s="15" t="s">
        <v>143</v>
      </c>
      <c r="M191" s="15" t="s">
        <v>143</v>
      </c>
      <c r="N191" s="15" t="s">
        <v>143</v>
      </c>
      <c r="O191" s="15" t="s">
        <v>143</v>
      </c>
      <c r="P191" s="15" t="s">
        <v>143</v>
      </c>
      <c r="Q191" s="15" t="s">
        <v>143</v>
      </c>
      <c r="R191" s="15" t="s">
        <v>143</v>
      </c>
      <c r="S191" s="15" t="s">
        <v>143</v>
      </c>
      <c r="T191" s="35">
        <v>64</v>
      </c>
      <c r="U191" s="35">
        <v>58</v>
      </c>
      <c r="V191" s="15" t="s">
        <v>143</v>
      </c>
      <c r="W191" s="15" t="s">
        <v>389</v>
      </c>
      <c r="X191" s="15" t="s">
        <v>389</v>
      </c>
      <c r="Y191" s="15" t="s">
        <v>143</v>
      </c>
      <c r="Z191" s="15" t="s">
        <v>143</v>
      </c>
      <c r="AA191" s="15" t="s">
        <v>143</v>
      </c>
      <c r="AB191" s="15" t="s">
        <v>441</v>
      </c>
      <c r="AC191" s="34">
        <v>43362</v>
      </c>
      <c r="AD191" s="15">
        <v>0</v>
      </c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</row>
    <row r="192" spans="1:54" x14ac:dyDescent="0.2">
      <c r="A192">
        <v>190</v>
      </c>
      <c r="B192" s="24" t="s">
        <v>442</v>
      </c>
      <c r="C192" s="68" t="s">
        <v>143</v>
      </c>
      <c r="D192" s="15" t="s">
        <v>143</v>
      </c>
      <c r="E192" s="15" t="s">
        <v>143</v>
      </c>
      <c r="F192" s="15" t="s">
        <v>143</v>
      </c>
      <c r="G192" s="15" t="s">
        <v>143</v>
      </c>
      <c r="H192" s="15" t="s">
        <v>143</v>
      </c>
      <c r="I192" s="15" t="s">
        <v>143</v>
      </c>
      <c r="J192" s="15" t="s">
        <v>143</v>
      </c>
      <c r="K192" s="15" t="s">
        <v>143</v>
      </c>
      <c r="L192" s="35">
        <v>72</v>
      </c>
      <c r="M192" s="35">
        <v>0</v>
      </c>
      <c r="N192" s="35">
        <v>-16</v>
      </c>
      <c r="O192" s="35">
        <v>19</v>
      </c>
      <c r="P192" s="35">
        <v>0</v>
      </c>
      <c r="Q192" s="35">
        <v>-150</v>
      </c>
      <c r="R192" s="35">
        <v>64</v>
      </c>
      <c r="S192" s="35">
        <v>58</v>
      </c>
      <c r="T192" s="15" t="s">
        <v>143</v>
      </c>
      <c r="U192" s="15" t="s">
        <v>143</v>
      </c>
      <c r="V192" s="15" t="s">
        <v>389</v>
      </c>
      <c r="W192" s="15" t="s">
        <v>143</v>
      </c>
      <c r="X192" s="15" t="s">
        <v>143</v>
      </c>
      <c r="Y192" s="15" t="s">
        <v>143</v>
      </c>
      <c r="Z192" s="15" t="s">
        <v>143</v>
      </c>
      <c r="AA192" s="15" t="s">
        <v>143</v>
      </c>
      <c r="AB192" s="15" t="s">
        <v>443</v>
      </c>
      <c r="AC192" s="34">
        <v>43362</v>
      </c>
      <c r="AD192" s="15">
        <v>0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</row>
    <row r="193" spans="1:54" x14ac:dyDescent="0.2">
      <c r="A193">
        <v>191</v>
      </c>
      <c r="B193" s="24" t="s">
        <v>444</v>
      </c>
      <c r="C193" s="67">
        <v>35</v>
      </c>
      <c r="D193" s="67">
        <v>0</v>
      </c>
      <c r="E193" s="67">
        <v>-12</v>
      </c>
      <c r="F193" s="67">
        <v>23</v>
      </c>
      <c r="G193" s="67">
        <v>0</v>
      </c>
      <c r="H193" s="68">
        <v>-100</v>
      </c>
      <c r="I193" s="15" t="s">
        <v>143</v>
      </c>
      <c r="J193" s="15" t="s">
        <v>143</v>
      </c>
      <c r="K193" s="15" t="s">
        <v>143</v>
      </c>
      <c r="L193" s="15" t="s">
        <v>143</v>
      </c>
      <c r="M193" s="15" t="s">
        <v>143</v>
      </c>
      <c r="N193" s="15" t="s">
        <v>143</v>
      </c>
      <c r="O193" s="15" t="s">
        <v>143</v>
      </c>
      <c r="P193" s="15" t="s">
        <v>143</v>
      </c>
      <c r="Q193" s="15" t="s">
        <v>143</v>
      </c>
      <c r="R193" s="15" t="s">
        <v>143</v>
      </c>
      <c r="S193" s="15" t="s">
        <v>143</v>
      </c>
      <c r="T193" s="15">
        <v>64</v>
      </c>
      <c r="U193" s="15">
        <v>58</v>
      </c>
      <c r="V193" s="15" t="s">
        <v>143</v>
      </c>
      <c r="W193" s="15" t="s">
        <v>389</v>
      </c>
      <c r="X193" s="15" t="s">
        <v>389</v>
      </c>
      <c r="Y193" s="15" t="s">
        <v>143</v>
      </c>
      <c r="Z193" s="15" t="s">
        <v>143</v>
      </c>
      <c r="AA193" s="15" t="s">
        <v>143</v>
      </c>
      <c r="AB193" s="15" t="s">
        <v>445</v>
      </c>
      <c r="AC193" s="34">
        <v>43362</v>
      </c>
      <c r="AD193" s="15">
        <v>0</v>
      </c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</row>
    <row r="194" spans="1:54" x14ac:dyDescent="0.2">
      <c r="A194">
        <v>192</v>
      </c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</row>
    <row r="195" spans="1:54" x14ac:dyDescent="0.2">
      <c r="C195" s="35"/>
      <c r="D195" s="35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</row>
    <row r="196" spans="1:54" x14ac:dyDescent="0.2"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</row>
    <row r="197" spans="1:54" x14ac:dyDescent="0.2">
      <c r="C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</row>
    <row r="198" spans="1:54" x14ac:dyDescent="0.2"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</row>
    <row r="199" spans="1:54" x14ac:dyDescent="0.2"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</row>
    <row r="200" spans="1:54" x14ac:dyDescent="0.2"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</row>
    <row r="201" spans="1:54" x14ac:dyDescent="0.2"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</row>
    <row r="202" spans="1:54" x14ac:dyDescent="0.2"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</row>
    <row r="203" spans="1:54" x14ac:dyDescent="0.2"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</row>
    <row r="204" spans="1:54" x14ac:dyDescent="0.2"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</row>
    <row r="205" spans="1:54" x14ac:dyDescent="0.2"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</row>
    <row r="206" spans="1:54" x14ac:dyDescent="0.2"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</row>
    <row r="207" spans="1:54" x14ac:dyDescent="0.2"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</row>
    <row r="208" spans="1:54" x14ac:dyDescent="0.2"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</row>
    <row r="209" spans="3:54" x14ac:dyDescent="0.2"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</row>
    <row r="210" spans="3:54" x14ac:dyDescent="0.2"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</row>
    <row r="211" spans="3:54" x14ac:dyDescent="0.2"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</row>
    <row r="212" spans="3:54" x14ac:dyDescent="0.2"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</row>
    <row r="213" spans="3:54" x14ac:dyDescent="0.2"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</row>
    <row r="214" spans="3:54" x14ac:dyDescent="0.2"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</row>
    <row r="215" spans="3:54" x14ac:dyDescent="0.2"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</row>
    <row r="216" spans="3:54" x14ac:dyDescent="0.2"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</row>
    <row r="217" spans="3:54" x14ac:dyDescent="0.2"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</row>
    <row r="218" spans="3:54" x14ac:dyDescent="0.2"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</row>
    <row r="219" spans="3:54" x14ac:dyDescent="0.2"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</row>
    <row r="220" spans="3:54" x14ac:dyDescent="0.2"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</row>
    <row r="221" spans="3:54" x14ac:dyDescent="0.2"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</row>
    <row r="222" spans="3:54" x14ac:dyDescent="0.2"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</row>
    <row r="223" spans="3:54" x14ac:dyDescent="0.2"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</row>
    <row r="224" spans="3:54" x14ac:dyDescent="0.2"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</row>
    <row r="225" spans="3:54" x14ac:dyDescent="0.2"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</row>
    <row r="226" spans="3:54" x14ac:dyDescent="0.2"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</row>
    <row r="227" spans="3:54" x14ac:dyDescent="0.2"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</row>
    <row r="228" spans="3:54" x14ac:dyDescent="0.2"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</row>
    <row r="229" spans="3:54" x14ac:dyDescent="0.2"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</row>
    <row r="230" spans="3:54" x14ac:dyDescent="0.2"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</row>
    <row r="231" spans="3:54" x14ac:dyDescent="0.2"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</row>
    <row r="232" spans="3:54" x14ac:dyDescent="0.2"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</row>
    <row r="233" spans="3:54" x14ac:dyDescent="0.2"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</row>
    <row r="234" spans="3:54" x14ac:dyDescent="0.2"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</row>
    <row r="235" spans="3:54" x14ac:dyDescent="0.2"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</row>
    <row r="236" spans="3:54" x14ac:dyDescent="0.2"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</row>
    <row r="237" spans="3:54" x14ac:dyDescent="0.2"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</row>
    <row r="238" spans="3:54" x14ac:dyDescent="0.2"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</row>
    <row r="239" spans="3:54" x14ac:dyDescent="0.2"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</row>
    <row r="240" spans="3:54" x14ac:dyDescent="0.2"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</row>
    <row r="241" spans="3:54" x14ac:dyDescent="0.2"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</row>
    <row r="242" spans="3:54" x14ac:dyDescent="0.2"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</row>
    <row r="243" spans="3:54" x14ac:dyDescent="0.2"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</row>
    <row r="244" spans="3:54" x14ac:dyDescent="0.2"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</row>
    <row r="245" spans="3:54" x14ac:dyDescent="0.2">
      <c r="C245" s="35"/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</row>
    <row r="246" spans="3:54" x14ac:dyDescent="0.2"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</row>
    <row r="247" spans="3:54" x14ac:dyDescent="0.2"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</row>
    <row r="248" spans="3:54" x14ac:dyDescent="0.2">
      <c r="C248" s="35"/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</row>
    <row r="249" spans="3:54" x14ac:dyDescent="0.2">
      <c r="C249" s="35"/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</row>
    <row r="250" spans="3:54" x14ac:dyDescent="0.2"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</row>
    <row r="251" spans="3:54" x14ac:dyDescent="0.2">
      <c r="C251" s="35"/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</row>
    <row r="252" spans="3:54" x14ac:dyDescent="0.2">
      <c r="C252" s="35"/>
      <c r="D252" s="35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</row>
    <row r="253" spans="3:54" x14ac:dyDescent="0.2">
      <c r="C253" s="35"/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</row>
    <row r="254" spans="3:54" x14ac:dyDescent="0.2"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</row>
    <row r="255" spans="3:54" x14ac:dyDescent="0.2">
      <c r="C255" s="35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</row>
    <row r="256" spans="3:54" x14ac:dyDescent="0.2">
      <c r="C256" s="35"/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</row>
    <row r="257" spans="3:54" x14ac:dyDescent="0.2">
      <c r="C257" s="35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</row>
    <row r="258" spans="3:54" x14ac:dyDescent="0.2">
      <c r="C258" s="35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</row>
    <row r="259" spans="3:54" x14ac:dyDescent="0.2"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</row>
    <row r="260" spans="3:54" x14ac:dyDescent="0.2"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</row>
    <row r="261" spans="3:54" x14ac:dyDescent="0.2"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</row>
    <row r="262" spans="3:54" x14ac:dyDescent="0.2"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</row>
    <row r="263" spans="3:54" x14ac:dyDescent="0.2"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</row>
    <row r="264" spans="3:54" x14ac:dyDescent="0.2"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</row>
    <row r="265" spans="3:54" x14ac:dyDescent="0.2"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</row>
    <row r="266" spans="3:54" x14ac:dyDescent="0.2"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</row>
    <row r="267" spans="3:54" x14ac:dyDescent="0.2"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</row>
    <row r="268" spans="3:54" x14ac:dyDescent="0.2"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</row>
    <row r="269" spans="3:54" x14ac:dyDescent="0.2"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</row>
    <row r="270" spans="3:54" x14ac:dyDescent="0.2"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</row>
    <row r="271" spans="3:54" x14ac:dyDescent="0.2"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</row>
    <row r="272" spans="3:54" x14ac:dyDescent="0.2"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</row>
    <row r="273" spans="3:54" x14ac:dyDescent="0.2"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</row>
    <row r="274" spans="3:54" x14ac:dyDescent="0.2"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</row>
    <row r="275" spans="3:54" x14ac:dyDescent="0.2"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</row>
    <row r="276" spans="3:54" x14ac:dyDescent="0.2"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</row>
    <row r="277" spans="3:54" x14ac:dyDescent="0.2"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</row>
    <row r="278" spans="3:54" x14ac:dyDescent="0.2"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</row>
    <row r="279" spans="3:54" x14ac:dyDescent="0.2"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</row>
    <row r="280" spans="3:54" x14ac:dyDescent="0.2"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</row>
    <row r="281" spans="3:54" x14ac:dyDescent="0.2"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</row>
    <row r="282" spans="3:54" x14ac:dyDescent="0.2"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</row>
    <row r="283" spans="3:54" x14ac:dyDescent="0.2"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</row>
    <row r="284" spans="3:54" x14ac:dyDescent="0.2"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</row>
    <row r="285" spans="3:54" x14ac:dyDescent="0.2"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</row>
    <row r="286" spans="3:54" x14ac:dyDescent="0.2"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</row>
    <row r="287" spans="3:54" x14ac:dyDescent="0.2"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</row>
    <row r="288" spans="3:54" x14ac:dyDescent="0.2"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</row>
    <row r="289" spans="3:54" x14ac:dyDescent="0.2"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</row>
    <row r="290" spans="3:54" x14ac:dyDescent="0.2"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</row>
    <row r="291" spans="3:54" x14ac:dyDescent="0.2"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</row>
    <row r="292" spans="3:54" x14ac:dyDescent="0.2"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</row>
    <row r="293" spans="3:54" x14ac:dyDescent="0.2"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</row>
    <row r="294" spans="3:54" x14ac:dyDescent="0.2"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</row>
    <row r="295" spans="3:54" x14ac:dyDescent="0.2"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</row>
    <row r="296" spans="3:54" x14ac:dyDescent="0.2"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</row>
    <row r="297" spans="3:54" x14ac:dyDescent="0.2"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</row>
    <row r="298" spans="3:54" x14ac:dyDescent="0.2"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</row>
    <row r="299" spans="3:54" x14ac:dyDescent="0.2"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</row>
    <row r="300" spans="3:54" x14ac:dyDescent="0.2"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</row>
    <row r="301" spans="3:54" x14ac:dyDescent="0.2"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</row>
    <row r="302" spans="3:54" x14ac:dyDescent="0.2"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</row>
    <row r="303" spans="3:54" x14ac:dyDescent="0.2"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</row>
    <row r="304" spans="3:54" x14ac:dyDescent="0.2"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</row>
    <row r="305" spans="3:54" x14ac:dyDescent="0.2"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</row>
    <row r="306" spans="3:54" x14ac:dyDescent="0.2"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</row>
    <row r="307" spans="3:54" x14ac:dyDescent="0.2"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</row>
    <row r="308" spans="3:54" x14ac:dyDescent="0.2"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</row>
    <row r="309" spans="3:54" x14ac:dyDescent="0.2"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</row>
    <row r="310" spans="3:54" x14ac:dyDescent="0.2"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</row>
    <row r="311" spans="3:54" x14ac:dyDescent="0.2"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</row>
    <row r="312" spans="3:54" x14ac:dyDescent="0.2"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</row>
    <row r="313" spans="3:54" x14ac:dyDescent="0.2"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</row>
    <row r="314" spans="3:54" x14ac:dyDescent="0.2"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</row>
    <row r="315" spans="3:54" x14ac:dyDescent="0.2"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</row>
    <row r="316" spans="3:54" x14ac:dyDescent="0.2"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</row>
    <row r="317" spans="3:54" x14ac:dyDescent="0.2"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</row>
    <row r="318" spans="3:54" x14ac:dyDescent="0.2"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</row>
    <row r="319" spans="3:54" x14ac:dyDescent="0.2"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</row>
    <row r="320" spans="3:54" x14ac:dyDescent="0.2"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</row>
    <row r="321" spans="3:54" x14ac:dyDescent="0.2"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</row>
    <row r="322" spans="3:54" x14ac:dyDescent="0.2"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</row>
    <row r="323" spans="3:54" x14ac:dyDescent="0.2"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</row>
    <row r="324" spans="3:54" x14ac:dyDescent="0.2"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</row>
    <row r="325" spans="3:54" x14ac:dyDescent="0.2"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</row>
    <row r="326" spans="3:54" x14ac:dyDescent="0.2"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</row>
    <row r="327" spans="3:54" x14ac:dyDescent="0.2"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</row>
    <row r="328" spans="3:54" x14ac:dyDescent="0.2"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</row>
    <row r="329" spans="3:54" x14ac:dyDescent="0.2"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</row>
    <row r="330" spans="3:54" x14ac:dyDescent="0.2"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</row>
    <row r="331" spans="3:54" x14ac:dyDescent="0.2"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</row>
    <row r="332" spans="3:54" x14ac:dyDescent="0.2"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</row>
    <row r="333" spans="3:54" x14ac:dyDescent="0.2"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</row>
    <row r="334" spans="3:54" x14ac:dyDescent="0.2"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</row>
    <row r="335" spans="3:54" x14ac:dyDescent="0.2"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</row>
    <row r="336" spans="3:54" x14ac:dyDescent="0.2"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</row>
    <row r="337" spans="3:54" x14ac:dyDescent="0.2"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</row>
    <row r="338" spans="3:54" x14ac:dyDescent="0.2"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</row>
    <row r="339" spans="3:54" x14ac:dyDescent="0.2"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</row>
    <row r="340" spans="3:54" x14ac:dyDescent="0.2"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</row>
    <row r="341" spans="3:54" x14ac:dyDescent="0.2"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</row>
    <row r="342" spans="3:54" x14ac:dyDescent="0.2"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</row>
    <row r="343" spans="3:54" x14ac:dyDescent="0.2"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</row>
    <row r="344" spans="3:54" x14ac:dyDescent="0.2"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</row>
    <row r="345" spans="3:54" x14ac:dyDescent="0.2"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</row>
    <row r="346" spans="3:54" x14ac:dyDescent="0.2"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</row>
    <row r="347" spans="3:54" x14ac:dyDescent="0.2"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</row>
    <row r="348" spans="3:54" x14ac:dyDescent="0.2"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</row>
    <row r="349" spans="3:54" x14ac:dyDescent="0.2"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</row>
    <row r="350" spans="3:54" x14ac:dyDescent="0.2"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</row>
    <row r="351" spans="3:54" x14ac:dyDescent="0.2"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</row>
    <row r="352" spans="3:54" x14ac:dyDescent="0.2"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</row>
    <row r="353" spans="3:54" x14ac:dyDescent="0.2"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</row>
    <row r="354" spans="3:54" x14ac:dyDescent="0.2"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</row>
    <row r="355" spans="3:54" x14ac:dyDescent="0.2"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</row>
    <row r="356" spans="3:54" x14ac:dyDescent="0.2"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</row>
    <row r="357" spans="3:54" x14ac:dyDescent="0.2"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</row>
    <row r="358" spans="3:54" x14ac:dyDescent="0.2"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</row>
    <row r="359" spans="3:54" x14ac:dyDescent="0.2"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</row>
    <row r="360" spans="3:54" x14ac:dyDescent="0.2"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</row>
    <row r="361" spans="3:54" x14ac:dyDescent="0.2"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</row>
    <row r="362" spans="3:54" x14ac:dyDescent="0.2"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</row>
    <row r="363" spans="3:54" x14ac:dyDescent="0.2"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</row>
    <row r="364" spans="3:54" x14ac:dyDescent="0.2"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</row>
    <row r="365" spans="3:54" x14ac:dyDescent="0.2"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</row>
    <row r="366" spans="3:54" x14ac:dyDescent="0.2"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</row>
    <row r="367" spans="3:54" x14ac:dyDescent="0.2"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</row>
    <row r="368" spans="3:54" x14ac:dyDescent="0.2"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</row>
    <row r="369" spans="3:54" x14ac:dyDescent="0.2"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</row>
    <row r="370" spans="3:54" x14ac:dyDescent="0.2"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</row>
    <row r="371" spans="3:54" x14ac:dyDescent="0.2"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</row>
    <row r="372" spans="3:54" x14ac:dyDescent="0.2"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</row>
    <row r="373" spans="3:54" x14ac:dyDescent="0.2"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</row>
    <row r="374" spans="3:54" x14ac:dyDescent="0.2"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</row>
    <row r="375" spans="3:54" x14ac:dyDescent="0.2"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</row>
    <row r="376" spans="3:54" x14ac:dyDescent="0.2"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</row>
    <row r="377" spans="3:54" x14ac:dyDescent="0.2"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</row>
    <row r="378" spans="3:54" x14ac:dyDescent="0.2"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</row>
    <row r="379" spans="3:54" x14ac:dyDescent="0.2"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</row>
    <row r="380" spans="3:54" x14ac:dyDescent="0.2"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</row>
    <row r="381" spans="3:54" x14ac:dyDescent="0.2"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</row>
    <row r="382" spans="3:54" x14ac:dyDescent="0.2"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</row>
    <row r="383" spans="3:54" x14ac:dyDescent="0.2"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</row>
    <row r="384" spans="3:54" x14ac:dyDescent="0.2"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</row>
    <row r="385" spans="3:54" x14ac:dyDescent="0.2"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</row>
    <row r="386" spans="3:54" x14ac:dyDescent="0.2"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</row>
    <row r="387" spans="3:54" x14ac:dyDescent="0.2"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</row>
    <row r="388" spans="3:54" x14ac:dyDescent="0.2"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</row>
    <row r="389" spans="3:54" x14ac:dyDescent="0.2"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</row>
    <row r="390" spans="3:54" x14ac:dyDescent="0.2"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</row>
    <row r="391" spans="3:54" x14ac:dyDescent="0.2"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</row>
    <row r="392" spans="3:54" x14ac:dyDescent="0.2"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</row>
    <row r="393" spans="3:54" x14ac:dyDescent="0.2"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</row>
    <row r="394" spans="3:54" x14ac:dyDescent="0.2"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</row>
    <row r="395" spans="3:54" x14ac:dyDescent="0.2"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</row>
    <row r="396" spans="3:54" x14ac:dyDescent="0.2"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</row>
    <row r="397" spans="3:54" x14ac:dyDescent="0.2"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</row>
    <row r="398" spans="3:54" x14ac:dyDescent="0.2"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</row>
    <row r="399" spans="3:54" x14ac:dyDescent="0.2"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</row>
    <row r="400" spans="3:54" x14ac:dyDescent="0.2"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</row>
    <row r="401" spans="3:54" x14ac:dyDescent="0.2"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</row>
    <row r="402" spans="3:54" x14ac:dyDescent="0.2"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</row>
    <row r="403" spans="3:54" x14ac:dyDescent="0.2"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</row>
    <row r="404" spans="3:54" x14ac:dyDescent="0.2"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</row>
    <row r="405" spans="3:54" x14ac:dyDescent="0.2"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</row>
    <row r="406" spans="3:54" x14ac:dyDescent="0.2"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</row>
    <row r="407" spans="3:54" x14ac:dyDescent="0.2"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</row>
    <row r="408" spans="3:54" x14ac:dyDescent="0.2"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</row>
    <row r="409" spans="3:54" x14ac:dyDescent="0.2"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</row>
    <row r="410" spans="3:54" x14ac:dyDescent="0.2"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</row>
    <row r="411" spans="3:54" x14ac:dyDescent="0.2"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</row>
    <row r="412" spans="3:54" x14ac:dyDescent="0.2"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</row>
    <row r="413" spans="3:54" x14ac:dyDescent="0.2"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</row>
    <row r="414" spans="3:54" x14ac:dyDescent="0.2"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</row>
    <row r="415" spans="3:54" x14ac:dyDescent="0.2"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</row>
    <row r="416" spans="3:54" x14ac:dyDescent="0.2"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</row>
    <row r="417" spans="3:54" x14ac:dyDescent="0.2"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</row>
    <row r="418" spans="3:54" x14ac:dyDescent="0.2"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</row>
    <row r="419" spans="3:54" x14ac:dyDescent="0.2"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</row>
    <row r="420" spans="3:54" x14ac:dyDescent="0.2"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</row>
    <row r="421" spans="3:54" x14ac:dyDescent="0.2"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</row>
    <row r="422" spans="3:54" x14ac:dyDescent="0.2"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</row>
    <row r="423" spans="3:54" x14ac:dyDescent="0.2"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</row>
    <row r="424" spans="3:54" x14ac:dyDescent="0.2"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</row>
    <row r="425" spans="3:54" x14ac:dyDescent="0.2"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</row>
    <row r="426" spans="3:54" x14ac:dyDescent="0.2"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</row>
    <row r="427" spans="3:54" x14ac:dyDescent="0.2"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</row>
    <row r="428" spans="3:54" x14ac:dyDescent="0.2"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</row>
    <row r="429" spans="3:54" x14ac:dyDescent="0.2"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</row>
    <row r="430" spans="3:54" x14ac:dyDescent="0.2"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</row>
    <row r="431" spans="3:54" x14ac:dyDescent="0.2"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</row>
    <row r="432" spans="3:54" x14ac:dyDescent="0.2"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</row>
    <row r="433" spans="3:54" x14ac:dyDescent="0.2"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</row>
    <row r="434" spans="3:54" x14ac:dyDescent="0.2"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</row>
    <row r="435" spans="3:54" x14ac:dyDescent="0.2"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</row>
    <row r="436" spans="3:54" x14ac:dyDescent="0.2"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</row>
    <row r="437" spans="3:54" x14ac:dyDescent="0.2"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</row>
    <row r="438" spans="3:54" x14ac:dyDescent="0.2"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</row>
    <row r="439" spans="3:54" x14ac:dyDescent="0.2"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</row>
    <row r="440" spans="3:54" x14ac:dyDescent="0.2"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</row>
    <row r="441" spans="3:54" x14ac:dyDescent="0.2"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</row>
    <row r="442" spans="3:54" x14ac:dyDescent="0.2"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</row>
    <row r="443" spans="3:54" x14ac:dyDescent="0.2"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</row>
    <row r="444" spans="3:54" x14ac:dyDescent="0.2"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</row>
    <row r="445" spans="3:54" x14ac:dyDescent="0.2"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</row>
    <row r="446" spans="3:54" x14ac:dyDescent="0.2"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</row>
    <row r="447" spans="3:54" x14ac:dyDescent="0.2"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</row>
    <row r="448" spans="3:54" x14ac:dyDescent="0.2"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</row>
    <row r="449" spans="3:54" x14ac:dyDescent="0.2"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</row>
    <row r="450" spans="3:54" x14ac:dyDescent="0.2"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</row>
    <row r="451" spans="3:54" x14ac:dyDescent="0.2"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</row>
    <row r="452" spans="3:54" x14ac:dyDescent="0.2"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</row>
    <row r="453" spans="3:54" x14ac:dyDescent="0.2"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</row>
    <row r="454" spans="3:54" x14ac:dyDescent="0.2"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</row>
    <row r="455" spans="3:54" x14ac:dyDescent="0.2"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</row>
    <row r="456" spans="3:54" x14ac:dyDescent="0.2"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</row>
    <row r="457" spans="3:54" x14ac:dyDescent="0.2"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</row>
    <row r="458" spans="3:54" x14ac:dyDescent="0.2"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</row>
    <row r="459" spans="3:54" x14ac:dyDescent="0.2"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</row>
    <row r="460" spans="3:54" x14ac:dyDescent="0.2"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</row>
    <row r="461" spans="3:54" x14ac:dyDescent="0.2"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</row>
    <row r="462" spans="3:54" x14ac:dyDescent="0.2"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</row>
    <row r="463" spans="3:54" x14ac:dyDescent="0.2"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</row>
    <row r="464" spans="3:54" x14ac:dyDescent="0.2"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</row>
    <row r="465" spans="3:54" x14ac:dyDescent="0.2"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</row>
    <row r="466" spans="3:54" x14ac:dyDescent="0.2"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</row>
    <row r="467" spans="3:54" x14ac:dyDescent="0.2"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</row>
    <row r="468" spans="3:54" x14ac:dyDescent="0.2"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</row>
    <row r="469" spans="3:54" x14ac:dyDescent="0.2"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</row>
    <row r="470" spans="3:54" x14ac:dyDescent="0.2"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</row>
    <row r="471" spans="3:54" x14ac:dyDescent="0.2"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</row>
    <row r="472" spans="3:54" x14ac:dyDescent="0.2"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</row>
    <row r="473" spans="3:54" x14ac:dyDescent="0.2"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</row>
    <row r="474" spans="3:54" x14ac:dyDescent="0.2"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</row>
    <row r="475" spans="3:54" x14ac:dyDescent="0.2"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</row>
    <row r="476" spans="3:54" x14ac:dyDescent="0.2"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</row>
    <row r="477" spans="3:54" x14ac:dyDescent="0.2"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</row>
    <row r="478" spans="3:54" x14ac:dyDescent="0.2"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</row>
    <row r="479" spans="3:54" x14ac:dyDescent="0.2"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</row>
    <row r="480" spans="3:54" x14ac:dyDescent="0.2"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</row>
    <row r="481" spans="3:54" x14ac:dyDescent="0.2"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</row>
    <row r="482" spans="3:54" x14ac:dyDescent="0.2"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</row>
    <row r="483" spans="3:54" x14ac:dyDescent="0.2"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</row>
    <row r="484" spans="3:54" x14ac:dyDescent="0.2"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</row>
    <row r="485" spans="3:54" x14ac:dyDescent="0.2"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</row>
    <row r="486" spans="3:54" x14ac:dyDescent="0.2"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</row>
    <row r="487" spans="3:54" x14ac:dyDescent="0.2"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</row>
    <row r="488" spans="3:54" x14ac:dyDescent="0.2"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</row>
    <row r="489" spans="3:54" x14ac:dyDescent="0.2"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</row>
    <row r="490" spans="3:54" x14ac:dyDescent="0.2"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</row>
    <row r="491" spans="3:54" x14ac:dyDescent="0.2"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</row>
    <row r="492" spans="3:54" x14ac:dyDescent="0.2"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</row>
    <row r="493" spans="3:54" x14ac:dyDescent="0.2"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</row>
    <row r="494" spans="3:54" x14ac:dyDescent="0.2"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</row>
    <row r="495" spans="3:54" x14ac:dyDescent="0.2"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</row>
    <row r="496" spans="3:54" x14ac:dyDescent="0.2"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</row>
    <row r="497" spans="3:54" x14ac:dyDescent="0.2"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</row>
    <row r="498" spans="3:54" x14ac:dyDescent="0.2"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</row>
    <row r="499" spans="3:54" x14ac:dyDescent="0.2"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</row>
    <row r="500" spans="3:54" x14ac:dyDescent="0.2"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</row>
    <row r="501" spans="3:54" x14ac:dyDescent="0.2"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</row>
    <row r="502" spans="3:54" x14ac:dyDescent="0.2"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</row>
    <row r="503" spans="3:54" x14ac:dyDescent="0.2"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</row>
    <row r="504" spans="3:54" x14ac:dyDescent="0.2"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</row>
    <row r="505" spans="3:54" x14ac:dyDescent="0.2"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</row>
    <row r="506" spans="3:54" x14ac:dyDescent="0.2"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</row>
    <row r="507" spans="3:54" x14ac:dyDescent="0.2"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</row>
    <row r="508" spans="3:54" x14ac:dyDescent="0.2"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</row>
    <row r="509" spans="3:54" x14ac:dyDescent="0.2"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</row>
    <row r="510" spans="3:54" x14ac:dyDescent="0.2"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</row>
    <row r="511" spans="3:54" x14ac:dyDescent="0.2"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</row>
    <row r="512" spans="3:54" x14ac:dyDescent="0.2"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</row>
    <row r="513" spans="3:54" x14ac:dyDescent="0.2"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</row>
    <row r="514" spans="3:54" x14ac:dyDescent="0.2"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</row>
    <row r="515" spans="3:54" x14ac:dyDescent="0.2"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</row>
    <row r="516" spans="3:54" x14ac:dyDescent="0.2"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</row>
    <row r="517" spans="3:54" x14ac:dyDescent="0.2"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</row>
    <row r="518" spans="3:54" x14ac:dyDescent="0.2"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</row>
    <row r="519" spans="3:54" x14ac:dyDescent="0.2"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</row>
    <row r="520" spans="3:54" x14ac:dyDescent="0.2"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</row>
    <row r="521" spans="3:54" x14ac:dyDescent="0.2"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</row>
    <row r="522" spans="3:54" x14ac:dyDescent="0.2"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</row>
    <row r="523" spans="3:54" x14ac:dyDescent="0.2"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</row>
    <row r="524" spans="3:54" x14ac:dyDescent="0.2"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</row>
    <row r="525" spans="3:54" x14ac:dyDescent="0.2"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</row>
    <row r="526" spans="3:54" x14ac:dyDescent="0.2"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</row>
    <row r="527" spans="3:54" x14ac:dyDescent="0.2"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</row>
    <row r="528" spans="3:54" x14ac:dyDescent="0.2"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</row>
    <row r="529" spans="3:54" x14ac:dyDescent="0.2"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</row>
    <row r="530" spans="3:54" x14ac:dyDescent="0.2"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</row>
    <row r="531" spans="3:54" x14ac:dyDescent="0.2"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</row>
    <row r="532" spans="3:54" x14ac:dyDescent="0.2"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</row>
    <row r="533" spans="3:54" x14ac:dyDescent="0.2"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</row>
    <row r="534" spans="3:54" x14ac:dyDescent="0.2"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</row>
    <row r="535" spans="3:54" x14ac:dyDescent="0.2"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</row>
    <row r="536" spans="3:54" x14ac:dyDescent="0.2"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</row>
    <row r="537" spans="3:54" x14ac:dyDescent="0.2"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</row>
    <row r="538" spans="3:54" x14ac:dyDescent="0.2"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</row>
    <row r="539" spans="3:54" x14ac:dyDescent="0.2"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</row>
    <row r="540" spans="3:54" x14ac:dyDescent="0.2"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</row>
    <row r="541" spans="3:54" x14ac:dyDescent="0.2"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</row>
    <row r="542" spans="3:54" x14ac:dyDescent="0.2"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</row>
    <row r="543" spans="3:54" x14ac:dyDescent="0.2"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</row>
    <row r="544" spans="3:54" x14ac:dyDescent="0.2"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</row>
    <row r="545" spans="3:54" x14ac:dyDescent="0.2"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</row>
    <row r="546" spans="3:54" x14ac:dyDescent="0.2"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</row>
    <row r="547" spans="3:54" x14ac:dyDescent="0.2"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</row>
    <row r="548" spans="3:54" x14ac:dyDescent="0.2"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</row>
    <row r="549" spans="3:54" x14ac:dyDescent="0.2"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</row>
    <row r="550" spans="3:54" x14ac:dyDescent="0.2"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</row>
    <row r="551" spans="3:54" x14ac:dyDescent="0.2"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</row>
    <row r="552" spans="3:54" x14ac:dyDescent="0.2"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</row>
    <row r="553" spans="3:54" x14ac:dyDescent="0.2"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</row>
    <row r="554" spans="3:54" x14ac:dyDescent="0.2"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</row>
    <row r="555" spans="3:54" x14ac:dyDescent="0.2"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</row>
    <row r="556" spans="3:54" x14ac:dyDescent="0.2"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</row>
    <row r="557" spans="3:54" x14ac:dyDescent="0.2"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</row>
    <row r="558" spans="3:54" x14ac:dyDescent="0.2"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</row>
    <row r="559" spans="3:54" x14ac:dyDescent="0.2"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</row>
    <row r="560" spans="3:54" x14ac:dyDescent="0.2"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</row>
    <row r="561" spans="3:54" x14ac:dyDescent="0.2"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</row>
    <row r="562" spans="3:54" x14ac:dyDescent="0.2"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</row>
    <row r="563" spans="3:54" x14ac:dyDescent="0.2"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</row>
    <row r="564" spans="3:54" x14ac:dyDescent="0.2"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</row>
    <row r="565" spans="3:54" x14ac:dyDescent="0.2"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</row>
    <row r="566" spans="3:54" x14ac:dyDescent="0.2"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</row>
    <row r="567" spans="3:54" x14ac:dyDescent="0.2"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</row>
    <row r="568" spans="3:54" x14ac:dyDescent="0.2"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</row>
    <row r="569" spans="3:54" x14ac:dyDescent="0.2"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</row>
    <row r="570" spans="3:54" x14ac:dyDescent="0.2"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</row>
    <row r="571" spans="3:54" x14ac:dyDescent="0.2"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</row>
    <row r="572" spans="3:54" x14ac:dyDescent="0.2"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</row>
    <row r="573" spans="3:54" x14ac:dyDescent="0.2"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</row>
    <row r="574" spans="3:54" x14ac:dyDescent="0.2"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</row>
    <row r="575" spans="3:54" x14ac:dyDescent="0.2"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</row>
    <row r="576" spans="3:54" x14ac:dyDescent="0.2"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</row>
    <row r="577" spans="3:54" x14ac:dyDescent="0.2"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</row>
    <row r="578" spans="3:54" x14ac:dyDescent="0.2"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</row>
    <row r="579" spans="3:54" x14ac:dyDescent="0.2"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</row>
    <row r="580" spans="3:54" x14ac:dyDescent="0.2"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</row>
    <row r="581" spans="3:54" x14ac:dyDescent="0.2"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</row>
    <row r="582" spans="3:54" x14ac:dyDescent="0.2"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</row>
    <row r="583" spans="3:54" x14ac:dyDescent="0.2"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</row>
    <row r="584" spans="3:54" x14ac:dyDescent="0.2"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</row>
    <row r="585" spans="3:54" x14ac:dyDescent="0.2"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</row>
    <row r="586" spans="3:54" x14ac:dyDescent="0.2"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</row>
    <row r="587" spans="3:54" x14ac:dyDescent="0.2"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</row>
    <row r="588" spans="3:54" x14ac:dyDescent="0.2"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</row>
    <row r="589" spans="3:54" x14ac:dyDescent="0.2"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</row>
    <row r="590" spans="3:54" x14ac:dyDescent="0.2"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</row>
    <row r="591" spans="3:54" x14ac:dyDescent="0.2"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</row>
    <row r="592" spans="3:54" x14ac:dyDescent="0.2"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</row>
    <row r="593" spans="3:54" x14ac:dyDescent="0.2"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</row>
    <row r="594" spans="3:54" x14ac:dyDescent="0.2"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</row>
    <row r="595" spans="3:54" x14ac:dyDescent="0.2"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</row>
    <row r="596" spans="3:54" x14ac:dyDescent="0.2"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</row>
    <row r="597" spans="3:54" x14ac:dyDescent="0.2"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</row>
    <row r="598" spans="3:54" x14ac:dyDescent="0.2"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</row>
    <row r="599" spans="3:54" x14ac:dyDescent="0.2"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</row>
    <row r="600" spans="3:54" x14ac:dyDescent="0.2"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</row>
    <row r="601" spans="3:54" x14ac:dyDescent="0.2"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</row>
    <row r="602" spans="3:54" x14ac:dyDescent="0.2"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</row>
    <row r="603" spans="3:54" x14ac:dyDescent="0.2"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</row>
    <row r="604" spans="3:54" x14ac:dyDescent="0.2"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</row>
    <row r="605" spans="3:54" x14ac:dyDescent="0.2"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</row>
    <row r="606" spans="3:54" x14ac:dyDescent="0.2"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</row>
    <row r="607" spans="3:54" x14ac:dyDescent="0.2"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</row>
    <row r="608" spans="3:54" x14ac:dyDescent="0.2"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</row>
    <row r="609" spans="3:54" x14ac:dyDescent="0.2"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</row>
    <row r="610" spans="3:54" x14ac:dyDescent="0.2"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</row>
    <row r="611" spans="3:54" x14ac:dyDescent="0.2"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</row>
    <row r="612" spans="3:54" x14ac:dyDescent="0.2"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</row>
    <row r="613" spans="3:54" x14ac:dyDescent="0.2"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</row>
    <row r="614" spans="3:54" x14ac:dyDescent="0.2"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</row>
    <row r="615" spans="3:54" x14ac:dyDescent="0.2"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</row>
    <row r="616" spans="3:54" x14ac:dyDescent="0.2"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</row>
    <row r="617" spans="3:54" x14ac:dyDescent="0.2"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</row>
    <row r="618" spans="3:54" x14ac:dyDescent="0.2"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</row>
    <row r="619" spans="3:54" x14ac:dyDescent="0.2"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</row>
    <row r="620" spans="3:54" x14ac:dyDescent="0.2"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</row>
    <row r="621" spans="3:54" x14ac:dyDescent="0.2"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</row>
    <row r="622" spans="3:54" x14ac:dyDescent="0.2"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</row>
    <row r="623" spans="3:54" x14ac:dyDescent="0.2"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</row>
    <row r="624" spans="3:54" x14ac:dyDescent="0.2"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</row>
    <row r="625" spans="3:54" x14ac:dyDescent="0.2"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</row>
    <row r="626" spans="3:54" x14ac:dyDescent="0.2"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</row>
    <row r="627" spans="3:54" x14ac:dyDescent="0.2"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</row>
    <row r="628" spans="3:54" x14ac:dyDescent="0.2"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</row>
    <row r="629" spans="3:54" x14ac:dyDescent="0.2"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</row>
    <row r="630" spans="3:54" x14ac:dyDescent="0.2"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</row>
    <row r="631" spans="3:54" x14ac:dyDescent="0.2"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</row>
    <row r="632" spans="3:54" x14ac:dyDescent="0.2"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</row>
    <row r="633" spans="3:54" x14ac:dyDescent="0.2"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</row>
    <row r="634" spans="3:54" x14ac:dyDescent="0.2"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</row>
    <row r="635" spans="3:54" x14ac:dyDescent="0.2"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</row>
    <row r="636" spans="3:54" x14ac:dyDescent="0.2"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</row>
    <row r="637" spans="3:54" x14ac:dyDescent="0.2"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</row>
    <row r="638" spans="3:54" x14ac:dyDescent="0.2"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</row>
    <row r="639" spans="3:54" x14ac:dyDescent="0.2"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</row>
    <row r="640" spans="3:54" x14ac:dyDescent="0.2"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</row>
    <row r="641" spans="3:54" x14ac:dyDescent="0.2"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</row>
    <row r="642" spans="3:54" x14ac:dyDescent="0.2"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</row>
    <row r="643" spans="3:54" x14ac:dyDescent="0.2"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</row>
    <row r="644" spans="3:54" x14ac:dyDescent="0.2"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</row>
    <row r="645" spans="3:54" x14ac:dyDescent="0.2"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</row>
    <row r="646" spans="3:54" x14ac:dyDescent="0.2"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</row>
    <row r="647" spans="3:54" x14ac:dyDescent="0.2"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</row>
    <row r="648" spans="3:54" x14ac:dyDescent="0.2"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</row>
    <row r="649" spans="3:54" x14ac:dyDescent="0.2"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</row>
    <row r="650" spans="3:54" x14ac:dyDescent="0.2"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</row>
    <row r="651" spans="3:54" x14ac:dyDescent="0.2"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</row>
    <row r="652" spans="3:54" x14ac:dyDescent="0.2"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</row>
  </sheetData>
  <autoFilter ref="A1:AD194"/>
  <phoneticPr fontId="2" type="noConversion"/>
  <pageMargins left="0.75" right="0.75" top="1" bottom="1" header="0" footer="0"/>
  <pageSetup paperSize="9" orientation="portrait" r:id="rId1"/>
  <headerFooter alignWithMargins="0"/>
  <cellWatches>
    <cellWatch r="C8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R016-04</vt:lpstr>
      <vt:lpstr>SIMBOLOGIA</vt:lpstr>
      <vt:lpstr>Auxiliar</vt:lpstr>
    </vt:vector>
  </TitlesOfParts>
  <Company>Usuario Final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Bettio</dc:creator>
  <cp:lastModifiedBy>Lorenzo Contigiani</cp:lastModifiedBy>
  <cp:lastPrinted>2024-01-08T14:06:57Z</cp:lastPrinted>
  <dcterms:created xsi:type="dcterms:W3CDTF">2008-05-02T14:04:52Z</dcterms:created>
  <dcterms:modified xsi:type="dcterms:W3CDTF">2026-01-12T19:18:14Z</dcterms:modified>
</cp:coreProperties>
</file>