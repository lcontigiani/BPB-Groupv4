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 lockStructure="1" workbookAlgorithmName="SHA-512" workbookHashValue="BqC7EY7WjXnR4qslMExXVQ0cHT/HnAjwAYTZrNmH+uVFXuLlSnNhmoiL6RKNOboIqm24FLmQfyHt/UpjNnREmg==" workbookSaltValue="lBFRBt/TDJX/fKt8cudNNQ==" workbookSpinCount="100000"/>
  <bookViews>
    <workbookView visibility="visible" minimized="0" showHorizontalScroll="1" showVerticalScroll="1" showSheetTabs="1" xWindow="0" yWindow="0" windowWidth="28800" windowHeight="12330" tabRatio="600" firstSheet="0" activeTab="2" autoFilterDateGrouping="1"/>
  </bookViews>
  <sheets>
    <sheet name="R016-01" sheetId="1" state="visible" r:id="rId1"/>
    <sheet name="SIMBOLOGIA" sheetId="2" state="visible" r:id="rId2"/>
    <sheet name="Auxiliar" sheetId="3" state="visible" r:id="rId3"/>
  </sheets>
  <definedNames>
    <definedName name="_xlnm.Print_Area" localSheetId="0">'R016-01'!$A$1:$AH$60</definedName>
    <definedName name="_xlnm._FilterDatabase" localSheetId="2" hidden="1">'Auxiliar'!$A$2:$AD$552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2">
    <font>
      <name val="Arial"/>
      <sz val="10"/>
    </font>
    <font>
      <name val="Arial"/>
      <family val="2"/>
      <sz val="8"/>
    </font>
    <font>
      <name val="Arial"/>
      <family val="2"/>
      <sz val="7"/>
    </font>
    <font>
      <name val="Arial"/>
      <family val="2"/>
      <b val="1"/>
      <sz val="12"/>
    </font>
    <font>
      <name val="Arial"/>
      <family val="2"/>
      <sz val="7"/>
    </font>
    <font>
      <name val="Arial"/>
      <family val="2"/>
      <sz val="6"/>
    </font>
    <font>
      <name val="Arial"/>
      <family val="2"/>
      <sz val="12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5"/>
    </font>
    <font>
      <name val="Arial"/>
      <family val="2"/>
      <sz val="12"/>
    </font>
    <font>
      <name val="Arial"/>
      <family val="2"/>
      <sz val="9"/>
    </font>
    <font>
      <name val="Arial"/>
      <family val="2"/>
      <b val="1"/>
      <sz val="11"/>
    </font>
    <font>
      <name val="Arial"/>
      <family val="2"/>
      <sz val="16"/>
    </font>
    <font>
      <name val="Arial"/>
      <family val="2"/>
      <sz val="14"/>
    </font>
    <font>
      <name val="Arial"/>
      <family val="2"/>
      <b val="1"/>
      <sz val="7"/>
    </font>
    <font>
      <name val="Arial"/>
      <family val="2"/>
      <sz val="16"/>
    </font>
    <font>
      <name val="Arial"/>
      <family val="2"/>
      <b val="1"/>
      <sz val="9"/>
    </font>
    <font>
      <name val="Arial"/>
      <family val="2"/>
      <b val="1"/>
      <i val="1"/>
      <sz val="12"/>
    </font>
    <font>
      <name val="Arial"/>
      <family val="2"/>
      <sz val="11"/>
    </font>
    <font>
      <name val="Arial"/>
      <family val="2"/>
      <b val="1"/>
      <color indexed="8"/>
      <sz val="10"/>
    </font>
    <font>
      <name val="Arial"/>
      <family val="2"/>
      <i val="1"/>
      <sz val="9"/>
    </font>
    <font>
      <name val="Arial"/>
      <family val="2"/>
      <b val="1"/>
      <color indexed="9"/>
      <sz val="9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Calibri"/>
      <family val="2"/>
      <b val="1"/>
      <color rgb="FF000000"/>
      <sz val="11"/>
    </font>
    <font>
      <name val="Arial"/>
      <family val="2"/>
      <b val="1"/>
      <color rgb="FF222222"/>
      <sz val="10"/>
    </font>
    <font>
      <name val="Arial"/>
      <b val="1"/>
      <sz val="10"/>
    </font>
    <font>
      <name val="Arial"/>
      <b val="1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7" fillId="3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wrapText="1"/>
    </xf>
    <xf numFmtId="0" fontId="2" fillId="0" borderId="5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wrapText="1"/>
    </xf>
    <xf numFmtId="0" fontId="2" fillId="0" borderId="4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wrapText="1"/>
    </xf>
    <xf numFmtId="0" fontId="2" fillId="0" borderId="7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vertical="top"/>
    </xf>
    <xf numFmtId="0" fontId="2" fillId="6" borderId="8" applyAlignment="1" pivotButton="0" quotePrefix="0" xfId="0">
      <alignment horizontal="center" wrapText="1"/>
    </xf>
    <xf numFmtId="0" fontId="2" fillId="6" borderId="6" applyAlignment="1" pivotButton="0" quotePrefix="0" xfId="0">
      <alignment horizontal="center"/>
    </xf>
    <xf numFmtId="0" fontId="0" fillId="0" borderId="3" pivotButton="0" quotePrefix="0" xfId="0"/>
    <xf numFmtId="0" fontId="10" fillId="0" borderId="4" applyAlignment="1" pivotButton="0" quotePrefix="0" xfId="0">
      <alignment vertical="center"/>
    </xf>
    <xf numFmtId="0" fontId="10" fillId="0" borderId="10" applyAlignment="1" pivotButton="0" quotePrefix="0" xfId="0">
      <alignment vertical="center"/>
    </xf>
    <xf numFmtId="0" fontId="7" fillId="3" borderId="0" applyAlignment="1" pivotButton="0" quotePrefix="0" xfId="0">
      <alignment horizontal="left" vertical="top"/>
    </xf>
    <xf numFmtId="0" fontId="7" fillId="0" borderId="1" applyAlignment="1" applyProtection="1" pivotButton="0" quotePrefix="0" xfId="0">
      <alignment horizontal="left" vertical="top"/>
      <protection locked="0" hidden="0"/>
    </xf>
    <xf numFmtId="0" fontId="20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shrinkToFit="1"/>
    </xf>
    <xf numFmtId="0" fontId="7" fillId="0" borderId="1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8" fillId="0" borderId="12" applyAlignment="1" pivotButton="0" quotePrefix="0" xfId="0">
      <alignment horizontal="right" vertical="center"/>
    </xf>
    <xf numFmtId="0" fontId="8" fillId="0" borderId="5" applyAlignment="1" pivotButton="0" quotePrefix="0" xfId="0">
      <alignment horizontal="right" vertical="center"/>
    </xf>
    <xf numFmtId="0" fontId="8" fillId="0" borderId="4" applyAlignment="1" pivotButton="0" quotePrefix="0" xfId="0">
      <alignment horizontal="right" vertical="center"/>
    </xf>
    <xf numFmtId="0" fontId="8" fillId="9" borderId="0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0" borderId="10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9" borderId="0" applyAlignment="1" pivotButton="0" quotePrefix="0" xfId="0">
      <alignment horizontal="right" vertical="center"/>
    </xf>
    <xf numFmtId="0" fontId="0" fillId="0" borderId="7" applyAlignment="1" pivotButton="0" quotePrefix="0" xfId="0">
      <alignment horizontal="right" vertical="center"/>
    </xf>
    <xf numFmtId="16" fontId="0" fillId="9" borderId="1" applyAlignment="1" pivotButton="0" quotePrefix="0" xfId="0">
      <alignment horizontal="right" vertical="center"/>
    </xf>
    <xf numFmtId="9" fontId="0" fillId="9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right" vertical="center"/>
    </xf>
    <xf numFmtId="14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1" fillId="0" borderId="1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7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6" fontId="0" fillId="9" borderId="7" applyAlignment="1" pivotButton="0" quotePrefix="0" xfId="0">
      <alignment horizontal="right" vertical="center"/>
    </xf>
    <xf numFmtId="0" fontId="8" fillId="0" borderId="7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25" fillId="0" borderId="0" pivotButton="0" quotePrefix="0" xfId="0"/>
    <xf numFmtId="0" fontId="26" fillId="0" borderId="0" pivotButton="0" quotePrefix="0" xfId="0"/>
    <xf numFmtId="164" fontId="0" fillId="0" borderId="0" applyAlignment="1" pivotButton="0" quotePrefix="0" xfId="0">
      <alignment horizontal="right" vertical="center"/>
    </xf>
    <xf numFmtId="16" fontId="0" fillId="0" borderId="0" applyAlignment="1" pivotButton="0" quotePrefix="0" xfId="0">
      <alignment horizontal="right" vertical="center"/>
    </xf>
    <xf numFmtId="9" fontId="0" fillId="0" borderId="0" applyAlignment="1" pivotButton="0" quotePrefix="0" xfId="0">
      <alignment horizontal="right" vertical="center"/>
    </xf>
    <xf numFmtId="0" fontId="0" fillId="0" borderId="0" applyAlignment="1" pivotButton="0" quotePrefix="1" xfId="0">
      <alignment horizontal="right" vertical="center"/>
    </xf>
    <xf numFmtId="0" fontId="27" fillId="0" borderId="0" pivotButton="0" quotePrefix="0" xfId="0"/>
    <xf numFmtId="0" fontId="28" fillId="0" borderId="0" applyAlignment="1" pivotButton="0" quotePrefix="0" xfId="0">
      <alignment wrapText="1"/>
    </xf>
    <xf numFmtId="14" fontId="8" fillId="0" borderId="0" applyAlignment="1" pivotButton="0" quotePrefix="0" xfId="0">
      <alignment horizontal="center" vertical="center"/>
    </xf>
    <xf numFmtId="0" fontId="7" fillId="7" borderId="1" applyAlignment="1" applyProtection="1" pivotButton="0" quotePrefix="0" xfId="0">
      <alignment vertical="top"/>
      <protection locked="0" hidden="0"/>
    </xf>
    <xf numFmtId="0" fontId="15" fillId="4" borderId="11" applyAlignment="1" pivotButton="0" quotePrefix="0" xfId="0">
      <alignment vertical="center" wrapText="1"/>
    </xf>
    <xf numFmtId="0" fontId="15" fillId="5" borderId="1" applyAlignment="1" pivotButton="0" quotePrefix="0" xfId="0">
      <alignment vertical="center" wrapText="1"/>
    </xf>
    <xf numFmtId="0" fontId="15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5" fillId="2" borderId="1" applyAlignment="1" pivotButton="0" quotePrefix="0" xfId="0">
      <alignment vertical="center"/>
    </xf>
    <xf numFmtId="0" fontId="7" fillId="0" borderId="0" pivotButton="0" quotePrefix="0" xfId="0"/>
    <xf numFmtId="0" fontId="1" fillId="0" borderId="6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/>
    </xf>
    <xf numFmtId="0" fontId="2" fillId="0" borderId="8" applyAlignment="1" pivotButton="0" quotePrefix="0" xfId="0">
      <alignment horizontal="center" wrapText="1"/>
    </xf>
    <xf numFmtId="0" fontId="2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2" fillId="6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9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4" fontId="8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0" fillId="9" borderId="1" applyAlignment="1" pivotButton="0" quotePrefix="0" xfId="0">
      <alignment horizontal="right"/>
    </xf>
    <xf numFmtId="0" fontId="8" fillId="0" borderId="1" applyAlignment="1" pivotButton="0" quotePrefix="0" xfId="0">
      <alignment horizontal="right"/>
    </xf>
    <xf numFmtId="14" fontId="8" fillId="0" borderId="1" applyAlignment="1" pivotButton="0" quotePrefix="0" xfId="0">
      <alignment horizontal="right"/>
    </xf>
    <xf numFmtId="0" fontId="0" fillId="0" borderId="4" pivotButton="0" quotePrefix="0" xfId="0"/>
    <xf numFmtId="0" fontId="0" fillId="0" borderId="1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0" fillId="0" borderId="1" applyAlignment="1" pivotButton="0" quotePrefix="0" xfId="0">
      <alignment horizontal="left" vertical="top"/>
    </xf>
    <xf numFmtId="0" fontId="10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22" fillId="11" borderId="25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2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2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center" wrapText="1"/>
    </xf>
    <xf numFmtId="0" fontId="22" fillId="11" borderId="2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1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7" fillId="0" borderId="0" applyAlignment="1" pivotButton="0" quotePrefix="0" xfId="0">
      <alignment horizontal="right"/>
    </xf>
    <xf numFmtId="0" fontId="0" fillId="0" borderId="0" pivotButton="0" quotePrefix="0" xfId="0"/>
    <xf numFmtId="0" fontId="2" fillId="0" borderId="10" applyAlignment="1" pivotButton="0" quotePrefix="0" xfId="0">
      <alignment horizontal="center" wrapText="1"/>
    </xf>
    <xf numFmtId="0" fontId="23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0" fontId="22" fillId="11" borderId="26" applyAlignment="1" pivotButton="0" quotePrefix="0" xfId="0">
      <alignment horizontal="center" vertical="center" wrapText="1"/>
    </xf>
    <xf numFmtId="0" fontId="0" fillId="0" borderId="21" pivotButton="0" quotePrefix="0" xfId="0"/>
    <xf numFmtId="49" fontId="10" fillId="10" borderId="24" applyAlignment="1" pivotButton="0" quotePrefix="0" xfId="0">
      <alignment horizontal="center" vertical="distributed"/>
    </xf>
    <xf numFmtId="0" fontId="0" fillId="0" borderId="23" pivotButton="0" quotePrefix="0" xfId="0"/>
    <xf numFmtId="0" fontId="0" fillId="0" borderId="16" pivotButton="0" quotePrefix="0" xfId="0"/>
    <xf numFmtId="14" fontId="12" fillId="0" borderId="3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" pivotButton="0" quotePrefix="0" xfId="0"/>
    <xf numFmtId="0" fontId="12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 wrapText="1"/>
    </xf>
    <xf numFmtId="0" fontId="0" fillId="0" borderId="17" pivotButton="0" quotePrefix="0" xfId="0"/>
    <xf numFmtId="0" fontId="1" fillId="0" borderId="3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/>
    </xf>
    <xf numFmtId="14" fontId="19" fillId="0" borderId="3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textRotation="90" wrapText="1"/>
    </xf>
    <xf numFmtId="0" fontId="0" fillId="0" borderId="7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 shrinkToFit="1"/>
    </xf>
    <xf numFmtId="0" fontId="0" fillId="0" borderId="2" pivotButton="0" quotePrefix="0" xfId="0"/>
    <xf numFmtId="0" fontId="0" fillId="0" borderId="9" pivotButton="0" quotePrefix="0" xfId="0"/>
    <xf numFmtId="0" fontId="3" fillId="0" borderId="1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 wrapText="1"/>
    </xf>
    <xf numFmtId="0" fontId="11" fillId="0" borderId="19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1" fillId="10" borderId="14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wrapText="1"/>
    </xf>
    <xf numFmtId="0" fontId="23" fillId="0" borderId="15" applyAlignment="1" pivotButton="0" quotePrefix="0" xfId="0">
      <alignment horizontal="center" vertical="top" wrapText="1"/>
    </xf>
    <xf numFmtId="0" fontId="0" fillId="0" borderId="10" applyAlignment="1" pivotButton="0" quotePrefix="0" xfId="0">
      <alignment horizontal="center"/>
    </xf>
    <xf numFmtId="0" fontId="10" fillId="0" borderId="10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10" fillId="0" borderId="10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top" wrapText="1"/>
    </xf>
    <xf numFmtId="0" fontId="14" fillId="10" borderId="14" applyAlignment="1" pivotButton="0" quotePrefix="0" xfId="0">
      <alignment horizontal="center"/>
    </xf>
    <xf numFmtId="0" fontId="31" fillId="0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228600</colOff>
      <row>0</row>
      <rowOff>114300</rowOff>
    </from>
    <to>
      <col>3</col>
      <colOff>219404</colOff>
      <row>4</row>
      <rowOff>152400</rowOff>
    </to>
    <pic>
      <nvPicPr>
        <cNvPr id="1563" name="Picture 15" descr="SOLID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28600" y="114300"/>
          <a:ext cx="1743404" cy="685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16</col>
      <colOff>51487</colOff>
      <row>8</row>
      <rowOff>0</rowOff>
    </from>
    <to>
      <col>16</col>
      <colOff>737287</colOff>
      <row>17</row>
      <rowOff>11060</rowOff>
    </to>
    <pic>
      <nvPicPr>
        <cNvPr id="10" name="Picture 34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7645744" y="1428750"/>
          <a:ext cx="685800" cy="158783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33</col>
      <colOff>57923</colOff>
      <row>8</row>
      <rowOff>0</rowOff>
    </from>
    <to>
      <col>33</col>
      <colOff>743723</colOff>
      <row>17</row>
      <rowOff>11060</rowOff>
    </to>
    <pic>
      <nvPicPr>
        <cNvPr id="11" name="Picture 34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16385575" y="1428750"/>
          <a:ext cx="685800" cy="1587834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17</col>
      <colOff>19050</colOff>
      <row>0</row>
      <rowOff>142875</rowOff>
    </from>
    <ext cx="1743404" cy="669925"/>
    <pic>
      <nvPicPr>
        <cNvPr id="6" name="Picture 15" descr="SOLID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609284" y="142875"/>
          <a:ext cx="1743404" cy="669925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95250</colOff>
      <row>2</row>
      <rowOff>9525</rowOff>
    </from>
    <to>
      <col>2</col>
      <colOff>342900</colOff>
      <row>4</row>
      <rowOff>142875</rowOff>
    </to>
    <pic>
      <nvPicPr>
        <cNvPr id="2176" name="Picture 1" descr="SOLID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95250" y="333375"/>
          <a:ext cx="1647825" cy="4572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AG57"/>
  <sheetViews>
    <sheetView showGridLines="0" zoomScaleNormal="100" workbookViewId="0">
      <selection activeCell="P54" sqref="A1:P54"/>
    </sheetView>
  </sheetViews>
  <sheetFormatPr baseColWidth="10" defaultRowHeight="12.75"/>
  <cols>
    <col width="8.85546875" customWidth="1" style="123" min="1" max="1"/>
    <col width="10.140625" customWidth="1" style="123" min="2" max="2"/>
    <col width="7.28515625" customWidth="1" style="123" min="3" max="3"/>
    <col width="8.140625" customWidth="1" style="123" min="4" max="4"/>
    <col width="7.85546875" customWidth="1" style="123" min="5" max="14"/>
    <col width="3.140625" customWidth="1" style="123" min="15" max="15"/>
    <col width="4.140625" customWidth="1" style="123" min="16" max="16"/>
    <col width="11.140625" customWidth="1" style="123" min="17" max="17"/>
    <col width="5.85546875" customWidth="1" style="123" min="18" max="18"/>
    <col width="7" customWidth="1" style="123" min="19" max="19"/>
    <col width="8.140625" customWidth="1" style="123" min="20" max="20"/>
    <col width="7.85546875" customWidth="1" style="123" min="21" max="30"/>
    <col width="5.140625" customWidth="1" style="123" min="31" max="31"/>
    <col width="5.28515625" customWidth="1" style="123" min="32" max="32"/>
    <col width="6.42578125" customWidth="1" style="123" min="33" max="33"/>
  </cols>
  <sheetData>
    <row r="1" ht="12.75" customHeight="1" s="123">
      <c r="A1" s="164" t="n"/>
      <c r="B1" s="139" t="n"/>
      <c r="C1" s="139" t="n"/>
      <c r="D1" s="111" t="n"/>
      <c r="E1" s="170" t="inlineStr">
        <is>
          <t>REGISTRO DE INSPECCION DE PRODUCTO - ROD. DE BOLAS</t>
        </is>
      </c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11" t="n"/>
      <c r="R1" s="164" t="n"/>
      <c r="S1" s="139" t="n"/>
      <c r="T1" s="139" t="n"/>
      <c r="U1" s="111" t="n"/>
      <c r="V1" s="170" t="inlineStr">
        <is>
          <t>REGISTRO DE INSPECCION DE PRODUCTO - ROD. DE BOLAS</t>
        </is>
      </c>
      <c r="W1" s="139" t="n"/>
      <c r="X1" s="139" t="n"/>
      <c r="Y1" s="139" t="n"/>
      <c r="Z1" s="139" t="n"/>
      <c r="AA1" s="139" t="n"/>
      <c r="AB1" s="139" t="n"/>
      <c r="AC1" s="139" t="n"/>
      <c r="AD1" s="139" t="n"/>
      <c r="AE1" s="139" t="n"/>
      <c r="AF1" s="139" t="n"/>
      <c r="AG1" s="111" t="n"/>
    </row>
    <row r="2" ht="12.75" customHeight="1" s="123">
      <c r="A2" s="162" t="n"/>
      <c r="D2" s="163" t="n"/>
      <c r="E2" s="162" t="n"/>
      <c r="P2" s="163" t="n"/>
      <c r="R2" s="162" t="n"/>
      <c r="U2" s="163" t="n"/>
      <c r="V2" s="162" t="n"/>
      <c r="AG2" s="163" t="n"/>
    </row>
    <row r="3" ht="12.75" customHeight="1" s="123">
      <c r="A3" s="162" t="n"/>
      <c r="D3" s="163" t="n"/>
      <c r="E3" s="165" t="inlineStr">
        <is>
          <t>RADIAL BALL BEARING INSPECTION RECORD</t>
        </is>
      </c>
      <c r="P3" s="163" t="n"/>
      <c r="R3" s="162" t="n"/>
      <c r="U3" s="163" t="n"/>
      <c r="V3" s="165" t="inlineStr">
        <is>
          <t>RADIAL BALL BEARING INSPECTION RECORD</t>
        </is>
      </c>
      <c r="AG3" s="163" t="n"/>
    </row>
    <row r="4" ht="12.75" customHeight="1" s="123">
      <c r="A4" s="162" t="n"/>
      <c r="D4" s="163" t="n"/>
      <c r="E4" s="112" t="n"/>
      <c r="F4" s="140" t="n"/>
      <c r="G4" s="140" t="n"/>
      <c r="H4" s="140" t="n"/>
      <c r="I4" s="140" t="n"/>
      <c r="J4" s="140" t="n"/>
      <c r="K4" s="140" t="n"/>
      <c r="L4" s="140" t="n"/>
      <c r="M4" s="140" t="n"/>
      <c r="N4" s="140" t="n"/>
      <c r="O4" s="140" t="n"/>
      <c r="P4" s="113" t="n"/>
      <c r="R4" s="162" t="n"/>
      <c r="U4" s="163" t="n"/>
      <c r="V4" s="112" t="n"/>
      <c r="W4" s="140" t="n"/>
      <c r="X4" s="140" t="n"/>
      <c r="Y4" s="140" t="n"/>
      <c r="Z4" s="140" t="n"/>
      <c r="AA4" s="140" t="n"/>
      <c r="AB4" s="140" t="n"/>
      <c r="AC4" s="140" t="n"/>
      <c r="AD4" s="140" t="n"/>
      <c r="AE4" s="140" t="n"/>
      <c r="AF4" s="140" t="n"/>
      <c r="AG4" s="113" t="n"/>
    </row>
    <row r="5" ht="12.75" customHeight="1" s="123">
      <c r="A5" s="162" t="n"/>
      <c r="D5" s="163" t="n"/>
      <c r="E5" s="164" t="inlineStr">
        <is>
          <t>R016 - 01</t>
        </is>
      </c>
      <c r="F5" s="139" t="n"/>
      <c r="G5" s="139" t="n"/>
      <c r="H5" s="111" t="n"/>
      <c r="I5" s="138" t="n">
        <v>42895</v>
      </c>
      <c r="J5" s="139" t="n"/>
      <c r="K5" s="153" t="inlineStr">
        <is>
          <t>REV.</t>
        </is>
      </c>
      <c r="L5" s="141" t="n">
        <v>10</v>
      </c>
      <c r="M5" s="157" t="inlineStr">
        <is>
          <t>PAG. 01 - 01</t>
        </is>
      </c>
      <c r="N5" s="139" t="n"/>
      <c r="O5" s="139" t="n"/>
      <c r="P5" s="111" t="n"/>
      <c r="R5" s="162" t="n"/>
      <c r="U5" s="163" t="n"/>
      <c r="V5" s="164" t="inlineStr">
        <is>
          <t>R016 - 01</t>
        </is>
      </c>
      <c r="W5" s="139" t="n"/>
      <c r="X5" s="139" t="n"/>
      <c r="Y5" s="111" t="n"/>
      <c r="Z5" s="138" t="n">
        <v>42895</v>
      </c>
      <c r="AA5" s="139" t="n"/>
      <c r="AB5" s="153" t="inlineStr">
        <is>
          <t>REV.</t>
        </is>
      </c>
      <c r="AC5" s="141" t="n">
        <v>10</v>
      </c>
      <c r="AD5" s="157" t="inlineStr">
        <is>
          <t>PAG. 01 - 01</t>
        </is>
      </c>
      <c r="AE5" s="139" t="n"/>
      <c r="AF5" s="139" t="n"/>
      <c r="AG5" s="111" t="n"/>
    </row>
    <row r="6" ht="8.25" customHeight="1" s="123">
      <c r="A6" s="112" t="n"/>
      <c r="B6" s="140" t="n"/>
      <c r="C6" s="140" t="n"/>
      <c r="D6" s="113" t="n"/>
      <c r="E6" s="112" t="n"/>
      <c r="F6" s="140" t="n"/>
      <c r="G6" s="140" t="n"/>
      <c r="H6" s="113" t="n"/>
      <c r="I6" s="112" t="n"/>
      <c r="J6" s="140" t="n"/>
      <c r="K6" s="140" t="n"/>
      <c r="L6" s="113" t="n"/>
      <c r="M6" s="112" t="n"/>
      <c r="N6" s="140" t="n"/>
      <c r="O6" s="140" t="n"/>
      <c r="P6" s="113" t="n"/>
      <c r="R6" s="112" t="n"/>
      <c r="S6" s="140" t="n"/>
      <c r="T6" s="140" t="n"/>
      <c r="U6" s="113" t="n"/>
      <c r="V6" s="112" t="n"/>
      <c r="W6" s="140" t="n"/>
      <c r="X6" s="140" t="n"/>
      <c r="Y6" s="113" t="n"/>
      <c r="Z6" s="112" t="n"/>
      <c r="AA6" s="140" t="n"/>
      <c r="AB6" s="140" t="n"/>
      <c r="AC6" s="113" t="n"/>
      <c r="AD6" s="112" t="n"/>
      <c r="AE6" s="140" t="n"/>
      <c r="AF6" s="140" t="n"/>
      <c r="AG6" s="113" t="n"/>
    </row>
    <row r="7" ht="21.75" customHeight="1" s="123">
      <c r="A7" s="152" t="inlineStr">
        <is>
          <t>UBIC. EN DEPOSITO LOCATION IN DEPOSITS:</t>
        </is>
      </c>
      <c r="B7" s="105" t="n"/>
      <c r="C7" s="105" t="n"/>
      <c r="D7" s="142" t="n"/>
      <c r="E7" s="105" t="n"/>
      <c r="F7" s="105" t="n"/>
      <c r="G7" s="105" t="n"/>
      <c r="H7" s="106" t="n"/>
      <c r="I7" s="147" t="inlineStr">
        <is>
          <t>PRODUCTO / PRODUCT:</t>
        </is>
      </c>
      <c r="J7" s="105" t="n"/>
      <c r="K7" s="105" t="n"/>
      <c r="L7" s="154" t="n"/>
      <c r="M7" s="105" t="n"/>
      <c r="N7" s="105" t="n"/>
      <c r="O7" s="105" t="n"/>
      <c r="P7" s="106" t="n"/>
      <c r="R7" s="152" t="inlineStr">
        <is>
          <t>UBIC. EN DEPOSITO LOCATION IN DEPOSITS:</t>
        </is>
      </c>
      <c r="S7" s="105" t="n"/>
      <c r="T7" s="105" t="n"/>
      <c r="U7" s="142" t="n"/>
      <c r="V7" s="105" t="n"/>
      <c r="W7" s="105" t="n"/>
      <c r="X7" s="105" t="n"/>
      <c r="Y7" s="106" t="n"/>
      <c r="Z7" s="147" t="inlineStr">
        <is>
          <t>PRODUCTO / PRODUCT:</t>
        </is>
      </c>
      <c r="AA7" s="105" t="n"/>
      <c r="AB7" s="105" t="n"/>
      <c r="AC7" s="154" t="n"/>
      <c r="AD7" s="105" t="n"/>
      <c r="AE7" s="105" t="n"/>
      <c r="AF7" s="105" t="n"/>
      <c r="AG7" s="106" t="n"/>
    </row>
    <row r="8" ht="19.5" customHeight="1" s="123">
      <c r="A8" s="152" t="inlineStr">
        <is>
          <t>PROVEEDOR SUPPLIER:</t>
        </is>
      </c>
      <c r="B8" s="105" t="n"/>
      <c r="C8" s="82" t="n"/>
      <c r="D8" s="144" t="n"/>
      <c r="E8" s="105" t="n"/>
      <c r="F8" s="105" t="n"/>
      <c r="G8" s="105" t="n"/>
      <c r="H8" s="106" t="n"/>
      <c r="I8" s="155">
        <f>VLOOKUP(Auxiliar!B1,Auxiliar!A3:AI647,29,FALSE)</f>
        <v/>
      </c>
      <c r="J8" s="105" t="n"/>
      <c r="K8" s="105" t="n"/>
      <c r="L8" s="156" t="inlineStr">
        <is>
          <t>REV. PRINT</t>
        </is>
      </c>
      <c r="M8" s="105" t="n"/>
      <c r="N8" s="148">
        <f>VLOOKUP(Auxiliar!B1,Auxiliar!A3:AI647,30,FALSE)</f>
        <v/>
      </c>
      <c r="O8" s="105" t="n"/>
      <c r="P8" s="106" t="n"/>
      <c r="R8" s="152" t="inlineStr">
        <is>
          <t>PROVEEDOR SUPPLIER:</t>
        </is>
      </c>
      <c r="S8" s="105" t="n"/>
      <c r="T8" s="82" t="n"/>
      <c r="U8" s="144" t="n"/>
      <c r="V8" s="105" t="n"/>
      <c r="W8" s="105" t="n"/>
      <c r="X8" s="105" t="n"/>
      <c r="Y8" s="106" t="n"/>
      <c r="Z8" s="155">
        <f>VLOOKUP(Auxiliar!B1,Auxiliar!A3:AI647,29,FALSE)</f>
        <v/>
      </c>
      <c r="AA8" s="105" t="n"/>
      <c r="AB8" s="105" t="n"/>
      <c r="AC8" s="156" t="inlineStr">
        <is>
          <t>REV. PRINT</t>
        </is>
      </c>
      <c r="AD8" s="105" t="n"/>
      <c r="AE8" s="148">
        <f>VLOOKUP(Auxiliar!B1,Auxiliar!A3:AI647,30,FALSE)</f>
        <v/>
      </c>
      <c r="AF8" s="105" t="n"/>
      <c r="AG8" s="106" t="n"/>
    </row>
    <row r="9" ht="22.5" customHeight="1" s="123">
      <c r="A9" s="132" t="inlineStr">
        <is>
          <t xml:space="preserve">LUGAR DE INSPEC. 
NAME OF INSPECTION FACILITY: </t>
        </is>
      </c>
      <c r="B9" s="105" t="n"/>
      <c r="C9" s="105" t="n"/>
      <c r="D9" s="104" t="inlineStr">
        <is>
          <t>LABORATORIO BPB</t>
        </is>
      </c>
      <c r="E9" s="105" t="n"/>
      <c r="F9" s="105" t="n"/>
      <c r="G9" s="105" t="n"/>
      <c r="H9" s="106" t="n"/>
      <c r="I9" s="131" t="inlineStr">
        <is>
          <t>CRITERIO DE MUESTRA / SAMPLE DISCRETION:</t>
        </is>
      </c>
      <c r="J9" s="105" t="n"/>
      <c r="K9" s="105" t="n"/>
      <c r="L9" s="24" t="n"/>
      <c r="M9" s="24" t="n"/>
      <c r="N9" s="125" t="inlineStr">
        <is>
          <t>Prod.Armado 
           Partes</t>
        </is>
      </c>
      <c r="O9" s="105" t="n"/>
      <c r="P9" s="25" t="n"/>
      <c r="R9" s="132" t="inlineStr">
        <is>
          <t xml:space="preserve">LUGAR DE INSPEC. 
NAME OF INSPECTION FACILITY: </t>
        </is>
      </c>
      <c r="S9" s="105" t="n"/>
      <c r="T9" s="105" t="n"/>
      <c r="U9" s="104" t="inlineStr">
        <is>
          <t>LABORATORIO BPB</t>
        </is>
      </c>
      <c r="V9" s="105" t="n"/>
      <c r="W9" s="105" t="n"/>
      <c r="X9" s="105" t="n"/>
      <c r="Y9" s="106" t="n"/>
      <c r="Z9" s="131" t="inlineStr">
        <is>
          <t>CRITERIO DE MUESTRA / SAMPLE DISCRETION:</t>
        </is>
      </c>
      <c r="AA9" s="105" t="n"/>
      <c r="AB9" s="105" t="n"/>
      <c r="AC9" s="24" t="n"/>
      <c r="AD9" s="24" t="n"/>
      <c r="AE9" s="125" t="inlineStr">
        <is>
          <t>Prod.Armado 
           Partes</t>
        </is>
      </c>
      <c r="AF9" s="105" t="n"/>
      <c r="AG9" s="25" t="n"/>
    </row>
    <row r="10" ht="18.75" customHeight="1" s="123">
      <c r="A10" s="167" t="inlineStr">
        <is>
          <t>DOC. DE REF.
(PO#/PI#):</t>
        </is>
      </c>
      <c r="B10" s="105" t="n"/>
      <c r="C10" s="105" t="n"/>
      <c r="D10" s="105" t="n"/>
      <c r="E10" s="105" t="n"/>
      <c r="F10" s="105" t="n"/>
      <c r="G10" s="105" t="n"/>
      <c r="H10" s="106" t="n"/>
      <c r="I10" s="151" t="inlineStr">
        <is>
          <t xml:space="preserve">   PARTIDA/
     BATCH:</t>
        </is>
      </c>
      <c r="J10" s="105" t="n"/>
      <c r="K10" s="105" t="n"/>
      <c r="L10" s="105" t="n"/>
      <c r="M10" s="105" t="n"/>
      <c r="N10" s="105" t="n"/>
      <c r="O10" s="105" t="n"/>
      <c r="P10" s="106" t="n"/>
      <c r="R10" s="167" t="inlineStr">
        <is>
          <t>DOC. DE REF.
(PO#/PI#):</t>
        </is>
      </c>
      <c r="S10" s="105" t="n"/>
      <c r="T10" s="105" t="n"/>
      <c r="U10" s="105" t="n"/>
      <c r="V10" s="105" t="n"/>
      <c r="W10" s="105" t="n"/>
      <c r="X10" s="105" t="n"/>
      <c r="Y10" s="106" t="n"/>
      <c r="Z10" s="151" t="inlineStr">
        <is>
          <t xml:space="preserve">   PARTIDA/
     BATCH:</t>
        </is>
      </c>
      <c r="AA10" s="105" t="n"/>
      <c r="AB10" s="105" t="n"/>
      <c r="AC10" s="105" t="n"/>
      <c r="AD10" s="105" t="n"/>
      <c r="AE10" s="105" t="n"/>
      <c r="AF10" s="105" t="n"/>
      <c r="AG10" s="106" t="n"/>
    </row>
    <row r="11" ht="10.5" customHeight="1" s="123">
      <c r="A11" s="110" t="inlineStr">
        <is>
          <t>ITEM</t>
        </is>
      </c>
      <c r="B11" s="161" t="inlineStr">
        <is>
          <t>D.Nominal  NOMINAL DIM.   (mm)</t>
        </is>
      </c>
      <c r="C11" s="161" t="inlineStr">
        <is>
          <t>Instrumento / Instrument
(Codigo)</t>
        </is>
      </c>
      <c r="D11" s="161" t="inlineStr">
        <is>
          <t>Tolerancia Tolerance
 (µm)</t>
        </is>
      </c>
      <c r="E11" s="126" t="inlineStr">
        <is>
          <t>MEDICIONES /ACTUAL READINGS (µm)</t>
        </is>
      </c>
      <c r="F11" s="139" t="n"/>
      <c r="G11" s="139" t="n"/>
      <c r="H11" s="139" t="n"/>
      <c r="I11" s="139" t="n"/>
      <c r="J11" s="139" t="n"/>
      <c r="K11" s="139" t="n"/>
      <c r="L11" s="139" t="n"/>
      <c r="M11" s="139" t="n"/>
      <c r="N11" s="111" t="n"/>
      <c r="O11" s="116" t="inlineStr">
        <is>
          <t>RESULTADO/ RESULT</t>
        </is>
      </c>
      <c r="P11" s="111" t="n"/>
      <c r="R11" s="110" t="inlineStr">
        <is>
          <t>ITEM</t>
        </is>
      </c>
      <c r="S11" s="161" t="inlineStr">
        <is>
          <t>D.Nominal  NOMINAL DIM.   (mm)</t>
        </is>
      </c>
      <c r="T11" s="161" t="inlineStr">
        <is>
          <t>Instrumento / Instrument
(Codigo)</t>
        </is>
      </c>
      <c r="U11" s="161" t="inlineStr">
        <is>
          <t>Tolerancia Tolerance
 (µm)</t>
        </is>
      </c>
      <c r="V11" s="126" t="inlineStr">
        <is>
          <t>MEDICIONES /ACTUAL READINGS (µm)</t>
        </is>
      </c>
      <c r="W11" s="139" t="n"/>
      <c r="X11" s="139" t="n"/>
      <c r="Y11" s="139" t="n"/>
      <c r="Z11" s="139" t="n"/>
      <c r="AA11" s="139" t="n"/>
      <c r="AB11" s="139" t="n"/>
      <c r="AC11" s="139" t="n"/>
      <c r="AD11" s="139" t="n"/>
      <c r="AE11" s="111" t="n"/>
      <c r="AF11" s="116" t="inlineStr">
        <is>
          <t>RESULTADO/ RESULT</t>
        </is>
      </c>
      <c r="AG11" s="111" t="n"/>
    </row>
    <row r="12" ht="9.75" customHeight="1" s="123">
      <c r="A12" s="159" t="n"/>
      <c r="B12" s="159" t="n"/>
      <c r="C12" s="159" t="n"/>
      <c r="D12" s="159" t="n"/>
      <c r="E12" s="112" t="n"/>
      <c r="F12" s="140" t="n"/>
      <c r="G12" s="140" t="n"/>
      <c r="H12" s="140" t="n"/>
      <c r="I12" s="140" t="n"/>
      <c r="J12" s="140" t="n"/>
      <c r="K12" s="140" t="n"/>
      <c r="L12" s="140" t="n"/>
      <c r="M12" s="140" t="n"/>
      <c r="N12" s="113" t="n"/>
      <c r="O12" s="162" t="n"/>
      <c r="P12" s="163" t="n"/>
      <c r="R12" s="159" t="n"/>
      <c r="S12" s="159" t="n"/>
      <c r="T12" s="159" t="n"/>
      <c r="U12" s="159" t="n"/>
      <c r="V12" s="112" t="n"/>
      <c r="W12" s="140" t="n"/>
      <c r="X12" s="140" t="n"/>
      <c r="Y12" s="140" t="n"/>
      <c r="Z12" s="140" t="n"/>
      <c r="AA12" s="140" t="n"/>
      <c r="AB12" s="140" t="n"/>
      <c r="AC12" s="140" t="n"/>
      <c r="AD12" s="140" t="n"/>
      <c r="AE12" s="113" t="n"/>
      <c r="AF12" s="162" t="n"/>
      <c r="AG12" s="163" t="n"/>
    </row>
    <row r="13" ht="14.25" customHeight="1" s="123">
      <c r="A13" s="117" t="n"/>
      <c r="B13" s="117" t="n"/>
      <c r="C13" s="117" t="n"/>
      <c r="D13" s="117" t="n"/>
      <c r="E13" s="110" t="inlineStr">
        <is>
          <t>Nº 1</t>
        </is>
      </c>
      <c r="F13" s="110" t="inlineStr">
        <is>
          <t>Nº 2</t>
        </is>
      </c>
      <c r="G13" s="110" t="inlineStr">
        <is>
          <t>Nº 3</t>
        </is>
      </c>
      <c r="H13" s="110" t="inlineStr">
        <is>
          <t>Nº 4</t>
        </is>
      </c>
      <c r="I13" s="110" t="inlineStr">
        <is>
          <t>Nº 5</t>
        </is>
      </c>
      <c r="J13" s="110" t="inlineStr">
        <is>
          <t>Nº 6</t>
        </is>
      </c>
      <c r="K13" s="110" t="inlineStr">
        <is>
          <t>Nº 7</t>
        </is>
      </c>
      <c r="L13" s="110" t="inlineStr">
        <is>
          <t>Nº 8</t>
        </is>
      </c>
      <c r="M13" s="110" t="inlineStr">
        <is>
          <t>Nº 9</t>
        </is>
      </c>
      <c r="N13" s="110" t="inlineStr">
        <is>
          <t>Nº 10</t>
        </is>
      </c>
      <c r="O13" s="112" t="n"/>
      <c r="P13" s="113" t="n"/>
      <c r="R13" s="117" t="n"/>
      <c r="S13" s="117" t="n"/>
      <c r="T13" s="117" t="n"/>
      <c r="U13" s="117" t="n"/>
      <c r="V13" s="110" t="inlineStr">
        <is>
          <t>Nº 1</t>
        </is>
      </c>
      <c r="W13" s="110" t="inlineStr">
        <is>
          <t>Nº 2</t>
        </is>
      </c>
      <c r="X13" s="110" t="inlineStr">
        <is>
          <t>Nº 3</t>
        </is>
      </c>
      <c r="Y13" s="110" t="inlineStr">
        <is>
          <t>Nº 4</t>
        </is>
      </c>
      <c r="Z13" s="110" t="inlineStr">
        <is>
          <t>Nº 5</t>
        </is>
      </c>
      <c r="AA13" s="110" t="inlineStr">
        <is>
          <t>Nº 6</t>
        </is>
      </c>
      <c r="AB13" s="110" t="inlineStr">
        <is>
          <t>Nº 7</t>
        </is>
      </c>
      <c r="AC13" s="110" t="inlineStr">
        <is>
          <t>Nº 8</t>
        </is>
      </c>
      <c r="AD13" s="110" t="inlineStr">
        <is>
          <t>Nº 9</t>
        </is>
      </c>
      <c r="AE13" s="110" t="inlineStr">
        <is>
          <t>Nº 10</t>
        </is>
      </c>
      <c r="AF13" s="112" t="n"/>
      <c r="AG13" s="113" t="n"/>
    </row>
    <row r="14" ht="12" customHeight="1" s="123">
      <c r="A14" s="110" t="inlineStr">
        <is>
          <t>C</t>
        </is>
      </c>
      <c r="B14" s="126">
        <f>VLOOKUP(Auxiliar!B1,Auxiliar!A3:AI4998,3,FALSE)</f>
        <v/>
      </c>
      <c r="C14" s="126" t="n"/>
      <c r="D14" s="19">
        <f>VLOOKUP(Auxiliar!B1,Auxiliar!A3:AI4998,4,FALSE)</f>
        <v/>
      </c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18" t="n"/>
      <c r="O14" s="110" t="n"/>
      <c r="P14" s="111" t="n"/>
      <c r="R14" s="110" t="inlineStr">
        <is>
          <t>C</t>
        </is>
      </c>
      <c r="S14" s="126">
        <f>VLOOKUP(Auxiliar!B1,Auxiliar!A3:AI4998,3,FALSE)</f>
        <v/>
      </c>
      <c r="T14" s="126" t="n"/>
      <c r="U14" s="19" t="n">
        <v>0</v>
      </c>
      <c r="V14" s="118" t="n"/>
      <c r="W14" s="118" t="n"/>
      <c r="X14" s="118" t="n"/>
      <c r="Y14" s="118" t="n"/>
      <c r="Z14" s="118" t="n"/>
      <c r="AA14" s="118" t="n"/>
      <c r="AB14" s="118" t="n"/>
      <c r="AC14" s="118" t="n"/>
      <c r="AD14" s="118" t="n"/>
      <c r="AE14" s="118" t="n"/>
      <c r="AF14" s="110" t="n"/>
      <c r="AG14" s="111" t="n"/>
    </row>
    <row r="15" ht="12" customHeight="1" s="123">
      <c r="A15" s="117" t="n"/>
      <c r="B15" s="117" t="n"/>
      <c r="C15" s="117" t="n"/>
      <c r="D15" s="19">
        <f>VLOOKUP(Auxiliar!B1,Auxiliar!A3:AI4998,5,FALSE)</f>
        <v/>
      </c>
      <c r="E15" s="113" t="n"/>
      <c r="F15" s="113" t="n"/>
      <c r="G15" s="113" t="n"/>
      <c r="H15" s="113" t="n"/>
      <c r="I15" s="113" t="n"/>
      <c r="J15" s="113" t="n"/>
      <c r="K15" s="113" t="n"/>
      <c r="L15" s="113" t="n"/>
      <c r="M15" s="113" t="n"/>
      <c r="N15" s="113" t="n"/>
      <c r="O15" s="112" t="n"/>
      <c r="P15" s="113" t="n"/>
      <c r="R15" s="117" t="n"/>
      <c r="S15" s="117" t="n"/>
      <c r="T15" s="117" t="n"/>
      <c r="U15" s="19" t="n">
        <v>-120</v>
      </c>
      <c r="V15" s="113" t="n"/>
      <c r="W15" s="113" t="n"/>
      <c r="X15" s="113" t="n"/>
      <c r="Y15" s="113" t="n"/>
      <c r="Z15" s="113" t="n"/>
      <c r="AA15" s="113" t="n"/>
      <c r="AB15" s="113" t="n"/>
      <c r="AC15" s="113" t="n"/>
      <c r="AD15" s="113" t="n"/>
      <c r="AE15" s="113" t="n"/>
      <c r="AF15" s="112" t="n"/>
      <c r="AG15" s="113" t="n"/>
    </row>
    <row r="16" ht="12" customHeight="1" s="123">
      <c r="A16" s="149" t="inlineStr">
        <is>
          <t>D</t>
        </is>
      </c>
      <c r="B16" s="126">
        <f>VLOOKUP(Auxiliar!B1,Auxiliar!A3:AI4998,6,FALSE)</f>
        <v/>
      </c>
      <c r="C16" s="126" t="n"/>
      <c r="D16" s="19">
        <f>VLOOKUP(Auxiliar!B1,Auxiliar!A3:AI4998,7,FALSE)</f>
        <v/>
      </c>
      <c r="E16" s="118" t="n"/>
      <c r="F16" s="118" t="n"/>
      <c r="G16" s="118" t="n"/>
      <c r="H16" s="118" t="n"/>
      <c r="I16" s="118" t="n"/>
      <c r="J16" s="118" t="n"/>
      <c r="K16" s="118" t="n"/>
      <c r="L16" s="118" t="n"/>
      <c r="M16" s="118" t="n"/>
      <c r="N16" s="118" t="n"/>
      <c r="O16" s="110" t="n"/>
      <c r="P16" s="111" t="n"/>
      <c r="R16" s="149" t="inlineStr">
        <is>
          <t>D</t>
        </is>
      </c>
      <c r="S16" s="126">
        <f>VLOOKUP(Auxiliar!B1,Auxiliar!A3:AI4998,6,FALSE)</f>
        <v/>
      </c>
      <c r="T16" s="126" t="n"/>
      <c r="U16" s="19">
        <f>VLOOKUP(Auxiliar!B1,Auxiliar!A3:AI4998,7,FALSE)</f>
        <v/>
      </c>
      <c r="V16" s="118" t="n"/>
      <c r="W16" s="118" t="n"/>
      <c r="X16" s="118" t="n"/>
      <c r="Y16" s="118" t="n"/>
      <c r="Z16" s="118" t="n"/>
      <c r="AA16" s="118" t="n"/>
      <c r="AB16" s="118" t="n"/>
      <c r="AC16" s="118" t="n"/>
      <c r="AD16" s="118" t="n"/>
      <c r="AE16" s="118" t="n"/>
      <c r="AF16" s="110" t="n"/>
      <c r="AG16" s="111" t="n"/>
    </row>
    <row r="17" ht="12" customHeight="1" s="123">
      <c r="A17" s="117" t="n"/>
      <c r="B17" s="117" t="n"/>
      <c r="C17" s="117" t="n"/>
      <c r="D17" s="19">
        <f>VLOOKUP(Auxiliar!B1,Auxiliar!A3:AI6488,8,FALSE)</f>
        <v/>
      </c>
      <c r="E17" s="113" t="n"/>
      <c r="F17" s="113" t="n"/>
      <c r="G17" s="113" t="n"/>
      <c r="H17" s="113" t="n"/>
      <c r="I17" s="113" t="n"/>
      <c r="J17" s="113" t="n"/>
      <c r="K17" s="113" t="n"/>
      <c r="L17" s="113" t="n"/>
      <c r="M17" s="113" t="n"/>
      <c r="N17" s="113" t="n"/>
      <c r="O17" s="112" t="n"/>
      <c r="P17" s="113" t="n"/>
      <c r="R17" s="117" t="n"/>
      <c r="S17" s="117" t="n"/>
      <c r="T17" s="117" t="n"/>
      <c r="U17" s="19">
        <f>VLOOKUP(Auxiliar!B1,Auxiliar!A3:AI6488,8,FALSE)</f>
        <v/>
      </c>
      <c r="V17" s="113" t="n"/>
      <c r="W17" s="113" t="n"/>
      <c r="X17" s="113" t="n"/>
      <c r="Y17" s="113" t="n"/>
      <c r="Z17" s="113" t="n"/>
      <c r="AA17" s="113" t="n"/>
      <c r="AB17" s="113" t="n"/>
      <c r="AC17" s="113" t="n"/>
      <c r="AD17" s="113" t="n"/>
      <c r="AE17" s="113" t="n"/>
      <c r="AF17" s="112" t="n"/>
      <c r="AG17" s="113" t="n"/>
    </row>
    <row r="18" ht="12" customHeight="1" s="123">
      <c r="A18" s="149" t="inlineStr">
        <is>
          <t>B</t>
        </is>
      </c>
      <c r="B18" s="126">
        <f>VLOOKUP(Auxiliar!B1,Auxiliar!A3:AI4998,9,FALSE)</f>
        <v/>
      </c>
      <c r="C18" s="126" t="n"/>
      <c r="D18" s="19">
        <f>VLOOKUP(Auxiliar!B1,Auxiliar!A3:AI6488,10,FALSE)</f>
        <v/>
      </c>
      <c r="E18" s="124" t="n"/>
      <c r="F18" s="124" t="n"/>
      <c r="G18" s="124" t="n"/>
      <c r="H18" s="124" t="n"/>
      <c r="I18" s="124" t="n"/>
      <c r="J18" s="124" t="n"/>
      <c r="K18" s="124" t="n"/>
      <c r="L18" s="124" t="n"/>
      <c r="M18" s="124" t="n"/>
      <c r="N18" s="124" t="n"/>
      <c r="O18" s="114" t="n"/>
      <c r="P18" s="111" t="n"/>
      <c r="R18" s="149" t="inlineStr">
        <is>
          <t>B</t>
        </is>
      </c>
      <c r="S18" s="126">
        <f>VLOOKUP(Auxiliar!B1,Auxiliar!A3:AI4998,9,FALSE)</f>
        <v/>
      </c>
      <c r="T18" s="126" t="n"/>
      <c r="U18" s="19">
        <f>VLOOKUP(Auxiliar!B1,Auxiliar!A3:AI6488,10,FALSE)</f>
        <v/>
      </c>
      <c r="V18" s="124" t="n"/>
      <c r="W18" s="124" t="n"/>
      <c r="X18" s="124" t="n"/>
      <c r="Y18" s="124" t="n"/>
      <c r="Z18" s="124" t="n"/>
      <c r="AA18" s="124" t="n"/>
      <c r="AB18" s="124" t="n"/>
      <c r="AC18" s="124" t="n"/>
      <c r="AD18" s="124" t="n"/>
      <c r="AE18" s="124" t="n"/>
      <c r="AF18" s="114" t="n"/>
      <c r="AG18" s="111" t="n"/>
    </row>
    <row r="19" ht="12" customHeight="1" s="123">
      <c r="A19" s="117" t="n"/>
      <c r="B19" s="117" t="n"/>
      <c r="C19" s="117" t="n"/>
      <c r="D19" s="19">
        <f>VLOOKUP(Auxiliar!B1,Auxiliar!A3:AI6488,11,FALSE)</f>
        <v/>
      </c>
      <c r="E19" s="113" t="n"/>
      <c r="F19" s="113" t="n"/>
      <c r="G19" s="113" t="n"/>
      <c r="H19" s="113" t="n"/>
      <c r="I19" s="113" t="n"/>
      <c r="J19" s="113" t="n"/>
      <c r="K19" s="113" t="n"/>
      <c r="L19" s="113" t="n"/>
      <c r="M19" s="113" t="n"/>
      <c r="N19" s="113" t="n"/>
      <c r="O19" s="112" t="n"/>
      <c r="P19" s="113" t="n"/>
      <c r="R19" s="117" t="n"/>
      <c r="S19" s="117" t="n"/>
      <c r="T19" s="117" t="n"/>
      <c r="U19" s="19">
        <f>VLOOKUP(Auxiliar!B1,Auxiliar!A3:AI6488,11,FALSE)</f>
        <v/>
      </c>
      <c r="V19" s="113" t="n"/>
      <c r="W19" s="113" t="n"/>
      <c r="X19" s="113" t="n"/>
      <c r="Y19" s="113" t="n"/>
      <c r="Z19" s="113" t="n"/>
      <c r="AA19" s="113" t="n"/>
      <c r="AB19" s="113" t="n"/>
      <c r="AC19" s="113" t="n"/>
      <c r="AD19" s="113" t="n"/>
      <c r="AE19" s="113" t="n"/>
      <c r="AF19" s="112" t="n"/>
      <c r="AG19" s="113" t="n"/>
    </row>
    <row r="20" ht="12" customHeight="1" s="123">
      <c r="A20" s="149" t="inlineStr">
        <is>
          <t>d</t>
        </is>
      </c>
      <c r="B20" s="126">
        <f>VLOOKUP(Auxiliar!B1,Auxiliar!A3:AI4998,12,FALSE)</f>
        <v/>
      </c>
      <c r="C20" s="126" t="n"/>
      <c r="D20" s="19">
        <f>VLOOKUP(Auxiliar!B1,Auxiliar!A3:AI6488,13,FALSE)</f>
        <v/>
      </c>
      <c r="E20" s="124" t="n"/>
      <c r="F20" s="124" t="n"/>
      <c r="G20" s="124" t="n"/>
      <c r="H20" s="124" t="n"/>
      <c r="I20" s="124" t="n"/>
      <c r="J20" s="124" t="n"/>
      <c r="K20" s="124" t="n"/>
      <c r="L20" s="124" t="n"/>
      <c r="M20" s="124" t="n"/>
      <c r="N20" s="124" t="n"/>
      <c r="O20" s="114" t="n"/>
      <c r="P20" s="111" t="n"/>
      <c r="R20" s="149" t="inlineStr">
        <is>
          <t>d</t>
        </is>
      </c>
      <c r="S20" s="126">
        <f>VLOOKUP(Auxiliar!B1,Auxiliar!A3:AI4998,12,FALSE)</f>
        <v/>
      </c>
      <c r="T20" s="126" t="n"/>
      <c r="U20" s="19">
        <f>VLOOKUP(Auxiliar!B1,Auxiliar!A3:AI6488,13,FALSE)</f>
        <v/>
      </c>
      <c r="V20" s="124" t="n"/>
      <c r="W20" s="124" t="n"/>
      <c r="X20" s="124" t="n"/>
      <c r="Y20" s="124" t="n"/>
      <c r="Z20" s="124" t="n"/>
      <c r="AA20" s="124" t="n"/>
      <c r="AB20" s="124" t="n"/>
      <c r="AC20" s="124" t="n"/>
      <c r="AD20" s="124" t="n"/>
      <c r="AE20" s="124" t="n"/>
      <c r="AF20" s="114" t="n"/>
      <c r="AG20" s="111" t="n"/>
    </row>
    <row r="21" ht="12" customHeight="1" s="123">
      <c r="A21" s="117" t="n"/>
      <c r="B21" s="117" t="n"/>
      <c r="C21" s="117" t="n"/>
      <c r="D21" s="19">
        <f>VLOOKUP(Auxiliar!B1,Auxiliar!A3:AI6488,14,FALSE)</f>
        <v/>
      </c>
      <c r="E21" s="113" t="n"/>
      <c r="F21" s="113" t="n"/>
      <c r="G21" s="113" t="n"/>
      <c r="H21" s="113" t="n"/>
      <c r="I21" s="113" t="n"/>
      <c r="J21" s="113" t="n"/>
      <c r="K21" s="113" t="n"/>
      <c r="L21" s="113" t="n"/>
      <c r="M21" s="113" t="n"/>
      <c r="N21" s="113" t="n"/>
      <c r="O21" s="112" t="n"/>
      <c r="P21" s="113" t="n"/>
      <c r="R21" s="117" t="n"/>
      <c r="S21" s="117" t="n"/>
      <c r="T21" s="117" t="n"/>
      <c r="U21" s="19">
        <f>VLOOKUP(Auxiliar!B1,Auxiliar!A3:AI6488,14,FALSE)</f>
        <v/>
      </c>
      <c r="V21" s="113" t="n"/>
      <c r="W21" s="113" t="n"/>
      <c r="X21" s="113" t="n"/>
      <c r="Y21" s="113" t="n"/>
      <c r="Z21" s="113" t="n"/>
      <c r="AA21" s="113" t="n"/>
      <c r="AB21" s="113" t="n"/>
      <c r="AC21" s="113" t="n"/>
      <c r="AD21" s="113" t="n"/>
      <c r="AE21" s="113" t="n"/>
      <c r="AF21" s="112" t="n"/>
      <c r="AG21" s="113" t="n"/>
    </row>
    <row r="22" ht="12" customHeight="1" s="123">
      <c r="A22" s="149" t="inlineStr">
        <is>
          <t>GA</t>
        </is>
      </c>
      <c r="B22" s="126">
        <f>VLOOKUP(Auxiliar!B1,Auxiliar!A3:AI4998,18,FALSE)</f>
        <v/>
      </c>
      <c r="C22" s="126" t="n"/>
      <c r="D22" s="19">
        <f>VLOOKUP(Auxiliar!B1,Auxiliar!A3:AI6488,19,FALSE)</f>
        <v/>
      </c>
      <c r="E22" s="17" t="n"/>
      <c r="F22" s="18" t="n"/>
      <c r="G22" s="18" t="n"/>
      <c r="H22" s="18" t="n"/>
      <c r="I22" s="18" t="n"/>
      <c r="J22" s="18" t="n"/>
      <c r="K22" s="18" t="n"/>
      <c r="L22" s="18" t="n"/>
      <c r="M22" s="16" t="n"/>
      <c r="N22" s="18" t="n"/>
      <c r="O22" s="119" t="n"/>
      <c r="P22" s="111" t="n"/>
      <c r="R22" s="149" t="inlineStr">
        <is>
          <t>GA</t>
        </is>
      </c>
      <c r="S22" s="126">
        <f>VLOOKUP(Auxiliar!B1,Auxiliar!A3:AI4998,18,FALSE)</f>
        <v/>
      </c>
      <c r="T22" s="126" t="n"/>
      <c r="U22" s="19">
        <f>VLOOKUP(Auxiliar!B1,Auxiliar!A3:AI6488,19,FALSE)</f>
        <v/>
      </c>
      <c r="V22" s="17" t="n"/>
      <c r="W22" s="18" t="n"/>
      <c r="X22" s="18" t="n"/>
      <c r="Y22" s="18" t="n"/>
      <c r="Z22" s="18" t="n"/>
      <c r="AA22" s="18" t="n"/>
      <c r="AB22" s="18" t="n"/>
      <c r="AC22" s="18" t="n"/>
      <c r="AD22" s="16" t="n"/>
      <c r="AE22" s="18" t="n"/>
      <c r="AF22" s="119" t="n"/>
      <c r="AG22" s="111" t="n"/>
    </row>
    <row r="23" ht="12" customHeight="1" s="123">
      <c r="A23" s="117" t="n"/>
      <c r="B23" s="117" t="n"/>
      <c r="C23" s="117" t="n"/>
      <c r="D23" s="19">
        <f>VLOOKUP(Auxiliar!B1,Auxiliar!A3:AI6488,20,FALSE)</f>
        <v/>
      </c>
      <c r="E23" s="17" t="n"/>
      <c r="F23" s="18" t="n"/>
      <c r="G23" s="18" t="n"/>
      <c r="H23" s="18" t="n"/>
      <c r="I23" s="18" t="n"/>
      <c r="J23" s="18" t="n"/>
      <c r="K23" s="18" t="n"/>
      <c r="L23" s="18" t="n"/>
      <c r="M23" s="16" t="n"/>
      <c r="N23" s="18" t="n"/>
      <c r="O23" s="112" t="n"/>
      <c r="P23" s="113" t="n"/>
      <c r="R23" s="117" t="n"/>
      <c r="S23" s="117" t="n"/>
      <c r="T23" s="117" t="n"/>
      <c r="U23" s="19">
        <f>VLOOKUP(Auxiliar!B1,Auxiliar!A3:AI6488,20,FALSE)</f>
        <v/>
      </c>
      <c r="V23" s="17" t="n"/>
      <c r="W23" s="18" t="n"/>
      <c r="X23" s="18" t="n"/>
      <c r="Y23" s="18" t="n"/>
      <c r="Z23" s="18" t="n"/>
      <c r="AA23" s="18" t="n"/>
      <c r="AB23" s="18" t="n"/>
      <c r="AC23" s="18" t="n"/>
      <c r="AD23" s="16" t="n"/>
      <c r="AE23" s="18" t="n"/>
      <c r="AF23" s="112" t="n"/>
      <c r="AG23" s="113" t="n"/>
    </row>
    <row r="24" ht="12" customHeight="1" s="123">
      <c r="A24" s="149" t="inlineStr">
        <is>
          <t>GR</t>
        </is>
      </c>
      <c r="B24" s="126">
        <f>VLOOKUP(Auxiliar!B1,Auxiliar!A3:AI4998,15,FALSE)</f>
        <v/>
      </c>
      <c r="C24" s="126" t="n"/>
      <c r="D24" s="19">
        <f>VLOOKUP(Auxiliar!B1,Auxiliar!A3:AI6488,16,FALSE)</f>
        <v/>
      </c>
      <c r="E24" s="124" t="n"/>
      <c r="F24" s="120" t="n"/>
      <c r="G24" s="120" t="n"/>
      <c r="H24" s="120" t="n"/>
      <c r="I24" s="120" t="n"/>
      <c r="J24" s="120" t="n"/>
      <c r="K24" s="120" t="n"/>
      <c r="L24" s="120" t="n"/>
      <c r="M24" s="110" t="n"/>
      <c r="N24" s="120" t="n"/>
      <c r="O24" s="119" t="n"/>
      <c r="P24" s="111" t="n"/>
      <c r="R24" s="149" t="inlineStr">
        <is>
          <t>GR</t>
        </is>
      </c>
      <c r="S24" s="126">
        <f>VLOOKUP(Auxiliar!B1,Auxiliar!A3:AI4998,15,FALSE)</f>
        <v/>
      </c>
      <c r="T24" s="126" t="n"/>
      <c r="U24" s="19">
        <f>VLOOKUP(Auxiliar!B1,Auxiliar!A3:AI6488,16,FALSE)</f>
        <v/>
      </c>
      <c r="V24" s="124" t="n"/>
      <c r="W24" s="120" t="n"/>
      <c r="X24" s="120" t="n"/>
      <c r="Y24" s="120" t="n"/>
      <c r="Z24" s="120" t="n"/>
      <c r="AA24" s="120" t="n"/>
      <c r="AB24" s="120" t="n"/>
      <c r="AC24" s="120" t="n"/>
      <c r="AD24" s="110" t="n"/>
      <c r="AE24" s="120" t="n"/>
      <c r="AF24" s="119" t="n"/>
      <c r="AG24" s="111" t="n"/>
    </row>
    <row r="25" ht="12" customHeight="1" s="123">
      <c r="A25" s="117" t="n"/>
      <c r="B25" s="117" t="n"/>
      <c r="C25" s="117" t="n"/>
      <c r="D25" s="19">
        <f>VLOOKUP(Auxiliar!B1,Auxiliar!A3:AI6488,17,FALSE)</f>
        <v/>
      </c>
      <c r="E25" s="113" t="n"/>
      <c r="F25" s="117" t="n"/>
      <c r="G25" s="117" t="n"/>
      <c r="H25" s="117" t="n"/>
      <c r="I25" s="117" t="n"/>
      <c r="J25" s="117" t="n"/>
      <c r="K25" s="117" t="n"/>
      <c r="L25" s="117" t="n"/>
      <c r="M25" s="117" t="n"/>
      <c r="N25" s="117" t="n"/>
      <c r="O25" s="112" t="n"/>
      <c r="P25" s="113" t="n"/>
      <c r="R25" s="117" t="n"/>
      <c r="S25" s="117" t="n"/>
      <c r="T25" s="117" t="n"/>
      <c r="U25" s="19">
        <f>VLOOKUP(Auxiliar!B1,Auxiliar!A3:AI6488,17,FALSE)</f>
        <v/>
      </c>
      <c r="V25" s="113" t="n"/>
      <c r="W25" s="117" t="n"/>
      <c r="X25" s="117" t="n"/>
      <c r="Y25" s="117" t="n"/>
      <c r="Z25" s="117" t="n"/>
      <c r="AA25" s="117" t="n"/>
      <c r="AB25" s="117" t="n"/>
      <c r="AC25" s="117" t="n"/>
      <c r="AD25" s="117" t="n"/>
      <c r="AE25" s="117" t="n"/>
      <c r="AF25" s="112" t="n"/>
      <c r="AG25" s="113" t="n"/>
    </row>
    <row r="26" ht="21.75" customHeight="1" s="123">
      <c r="A26" s="110" t="inlineStr">
        <is>
          <t xml:space="preserve"> RUIDO / NOISE</t>
        </is>
      </c>
      <c r="B26" s="105" t="n"/>
      <c r="C26" s="105" t="n"/>
      <c r="D26" s="106" t="n"/>
      <c r="E26" s="114" t="n"/>
      <c r="F26" s="120" t="n"/>
      <c r="G26" s="120" t="n"/>
      <c r="H26" s="120" t="n"/>
      <c r="I26" s="120" t="n"/>
      <c r="J26" s="120" t="n"/>
      <c r="K26" s="120" t="n"/>
      <c r="L26" s="120" t="n"/>
      <c r="M26" s="110" t="n"/>
      <c r="N26" s="120" t="n"/>
      <c r="O26" s="23" t="n"/>
      <c r="P26" s="106" t="n"/>
      <c r="R26" s="110" t="inlineStr">
        <is>
          <t xml:space="preserve"> RUIDO / NOISE</t>
        </is>
      </c>
      <c r="S26" s="105" t="n"/>
      <c r="T26" s="105" t="n"/>
      <c r="U26" s="106" t="n"/>
      <c r="V26" s="114" t="n"/>
      <c r="W26" s="120" t="n"/>
      <c r="X26" s="120" t="n"/>
      <c r="Y26" s="120" t="n"/>
      <c r="Z26" s="120" t="n"/>
      <c r="AA26" s="120" t="n"/>
      <c r="AB26" s="120" t="n"/>
      <c r="AC26" s="120" t="n"/>
      <c r="AD26" s="110" t="n"/>
      <c r="AE26" s="120" t="n"/>
      <c r="AF26" s="23" t="n"/>
      <c r="AG26" s="106" t="n"/>
    </row>
    <row r="27" ht="14.1" customHeight="1" s="123">
      <c r="A27" s="158" t="inlineStr">
        <is>
          <t>DUREZA  Hardness (HRC)</t>
        </is>
      </c>
      <c r="B27" s="116" t="inlineStr">
        <is>
          <t>ARO INTERIOR / INNER RING</t>
        </is>
      </c>
      <c r="C27" s="116" t="n"/>
      <c r="D27" s="19">
        <f>VLOOKUP(Auxiliar!B1,Auxiliar!A3:AI6488,21,FALSE)</f>
        <v/>
      </c>
      <c r="E27" s="124" t="n"/>
      <c r="F27" s="120" t="n"/>
      <c r="G27" s="120" t="n"/>
      <c r="H27" s="120" t="n"/>
      <c r="I27" s="120" t="n"/>
      <c r="J27" s="120" t="n"/>
      <c r="K27" s="120" t="n"/>
      <c r="L27" s="120" t="n"/>
      <c r="M27" s="110" t="n"/>
      <c r="N27" s="120" t="n"/>
      <c r="O27" s="119" t="n"/>
      <c r="P27" s="111" t="n"/>
      <c r="R27" s="158" t="inlineStr">
        <is>
          <t>DUREZA  Hardness (HRC)</t>
        </is>
      </c>
      <c r="S27" s="116" t="inlineStr">
        <is>
          <t>ARO INTERIOR / INNER RING</t>
        </is>
      </c>
      <c r="T27" s="116" t="n"/>
      <c r="U27" s="19">
        <f>VLOOKUP(Auxiliar!B1,Auxiliar!A3:AI6488,21,FALSE)</f>
        <v/>
      </c>
      <c r="V27" s="124" t="n"/>
      <c r="W27" s="120" t="n"/>
      <c r="X27" s="120" t="n"/>
      <c r="Y27" s="120" t="n"/>
      <c r="Z27" s="120" t="n"/>
      <c r="AA27" s="120" t="n"/>
      <c r="AB27" s="120" t="n"/>
      <c r="AC27" s="120" t="n"/>
      <c r="AD27" s="110" t="n"/>
      <c r="AE27" s="120" t="n"/>
      <c r="AF27" s="119" t="n"/>
      <c r="AG27" s="111" t="n"/>
    </row>
    <row r="28" ht="14.1" customHeight="1" s="123">
      <c r="A28" s="159" t="n"/>
      <c r="B28" s="117" t="n"/>
      <c r="C28" s="117" t="n"/>
      <c r="D28" s="19">
        <f>VLOOKUP(Auxiliar!B1,Auxiliar!A3:AI6488,22,FALSE)</f>
        <v/>
      </c>
      <c r="E28" s="113" t="n"/>
      <c r="F28" s="117" t="n"/>
      <c r="G28" s="117" t="n"/>
      <c r="H28" s="117" t="n"/>
      <c r="I28" s="117" t="n"/>
      <c r="J28" s="117" t="n"/>
      <c r="K28" s="117" t="n"/>
      <c r="L28" s="117" t="n"/>
      <c r="M28" s="117" t="n"/>
      <c r="N28" s="117" t="n"/>
      <c r="O28" s="112" t="n"/>
      <c r="P28" s="113" t="n"/>
      <c r="R28" s="159" t="n"/>
      <c r="S28" s="117" t="n"/>
      <c r="T28" s="117" t="n"/>
      <c r="U28" s="19">
        <f>VLOOKUP(Auxiliar!B1,Auxiliar!A3:AI6488,22,FALSE)</f>
        <v/>
      </c>
      <c r="V28" s="113" t="n"/>
      <c r="W28" s="117" t="n"/>
      <c r="X28" s="117" t="n"/>
      <c r="Y28" s="117" t="n"/>
      <c r="Z28" s="117" t="n"/>
      <c r="AA28" s="117" t="n"/>
      <c r="AB28" s="117" t="n"/>
      <c r="AC28" s="117" t="n"/>
      <c r="AD28" s="117" t="n"/>
      <c r="AE28" s="117" t="n"/>
      <c r="AF28" s="112" t="n"/>
      <c r="AG28" s="113" t="n"/>
    </row>
    <row r="29" ht="14.1" customHeight="1" s="123">
      <c r="A29" s="159" t="n"/>
      <c r="B29" s="116" t="inlineStr">
        <is>
          <t>ARO EXTERIOR / OUTER RING</t>
        </is>
      </c>
      <c r="C29" s="116" t="n"/>
      <c r="D29" s="19">
        <f>VLOOKUP(Auxiliar!B1,Auxiliar!A3:AI6488,23,FALSE)</f>
        <v/>
      </c>
      <c r="E29" s="124" t="n"/>
      <c r="F29" s="120" t="n"/>
      <c r="G29" s="120" t="n"/>
      <c r="H29" s="120" t="n"/>
      <c r="I29" s="120" t="n"/>
      <c r="J29" s="120" t="n"/>
      <c r="K29" s="120" t="n"/>
      <c r="L29" s="120" t="n"/>
      <c r="M29" s="110" t="n"/>
      <c r="N29" s="120" t="n"/>
      <c r="O29" s="119" t="n"/>
      <c r="P29" s="111" t="n"/>
      <c r="R29" s="159" t="n"/>
      <c r="S29" s="116" t="inlineStr">
        <is>
          <t>ARO EXTERIOR / OUTER RING</t>
        </is>
      </c>
      <c r="T29" s="116" t="n"/>
      <c r="U29" s="19">
        <f>VLOOKUP(Auxiliar!B1,Auxiliar!A3:AI6488,23,FALSE)</f>
        <v/>
      </c>
      <c r="V29" s="124" t="n"/>
      <c r="W29" s="120" t="n"/>
      <c r="X29" s="120" t="n"/>
      <c r="Y29" s="120" t="n"/>
      <c r="Z29" s="120" t="n"/>
      <c r="AA29" s="120" t="n"/>
      <c r="AB29" s="120" t="n"/>
      <c r="AC29" s="120" t="n"/>
      <c r="AD29" s="110" t="n"/>
      <c r="AE29" s="120" t="n"/>
      <c r="AF29" s="119" t="n"/>
      <c r="AG29" s="111" t="n"/>
    </row>
    <row r="30" ht="13.5" customHeight="1" s="123">
      <c r="A30" s="117" t="n"/>
      <c r="B30" s="117" t="n"/>
      <c r="C30" s="117" t="n"/>
      <c r="D30" s="19">
        <f>VLOOKUP(Auxiliar!B1,Auxiliar!A3:AI6488,24,FALSE)</f>
        <v/>
      </c>
      <c r="E30" s="113" t="n"/>
      <c r="F30" s="117" t="n"/>
      <c r="G30" s="117" t="n"/>
      <c r="H30" s="117" t="n"/>
      <c r="I30" s="117" t="n"/>
      <c r="J30" s="117" t="n"/>
      <c r="K30" s="117" t="n"/>
      <c r="L30" s="117" t="n"/>
      <c r="M30" s="117" t="n"/>
      <c r="N30" s="117" t="n"/>
      <c r="O30" s="112" t="n"/>
      <c r="P30" s="113" t="n"/>
      <c r="R30" s="117" t="n"/>
      <c r="S30" s="117" t="n"/>
      <c r="T30" s="117" t="n"/>
      <c r="U30" s="19">
        <f>VLOOKUP(Auxiliar!B1,Auxiliar!A3:AI6488,24,FALSE)</f>
        <v/>
      </c>
      <c r="V30" s="113" t="n"/>
      <c r="W30" s="117" t="n"/>
      <c r="X30" s="117" t="n"/>
      <c r="Y30" s="117" t="n"/>
      <c r="Z30" s="117" t="n"/>
      <c r="AA30" s="117" t="n"/>
      <c r="AB30" s="117" t="n"/>
      <c r="AC30" s="117" t="n"/>
      <c r="AD30" s="117" t="n"/>
      <c r="AE30" s="117" t="n"/>
      <c r="AF30" s="112" t="n"/>
      <c r="AG30" s="113" t="n"/>
    </row>
    <row r="31" ht="19.5" customHeight="1" s="123">
      <c r="A31" s="160" t="inlineStr">
        <is>
          <t>Ra</t>
        </is>
      </c>
      <c r="B31" s="143" t="inlineStr">
        <is>
          <t>PISTA I.R./ I.R. RACEWAY</t>
        </is>
      </c>
      <c r="C31" s="105" t="n"/>
      <c r="D31" s="106" t="n"/>
      <c r="E31" s="21" t="n"/>
      <c r="F31" s="22" t="n"/>
      <c r="G31" s="22" t="n"/>
      <c r="H31" s="22" t="n"/>
      <c r="I31" s="22" t="n"/>
      <c r="J31" s="22" t="n"/>
      <c r="K31" s="22" t="n"/>
      <c r="L31" s="22" t="n"/>
      <c r="M31" s="83" t="n"/>
      <c r="N31" s="22" t="n"/>
      <c r="O31" s="121" t="n"/>
      <c r="P31" s="106" t="n"/>
      <c r="R31" s="160" t="inlineStr">
        <is>
          <t>Ra</t>
        </is>
      </c>
      <c r="S31" s="143" t="inlineStr">
        <is>
          <t>PISTA I.R./ I.R. RACEWAY</t>
        </is>
      </c>
      <c r="T31" s="105" t="n"/>
      <c r="U31" s="106" t="n"/>
      <c r="V31" s="21" t="n"/>
      <c r="W31" s="22" t="n"/>
      <c r="X31" s="22" t="n"/>
      <c r="Y31" s="22" t="n"/>
      <c r="Z31" s="22" t="n"/>
      <c r="AA31" s="22" t="n"/>
      <c r="AB31" s="22" t="n"/>
      <c r="AC31" s="22" t="n"/>
      <c r="AD31" s="83" t="n"/>
      <c r="AE31" s="22" t="n"/>
      <c r="AF31" s="121" t="n"/>
      <c r="AG31" s="106" t="n"/>
    </row>
    <row r="32" ht="19.5" customHeight="1" s="123">
      <c r="A32" s="159" t="n"/>
      <c r="B32" s="143" t="inlineStr">
        <is>
          <t>PISTA O.R. / O.R. RACEWAY</t>
        </is>
      </c>
      <c r="C32" s="105" t="n"/>
      <c r="D32" s="106" t="n"/>
      <c r="E32" s="21" t="n"/>
      <c r="F32" s="22" t="n"/>
      <c r="G32" s="22" t="n"/>
      <c r="H32" s="22" t="n"/>
      <c r="I32" s="22" t="n"/>
      <c r="J32" s="22" t="n"/>
      <c r="K32" s="22" t="n"/>
      <c r="L32" s="22" t="n"/>
      <c r="M32" s="83" t="n"/>
      <c r="N32" s="22" t="n"/>
      <c r="O32" s="121" t="n"/>
      <c r="P32" s="106" t="n"/>
      <c r="R32" s="159" t="n"/>
      <c r="S32" s="143" t="inlineStr">
        <is>
          <t>PISTA O.R. / O.R. RACEWAY</t>
        </is>
      </c>
      <c r="T32" s="105" t="n"/>
      <c r="U32" s="106" t="n"/>
      <c r="V32" s="21" t="n"/>
      <c r="W32" s="22" t="n"/>
      <c r="X32" s="22" t="n"/>
      <c r="Y32" s="22" t="n"/>
      <c r="Z32" s="22" t="n"/>
      <c r="AA32" s="22" t="n"/>
      <c r="AB32" s="22" t="n"/>
      <c r="AC32" s="22" t="n"/>
      <c r="AD32" s="83" t="n"/>
      <c r="AE32" s="22" t="n"/>
      <c r="AF32" s="121" t="n"/>
      <c r="AG32" s="106" t="n"/>
    </row>
    <row r="33" ht="19.5" customHeight="1" s="123">
      <c r="A33" s="117" t="n"/>
      <c r="B33" s="143" t="inlineStr">
        <is>
          <t>BOLITA / BALL</t>
        </is>
      </c>
      <c r="C33" s="105" t="n"/>
      <c r="D33" s="106" t="n"/>
      <c r="E33" s="21" t="n"/>
      <c r="F33" s="22" t="n"/>
      <c r="G33" s="22" t="n"/>
      <c r="H33" s="22" t="n"/>
      <c r="I33" s="22" t="n"/>
      <c r="J33" s="22" t="n"/>
      <c r="K33" s="22" t="n"/>
      <c r="L33" s="22" t="n"/>
      <c r="M33" s="83" t="n"/>
      <c r="N33" s="22" t="n"/>
      <c r="O33" s="121" t="n"/>
      <c r="P33" s="106" t="n"/>
      <c r="R33" s="117" t="n"/>
      <c r="S33" s="143" t="inlineStr">
        <is>
          <t>BOLITA / BALL</t>
        </is>
      </c>
      <c r="T33" s="105" t="n"/>
      <c r="U33" s="106" t="n"/>
      <c r="V33" s="21" t="n"/>
      <c r="W33" s="22" t="n"/>
      <c r="X33" s="22" t="n"/>
      <c r="Y33" s="22" t="n"/>
      <c r="Z33" s="22" t="n"/>
      <c r="AA33" s="22" t="n"/>
      <c r="AB33" s="22" t="n"/>
      <c r="AC33" s="22" t="n"/>
      <c r="AD33" s="83" t="n"/>
      <c r="AE33" s="22" t="n"/>
      <c r="AF33" s="121" t="n"/>
      <c r="AG33" s="106" t="n"/>
    </row>
    <row r="34" ht="18.75" customHeight="1" s="123">
      <c r="A34" s="110" t="inlineStr">
        <is>
          <t>ESTADO  DE LOS SELLOS / SEAL APPEARANCE</t>
        </is>
      </c>
      <c r="B34" s="105" t="n"/>
      <c r="C34" s="105" t="n"/>
      <c r="D34" s="106" t="n"/>
      <c r="E34" s="114" t="n"/>
      <c r="F34" s="120" t="n"/>
      <c r="G34" s="120" t="n"/>
      <c r="H34" s="120" t="n"/>
      <c r="I34" s="120" t="n"/>
      <c r="J34" s="120" t="n"/>
      <c r="K34" s="120" t="n"/>
      <c r="L34" s="120" t="n"/>
      <c r="M34" s="110" t="n"/>
      <c r="N34" s="120" t="n"/>
      <c r="O34" s="119" t="n"/>
      <c r="P34" s="106" t="n"/>
      <c r="R34" s="110" t="inlineStr">
        <is>
          <t>ESTADO  DE LOS SELLOS / SEAL APPEARANCE</t>
        </is>
      </c>
      <c r="S34" s="105" t="n"/>
      <c r="T34" s="105" t="n"/>
      <c r="U34" s="106" t="n"/>
      <c r="V34" s="114" t="n"/>
      <c r="W34" s="120" t="n"/>
      <c r="X34" s="120" t="n"/>
      <c r="Y34" s="120" t="n"/>
      <c r="Z34" s="120" t="n"/>
      <c r="AA34" s="120" t="n"/>
      <c r="AB34" s="120" t="n"/>
      <c r="AC34" s="120" t="n"/>
      <c r="AD34" s="110" t="n"/>
      <c r="AE34" s="120" t="n"/>
      <c r="AF34" s="119" t="n"/>
      <c r="AG34" s="106" t="n"/>
    </row>
    <row r="35" ht="18.75" customHeight="1" s="123">
      <c r="A35" s="110" t="inlineStr">
        <is>
          <t>ANCLAJE DE SELLOS/  SEAL STACKING TEST</t>
        </is>
      </c>
      <c r="B35" s="105" t="n"/>
      <c r="C35" s="105" t="n"/>
      <c r="D35" s="106" t="n"/>
      <c r="E35" s="114" t="n"/>
      <c r="F35" s="120" t="n"/>
      <c r="G35" s="120" t="n"/>
      <c r="H35" s="120" t="n"/>
      <c r="I35" s="120" t="n"/>
      <c r="J35" s="120" t="n"/>
      <c r="K35" s="120" t="n"/>
      <c r="L35" s="120" t="n"/>
      <c r="M35" s="110" t="n"/>
      <c r="N35" s="120" t="n"/>
      <c r="O35" s="119" t="n"/>
      <c r="P35" s="106" t="n"/>
      <c r="R35" s="110" t="inlineStr">
        <is>
          <t>ANCLAJE DE SELLOS/  SEAL STACKING TEST</t>
        </is>
      </c>
      <c r="S35" s="105" t="n"/>
      <c r="T35" s="105" t="n"/>
      <c r="U35" s="106" t="n"/>
      <c r="V35" s="114" t="n"/>
      <c r="W35" s="120" t="n"/>
      <c r="X35" s="120" t="n"/>
      <c r="Y35" s="120" t="n"/>
      <c r="Z35" s="120" t="n"/>
      <c r="AA35" s="120" t="n"/>
      <c r="AB35" s="120" t="n"/>
      <c r="AC35" s="120" t="n"/>
      <c r="AD35" s="110" t="n"/>
      <c r="AE35" s="120" t="n"/>
      <c r="AF35" s="119" t="n"/>
      <c r="AG35" s="106" t="n"/>
    </row>
    <row r="36" ht="20.1" customHeight="1" s="123">
      <c r="A36" s="110" t="inlineStr">
        <is>
          <t>TORQUE DE SELLLOS /
 SEAL RUNNIG TORQUE</t>
        </is>
      </c>
      <c r="B36" s="111" t="n"/>
      <c r="C36" s="110" t="n"/>
      <c r="D36" s="126">
        <f>VLOOKUP(Auxiliar!B1,Auxiliar!A3:AI6488,27,FALSE)</f>
        <v/>
      </c>
      <c r="E36" s="114" t="n"/>
      <c r="F36" s="114" t="n"/>
      <c r="G36" s="114" t="n"/>
      <c r="H36" s="114" t="n"/>
      <c r="I36" s="114" t="n"/>
      <c r="J36" s="114" t="n"/>
      <c r="K36" s="114" t="n"/>
      <c r="L36" s="114" t="n"/>
      <c r="M36" s="114" t="n"/>
      <c r="N36" s="114" t="n"/>
      <c r="O36" s="114" t="n"/>
      <c r="P36" s="111" t="n"/>
      <c r="R36" s="110" t="inlineStr">
        <is>
          <t>TORQUE DE SELLLOS /
 SEAL RUNNIG TORQUE</t>
        </is>
      </c>
      <c r="S36" s="111" t="n"/>
      <c r="T36" s="110" t="n"/>
      <c r="U36" s="47">
        <f>VLOOKUP(Auxiliar!B1,Auxiliar!A3:AI6488,27,FALSE)</f>
        <v/>
      </c>
      <c r="V36" s="114" t="n"/>
      <c r="W36" s="114" t="n"/>
      <c r="X36" s="114" t="n"/>
      <c r="Y36" s="114" t="n"/>
      <c r="Z36" s="114" t="n"/>
      <c r="AA36" s="114" t="n"/>
      <c r="AB36" s="114" t="n"/>
      <c r="AC36" s="114" t="n"/>
      <c r="AD36" s="114" t="n"/>
      <c r="AE36" s="114" t="n"/>
      <c r="AF36" s="114" t="n"/>
      <c r="AG36" s="111" t="n"/>
    </row>
    <row r="37" ht="20.1" customHeight="1" s="123">
      <c r="A37" s="112" t="n"/>
      <c r="B37" s="113" t="n"/>
      <c r="C37" s="117" t="n"/>
      <c r="D37" s="75">
        <f>VLOOKUP(Auxiliar!B1,Auxiliar!A3:AI6488,28,FALSE)</f>
        <v/>
      </c>
      <c r="E37" s="117" t="n"/>
      <c r="F37" s="117" t="n"/>
      <c r="G37" s="117" t="n"/>
      <c r="H37" s="117" t="n"/>
      <c r="I37" s="117" t="n"/>
      <c r="J37" s="117" t="n"/>
      <c r="K37" s="117" t="n"/>
      <c r="L37" s="117" t="n"/>
      <c r="M37" s="117" t="n"/>
      <c r="N37" s="117" t="n"/>
      <c r="O37" s="112" t="n"/>
      <c r="P37" s="113" t="n"/>
      <c r="R37" s="112" t="n"/>
      <c r="S37" s="113" t="n"/>
      <c r="T37" s="117" t="n"/>
      <c r="U37" s="48">
        <f>VLOOKUP(Auxiliar!B1,Auxiliar!A3:AI6488,28,FALSE)</f>
        <v/>
      </c>
      <c r="V37" s="117" t="n"/>
      <c r="W37" s="117" t="n"/>
      <c r="X37" s="117" t="n"/>
      <c r="Y37" s="117" t="n"/>
      <c r="Z37" s="117" t="n"/>
      <c r="AA37" s="117" t="n"/>
      <c r="AB37" s="117" t="n"/>
      <c r="AC37" s="117" t="n"/>
      <c r="AD37" s="117" t="n"/>
      <c r="AE37" s="117" t="n"/>
      <c r="AF37" s="112" t="n"/>
      <c r="AG37" s="113" t="n"/>
    </row>
    <row r="38" ht="18" customHeight="1" s="123">
      <c r="A38" s="110" t="inlineStr">
        <is>
          <t>GRABADO / MARKING</t>
        </is>
      </c>
      <c r="B38" s="105" t="n"/>
      <c r="C38" s="105" t="n"/>
      <c r="D38" s="106" t="n"/>
      <c r="E38" s="114" t="n"/>
      <c r="F38" s="120" t="n"/>
      <c r="G38" s="120" t="n"/>
      <c r="H38" s="120" t="n"/>
      <c r="I38" s="120" t="n"/>
      <c r="J38" s="120" t="n"/>
      <c r="K38" s="120" t="n"/>
      <c r="L38" s="120" t="n"/>
      <c r="M38" s="110" t="n"/>
      <c r="N38" s="120" t="n"/>
      <c r="O38" s="119" t="n"/>
      <c r="P38" s="106" t="n"/>
      <c r="R38" s="110" t="inlineStr">
        <is>
          <t>GRABADO / MARKING</t>
        </is>
      </c>
      <c r="S38" s="105" t="n"/>
      <c r="T38" s="105" t="n"/>
      <c r="U38" s="106" t="n"/>
      <c r="V38" s="114" t="n"/>
      <c r="W38" s="120" t="n"/>
      <c r="X38" s="120" t="n"/>
      <c r="Y38" s="120" t="n"/>
      <c r="Z38" s="120" t="n"/>
      <c r="AA38" s="120" t="n"/>
      <c r="AB38" s="120" t="n"/>
      <c r="AC38" s="120" t="n"/>
      <c r="AD38" s="110" t="n"/>
      <c r="AE38" s="120" t="n"/>
      <c r="AF38" s="119" t="n"/>
      <c r="AG38" s="106" t="n"/>
    </row>
    <row r="39" ht="26.25" customHeight="1" s="123">
      <c r="A39" s="127" t="inlineStr">
        <is>
          <t>ASPECTO</t>
        </is>
      </c>
      <c r="B39" s="106" t="n"/>
      <c r="C39" s="150" t="inlineStr">
        <is>
          <t xml:space="preserve">* Rayas, Golpes, Oxido, Desprendimiento de material </t>
        </is>
      </c>
      <c r="D39" s="106" t="n"/>
      <c r="E39" s="114" t="n"/>
      <c r="F39" s="120" t="n"/>
      <c r="G39" s="120" t="n"/>
      <c r="H39" s="120" t="n"/>
      <c r="I39" s="120" t="n"/>
      <c r="J39" s="120" t="n"/>
      <c r="K39" s="120" t="n"/>
      <c r="L39" s="120" t="n"/>
      <c r="M39" s="110" t="n"/>
      <c r="N39" s="120" t="n"/>
      <c r="O39" s="119" t="n"/>
      <c r="P39" s="106" t="n"/>
      <c r="R39" s="127" t="inlineStr">
        <is>
          <t>ASPECTO</t>
        </is>
      </c>
      <c r="S39" s="106" t="n"/>
      <c r="T39" s="150" t="inlineStr">
        <is>
          <t xml:space="preserve">* Rayas, Golpes, Oxido, Desprendimiento de material </t>
        </is>
      </c>
      <c r="U39" s="106" t="n"/>
      <c r="V39" s="114" t="n"/>
      <c r="W39" s="120" t="n"/>
      <c r="X39" s="120" t="n"/>
      <c r="Y39" s="120" t="n"/>
      <c r="Z39" s="120" t="n"/>
      <c r="AA39" s="120" t="n"/>
      <c r="AB39" s="120" t="n"/>
      <c r="AC39" s="120" t="n"/>
      <c r="AD39" s="110" t="n"/>
      <c r="AE39" s="120" t="n"/>
      <c r="AF39" s="119" t="n"/>
      <c r="AG39" s="106" t="n"/>
    </row>
    <row r="40" ht="21.75" customHeight="1" s="123">
      <c r="A40" s="127" t="inlineStr">
        <is>
          <t>Peso Rodamiento / Assembled Bearing Weight</t>
        </is>
      </c>
      <c r="B40" s="105" t="n"/>
      <c r="C40" s="105" t="n"/>
      <c r="D40" s="106" t="n"/>
      <c r="E40" s="114" t="n"/>
      <c r="F40" s="120" t="n"/>
      <c r="G40" s="120" t="n"/>
      <c r="H40" s="120" t="n"/>
      <c r="I40" s="120" t="n"/>
      <c r="J40" s="120" t="n"/>
      <c r="K40" s="120" t="n"/>
      <c r="L40" s="120" t="n"/>
      <c r="M40" s="110" t="n"/>
      <c r="N40" s="120" t="n"/>
      <c r="O40" s="119" t="n"/>
      <c r="P40" s="106" t="n"/>
      <c r="R40" s="127" t="inlineStr">
        <is>
          <t>Peso Rodamiento / Assembled Bearing Weight</t>
        </is>
      </c>
      <c r="S40" s="105" t="n"/>
      <c r="T40" s="105" t="n"/>
      <c r="U40" s="106" t="n"/>
      <c r="V40" s="114" t="n"/>
      <c r="W40" s="120" t="n"/>
      <c r="X40" s="120" t="n"/>
      <c r="Y40" s="120" t="n"/>
      <c r="Z40" s="120" t="n"/>
      <c r="AA40" s="120" t="n"/>
      <c r="AB40" s="120" t="n"/>
      <c r="AC40" s="120" t="n"/>
      <c r="AD40" s="110" t="n"/>
      <c r="AE40" s="120" t="n"/>
      <c r="AF40" s="119" t="n"/>
      <c r="AG40" s="106" t="n"/>
    </row>
    <row r="41" ht="21" customHeight="1" s="123">
      <c r="A41" s="127" t="inlineStr">
        <is>
          <t>Peso Rodamiento sin Grasa / Washed Assembled Bearing Weight</t>
        </is>
      </c>
      <c r="B41" s="105" t="n"/>
      <c r="C41" s="105" t="n"/>
      <c r="D41" s="106" t="n"/>
      <c r="E41" s="114" t="n"/>
      <c r="F41" s="120" t="n"/>
      <c r="G41" s="120" t="n"/>
      <c r="H41" s="120" t="n"/>
      <c r="I41" s="120" t="n"/>
      <c r="J41" s="120" t="n"/>
      <c r="K41" s="120" t="n"/>
      <c r="L41" s="120" t="n"/>
      <c r="M41" s="110" t="n"/>
      <c r="N41" s="120" t="n"/>
      <c r="O41" s="119" t="n"/>
      <c r="P41" s="106" t="n"/>
      <c r="R41" s="127" t="inlineStr">
        <is>
          <t>Peso Rodamiento sin Grasa / Washed Assembled Bearing Weight</t>
        </is>
      </c>
      <c r="S41" s="105" t="n"/>
      <c r="T41" s="105" t="n"/>
      <c r="U41" s="106" t="n"/>
      <c r="V41" s="114" t="n"/>
      <c r="W41" s="120" t="n"/>
      <c r="X41" s="120" t="n"/>
      <c r="Y41" s="120" t="n"/>
      <c r="Z41" s="120" t="n"/>
      <c r="AA41" s="120" t="n"/>
      <c r="AB41" s="120" t="n"/>
      <c r="AC41" s="120" t="n"/>
      <c r="AD41" s="110" t="n"/>
      <c r="AE41" s="120" t="n"/>
      <c r="AF41" s="119" t="n"/>
      <c r="AG41" s="106" t="n"/>
    </row>
    <row r="42" ht="21.75" customHeight="1" s="123">
      <c r="A42" s="127" t="inlineStr">
        <is>
          <t>Peso de Grasa (grs) / Grease Weight (grs)</t>
        </is>
      </c>
      <c r="B42" s="105" t="n"/>
      <c r="C42" s="106" t="n"/>
      <c r="D42" s="46">
        <f>VLOOKUP(Auxiliar!B1,Auxiliar!A15:AI6488,25,FALSE)</f>
        <v/>
      </c>
      <c r="E42" s="114" t="n"/>
      <c r="F42" s="114" t="n"/>
      <c r="G42" s="114" t="n"/>
      <c r="H42" s="114" t="n"/>
      <c r="I42" s="114" t="n"/>
      <c r="J42" s="114" t="n"/>
      <c r="K42" s="114" t="n"/>
      <c r="L42" s="114" t="n"/>
      <c r="M42" s="114" t="n"/>
      <c r="N42" s="114" t="n"/>
      <c r="O42" s="114" t="n"/>
      <c r="P42" s="106" t="n"/>
      <c r="R42" s="127" t="inlineStr">
        <is>
          <t>Peso de Grasa (grs) / Grease Weight (grs)</t>
        </is>
      </c>
      <c r="S42" s="105" t="n"/>
      <c r="T42" s="106" t="n"/>
      <c r="U42" s="46">
        <f>VLOOKUP(Auxiliar!B1,Auxiliar!A15:AI6488,25,FALSE)</f>
        <v/>
      </c>
      <c r="V42" s="114" t="n"/>
      <c r="W42" s="114" t="n"/>
      <c r="X42" s="114" t="n"/>
      <c r="Y42" s="114" t="n"/>
      <c r="Z42" s="114" t="n"/>
      <c r="AA42" s="114" t="n"/>
      <c r="AB42" s="114" t="n"/>
      <c r="AC42" s="114" t="n"/>
      <c r="AD42" s="114" t="n"/>
      <c r="AE42" s="114" t="n"/>
      <c r="AF42" s="114" t="n"/>
      <c r="AG42" s="106" t="n"/>
    </row>
    <row r="43" ht="21.75" customHeight="1" s="123">
      <c r="A43" s="110" t="inlineStr">
        <is>
          <t xml:space="preserve"> Tipo de grasa/
grease type</t>
        </is>
      </c>
      <c r="B43" s="105" t="n"/>
      <c r="C43" s="106" t="n"/>
      <c r="D43" s="126">
        <f>VLOOKUP(Auxiliar!B1,Auxiliar!A15:AI6488,26,FALSE)</f>
        <v/>
      </c>
      <c r="E43" s="79" t="n"/>
      <c r="F43" s="78" t="n"/>
      <c r="G43" s="78" t="n"/>
      <c r="H43" s="78" t="n"/>
      <c r="I43" s="78" t="n"/>
      <c r="J43" s="78" t="n"/>
      <c r="K43" s="78" t="n"/>
      <c r="L43" s="78" t="n"/>
      <c r="M43" s="77" t="n"/>
      <c r="N43" s="78" t="n"/>
      <c r="O43" s="119" t="n"/>
      <c r="P43" s="106" t="n"/>
      <c r="R43" s="110" t="inlineStr">
        <is>
          <t xml:space="preserve"> Tipo de grasa/
grease type</t>
        </is>
      </c>
      <c r="S43" s="105" t="n"/>
      <c r="T43" s="106" t="n"/>
      <c r="U43" s="126">
        <f>VLOOKUP(Auxiliar!B1,Auxiliar!A15:AI6488,26,FALSE)</f>
        <v/>
      </c>
      <c r="V43" s="79" t="n"/>
      <c r="W43" s="78" t="n"/>
      <c r="X43" s="78" t="n"/>
      <c r="Y43" s="78" t="n"/>
      <c r="Z43" s="78" t="n"/>
      <c r="AA43" s="78" t="n"/>
      <c r="AB43" s="78" t="n"/>
      <c r="AC43" s="78" t="n"/>
      <c r="AD43" s="77" t="n"/>
      <c r="AE43" s="78" t="n"/>
      <c r="AF43" s="119" t="n"/>
      <c r="AG43" s="106" t="n"/>
    </row>
    <row r="44" ht="12" customHeight="1" s="123" thickBot="1">
      <c r="A44" s="168" t="inlineStr">
        <is>
          <t>* IDENTIFICAR EL TIPO DE DEFECTO CON LETRA INICIAL RESALTADA</t>
        </is>
      </c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  <c r="P44" s="111" t="n"/>
      <c r="R44" s="168" t="inlineStr">
        <is>
          <t>* IDENTIFICAR EL TIPO DE DEFECTO CON LETRA INICIAL RESALTADA</t>
        </is>
      </c>
      <c r="S44" s="139" t="n"/>
      <c r="T44" s="139" t="n"/>
      <c r="U44" s="139" t="n"/>
      <c r="V44" s="139" t="n"/>
      <c r="W44" s="139" t="n"/>
      <c r="X44" s="139" t="n"/>
      <c r="Y44" s="139" t="n"/>
      <c r="Z44" s="139" t="n"/>
      <c r="AA44" s="139" t="n"/>
      <c r="AB44" s="139" t="n"/>
      <c r="AC44" s="139" t="n"/>
      <c r="AD44" s="139" t="n"/>
      <c r="AE44" s="139" t="n"/>
      <c r="AF44" s="139" t="n"/>
      <c r="AG44" s="111" t="n"/>
    </row>
    <row r="45" ht="12" customHeight="1" s="123" thickBot="1">
      <c r="A45" s="135" t="inlineStr">
        <is>
          <t>Resultado final de la inspección</t>
        </is>
      </c>
      <c r="B45" s="136" t="n"/>
      <c r="C45" s="136" t="n"/>
      <c r="D45" s="115" t="inlineStr">
        <is>
          <t>Total Lote</t>
        </is>
      </c>
      <c r="E45" s="109" t="n"/>
      <c r="F45" s="107" t="inlineStr">
        <is>
          <t>Aprobado</t>
        </is>
      </c>
      <c r="G45" s="108" t="n"/>
      <c r="H45" s="109" t="n"/>
      <c r="I45" s="107" t="inlineStr">
        <is>
          <t>Retrabajar</t>
        </is>
      </c>
      <c r="J45" s="108" t="n"/>
      <c r="K45" s="109" t="n"/>
      <c r="L45" s="107" t="inlineStr">
        <is>
          <t>Scrap</t>
        </is>
      </c>
      <c r="M45" s="109" t="n"/>
      <c r="N45" s="133" t="inlineStr">
        <is>
          <t>2º Calidad</t>
        </is>
      </c>
      <c r="O45" s="108" t="n"/>
      <c r="P45" s="134" t="n"/>
      <c r="R45" s="135" t="inlineStr">
        <is>
          <t>Resultado final de la inspección</t>
        </is>
      </c>
      <c r="S45" s="136" t="n"/>
      <c r="T45" s="136" t="n"/>
      <c r="U45" s="115" t="inlineStr">
        <is>
          <t>Total Lote</t>
        </is>
      </c>
      <c r="V45" s="109" t="n"/>
      <c r="W45" s="107" t="inlineStr">
        <is>
          <t>Aprobado</t>
        </is>
      </c>
      <c r="X45" s="108" t="n"/>
      <c r="Y45" s="109" t="n"/>
      <c r="Z45" s="107" t="inlineStr">
        <is>
          <t>Retrabajar</t>
        </is>
      </c>
      <c r="AA45" s="108" t="n"/>
      <c r="AB45" s="109" t="n"/>
      <c r="AC45" s="107" t="inlineStr">
        <is>
          <t>Scrap</t>
        </is>
      </c>
      <c r="AD45" s="109" t="n"/>
      <c r="AE45" s="133" t="inlineStr">
        <is>
          <t>2º Calidad</t>
        </is>
      </c>
      <c r="AF45" s="108" t="n"/>
      <c r="AG45" s="134" t="n"/>
    </row>
    <row r="46" ht="25.9" customHeight="1" s="123" thickBot="1">
      <c r="A46" s="137" t="n"/>
      <c r="B46" s="129" t="n"/>
      <c r="C46" s="129" t="n"/>
      <c r="D46" s="166" t="n"/>
      <c r="E46" s="130" t="n"/>
      <c r="F46" s="128" t="n"/>
      <c r="G46" s="129" t="n"/>
      <c r="H46" s="130" t="n"/>
      <c r="I46" s="128" t="n"/>
      <c r="J46" s="129" t="n"/>
      <c r="K46" s="130" t="n"/>
      <c r="L46" s="128" t="n"/>
      <c r="M46" s="130" t="n"/>
      <c r="N46" s="145" t="n"/>
      <c r="O46" s="129" t="n"/>
      <c r="P46" s="146" t="n"/>
      <c r="R46" s="137" t="n"/>
      <c r="S46" s="129" t="n"/>
      <c r="T46" s="129" t="n"/>
      <c r="U46" s="166" t="n"/>
      <c r="V46" s="130" t="n"/>
      <c r="W46" s="128" t="n"/>
      <c r="X46" s="129" t="n"/>
      <c r="Y46" s="130" t="n"/>
      <c r="Z46" s="128" t="n"/>
      <c r="AA46" s="129" t="n"/>
      <c r="AB46" s="130" t="n"/>
      <c r="AC46" s="128" t="n"/>
      <c r="AD46" s="130" t="n"/>
      <c r="AE46" s="145" t="n"/>
      <c r="AF46" s="129" t="n"/>
      <c r="AG46" s="146" t="n"/>
    </row>
    <row r="47" ht="9.75" customHeight="1" s="123">
      <c r="A47" s="8" t="n"/>
      <c r="B47" s="9" t="n"/>
      <c r="C47" s="9" t="n"/>
      <c r="D47" s="85" t="n"/>
      <c r="E47" s="1" t="n"/>
      <c r="F47" s="2" t="n"/>
      <c r="G47" s="2" t="n"/>
      <c r="H47" s="2" t="n"/>
      <c r="I47" s="2" t="n"/>
      <c r="J47" s="2" t="n"/>
      <c r="K47" s="2" t="n"/>
      <c r="L47" s="2" t="n"/>
      <c r="M47" s="3" t="n"/>
      <c r="N47" s="2" t="n"/>
      <c r="R47" s="8" t="n"/>
      <c r="S47" s="9" t="n"/>
      <c r="T47" s="9" t="n"/>
      <c r="U47" s="85" t="n"/>
      <c r="V47" s="1" t="n"/>
      <c r="W47" s="2" t="n"/>
      <c r="X47" s="2" t="n"/>
      <c r="Y47" s="2" t="n"/>
      <c r="Z47" s="2" t="n"/>
      <c r="AA47" s="2" t="n"/>
      <c r="AB47" s="2" t="n"/>
      <c r="AC47" s="2" t="n"/>
      <c r="AD47" s="3" t="n"/>
      <c r="AE47" s="2" t="n"/>
    </row>
    <row r="48" ht="20.1" customHeight="1" s="123">
      <c r="A48" s="169" t="inlineStr">
        <is>
          <t>Observación:</t>
        </is>
      </c>
      <c r="D48" s="86" t="n"/>
      <c r="E48" s="10" t="n"/>
      <c r="F48" s="11" t="n"/>
      <c r="G48" s="11" t="n"/>
      <c r="H48" s="11" t="n"/>
      <c r="I48" s="11" t="n"/>
      <c r="J48" s="11" t="n"/>
      <c r="K48" s="11" t="n"/>
      <c r="L48" s="11" t="n"/>
      <c r="M48" s="12" t="n"/>
      <c r="N48" s="11" t="n"/>
      <c r="O48" s="140" t="n"/>
      <c r="P48" s="140" t="n"/>
      <c r="R48" s="169" t="inlineStr">
        <is>
          <t>Observación:</t>
        </is>
      </c>
      <c r="U48" s="86" t="n"/>
      <c r="V48" s="10" t="n"/>
      <c r="W48" s="11" t="n"/>
      <c r="X48" s="11" t="n"/>
      <c r="Y48" s="11" t="n"/>
      <c r="Z48" s="11" t="n"/>
      <c r="AA48" s="11" t="n"/>
      <c r="AB48" s="11" t="n"/>
      <c r="AC48" s="11" t="n"/>
      <c r="AD48" s="12" t="n"/>
      <c r="AE48" s="11" t="n"/>
      <c r="AF48" s="140" t="n"/>
      <c r="AG48" s="140" t="n"/>
    </row>
    <row r="49" ht="14.45" customHeight="1" s="123">
      <c r="A49" s="13" t="n"/>
      <c r="B49" s="81" t="n"/>
      <c r="C49" s="81" t="n"/>
      <c r="D49" s="86" t="n"/>
      <c r="E49" s="10" t="n"/>
      <c r="F49" s="11" t="n"/>
      <c r="G49" s="11" t="n"/>
      <c r="H49" s="11" t="n"/>
      <c r="I49" s="11" t="n"/>
      <c r="J49" s="11" t="n"/>
      <c r="K49" s="11" t="n"/>
      <c r="L49" s="11" t="n"/>
      <c r="M49" s="12" t="n"/>
      <c r="N49" s="11" t="n"/>
      <c r="O49" s="140" t="n"/>
      <c r="P49" s="140" t="n"/>
      <c r="R49" s="13" t="n"/>
      <c r="S49" s="81" t="n"/>
      <c r="T49" s="81" t="n"/>
      <c r="U49" s="86" t="n"/>
      <c r="V49" s="10" t="n"/>
      <c r="W49" s="11" t="n"/>
      <c r="X49" s="11" t="n"/>
      <c r="Y49" s="11" t="n"/>
      <c r="Z49" s="11" t="n"/>
      <c r="AA49" s="11" t="n"/>
      <c r="AB49" s="11" t="n"/>
      <c r="AC49" s="11" t="n"/>
      <c r="AD49" s="12" t="n"/>
      <c r="AE49" s="11" t="n"/>
      <c r="AF49" s="140" t="n"/>
      <c r="AG49" s="140" t="n"/>
    </row>
    <row r="50" ht="14.45" customHeight="1" s="123">
      <c r="A50" s="105" t="n"/>
      <c r="B50" s="82" t="n"/>
      <c r="C50" s="82" t="n"/>
      <c r="D50" s="105" t="n"/>
      <c r="E50" s="14" t="n"/>
      <c r="F50" s="15" t="n"/>
      <c r="G50" s="15" t="n"/>
      <c r="H50" s="15" t="n"/>
      <c r="I50" s="15" t="n"/>
      <c r="J50" s="15" t="n"/>
      <c r="K50" s="15" t="n"/>
      <c r="L50" s="15" t="n"/>
      <c r="M50" s="80" t="n"/>
      <c r="N50" s="15" t="n"/>
      <c r="O50" s="105" t="n"/>
      <c r="P50" s="105" t="n"/>
      <c r="R50" s="105" t="n"/>
      <c r="S50" s="82" t="n"/>
      <c r="T50" s="82" t="n"/>
      <c r="U50" s="105" t="n"/>
      <c r="V50" s="14" t="n"/>
      <c r="W50" s="15" t="n"/>
      <c r="X50" s="15" t="n"/>
      <c r="Y50" s="15" t="n"/>
      <c r="Z50" s="15" t="n"/>
      <c r="AA50" s="15" t="n"/>
      <c r="AB50" s="15" t="n"/>
      <c r="AC50" s="15" t="n"/>
      <c r="AD50" s="80" t="n"/>
      <c r="AE50" s="15" t="n"/>
      <c r="AF50" s="105" t="n"/>
      <c r="AG50" s="105" t="n"/>
    </row>
    <row r="51" ht="14.45" customHeight="1" s="123">
      <c r="A51" s="105" t="n"/>
      <c r="B51" s="82" t="n"/>
      <c r="C51" s="82" t="n"/>
      <c r="D51" s="105" t="n"/>
      <c r="E51" s="14" t="n"/>
      <c r="F51" s="15" t="n"/>
      <c r="G51" s="15" t="n"/>
      <c r="H51" s="15" t="n"/>
      <c r="I51" s="15" t="n"/>
      <c r="J51" s="15" t="n"/>
      <c r="K51" s="15" t="n"/>
      <c r="L51" s="15" t="n"/>
      <c r="M51" s="80" t="n"/>
      <c r="N51" s="15" t="n"/>
      <c r="O51" s="105" t="n"/>
      <c r="P51" s="105" t="n"/>
      <c r="R51" s="105" t="n"/>
      <c r="S51" s="82" t="n"/>
      <c r="T51" s="82" t="n"/>
      <c r="U51" s="105" t="n"/>
      <c r="V51" s="14" t="n"/>
      <c r="W51" s="15" t="n"/>
      <c r="X51" s="15" t="n"/>
      <c r="Y51" s="15" t="n"/>
      <c r="Z51" s="15" t="n"/>
      <c r="AA51" s="15" t="n"/>
      <c r="AB51" s="15" t="n"/>
      <c r="AC51" s="15" t="n"/>
      <c r="AD51" s="80" t="n"/>
      <c r="AE51" s="15" t="n"/>
      <c r="AF51" s="105" t="n"/>
      <c r="AG51" s="105" t="n"/>
    </row>
    <row r="52" ht="14.45" customHeight="1" s="123">
      <c r="A52" s="105" t="n"/>
      <c r="B52" s="82" t="n"/>
      <c r="C52" s="82" t="n"/>
      <c r="D52" s="105" t="n"/>
      <c r="E52" s="14" t="n"/>
      <c r="F52" s="15" t="n"/>
      <c r="G52" s="15" t="n"/>
      <c r="H52" s="15" t="n"/>
      <c r="I52" s="15" t="n"/>
      <c r="J52" s="15" t="n"/>
      <c r="K52" s="15" t="n"/>
      <c r="L52" s="15" t="n"/>
      <c r="M52" s="80" t="n"/>
      <c r="N52" s="15" t="n"/>
      <c r="O52" s="105" t="n"/>
      <c r="P52" s="105" t="n"/>
      <c r="R52" s="105" t="n"/>
      <c r="S52" s="82" t="n"/>
      <c r="T52" s="82" t="n"/>
      <c r="U52" s="105" t="n"/>
      <c r="V52" s="14" t="n"/>
      <c r="W52" s="15" t="n"/>
      <c r="X52" s="15" t="n"/>
      <c r="Y52" s="15" t="n"/>
      <c r="Z52" s="15" t="n"/>
      <c r="AA52" s="15" t="n"/>
      <c r="AB52" s="15" t="n"/>
      <c r="AC52" s="15" t="n"/>
      <c r="AD52" s="80" t="n"/>
      <c r="AE52" s="15" t="n"/>
      <c r="AF52" s="105" t="n"/>
      <c r="AG52" s="105" t="n"/>
    </row>
    <row r="53" ht="14.45" customHeight="1" s="123">
      <c r="A53" s="105" t="n"/>
      <c r="B53" s="82" t="n"/>
      <c r="C53" s="82" t="n"/>
      <c r="D53" s="105" t="n"/>
      <c r="E53" s="14" t="n"/>
      <c r="F53" s="15" t="n"/>
      <c r="G53" s="15" t="n"/>
      <c r="H53" s="15" t="n"/>
      <c r="I53" s="15" t="n"/>
      <c r="J53" s="15" t="n"/>
      <c r="K53" s="15" t="n"/>
      <c r="L53" s="15" t="n"/>
      <c r="M53" s="80" t="n"/>
      <c r="N53" s="15" t="n"/>
      <c r="O53" s="105" t="n"/>
      <c r="P53" s="105" t="n"/>
      <c r="R53" s="105" t="n"/>
      <c r="S53" s="82" t="n"/>
      <c r="T53" s="82" t="n"/>
      <c r="U53" s="105" t="n"/>
      <c r="V53" s="14" t="n"/>
      <c r="W53" s="15" t="n"/>
      <c r="X53" s="15" t="n"/>
      <c r="Y53" s="15" t="n"/>
      <c r="Z53" s="15" t="n"/>
      <c r="AA53" s="15" t="n"/>
      <c r="AB53" s="15" t="n"/>
      <c r="AC53" s="15" t="n"/>
      <c r="AD53" s="80" t="n"/>
      <c r="AE53" s="15" t="n"/>
      <c r="AF53" s="105" t="n"/>
      <c r="AG53" s="105" t="n"/>
    </row>
    <row r="54" ht="14.45" customHeight="1" s="123">
      <c r="A54" s="105" t="n"/>
      <c r="B54" s="82" t="n"/>
      <c r="C54" s="82" t="n"/>
      <c r="D54" s="105" t="n"/>
      <c r="E54" s="14" t="n"/>
      <c r="F54" s="15" t="n"/>
      <c r="G54" s="15" t="n"/>
      <c r="H54" s="15" t="n"/>
      <c r="I54" s="15" t="n"/>
      <c r="J54" s="15" t="n"/>
      <c r="K54" s="15" t="n"/>
      <c r="L54" s="15" t="n"/>
      <c r="M54" s="80" t="n"/>
      <c r="N54" s="15" t="n"/>
      <c r="O54" s="105" t="n"/>
      <c r="P54" s="105" t="n"/>
      <c r="R54" s="105" t="n"/>
      <c r="S54" s="82" t="n"/>
      <c r="T54" s="82" t="n"/>
      <c r="U54" s="105" t="n"/>
      <c r="V54" s="14" t="n"/>
      <c r="W54" s="15" t="n"/>
      <c r="X54" s="15" t="n"/>
      <c r="Y54" s="15" t="n"/>
      <c r="Z54" s="15" t="n"/>
      <c r="AA54" s="15" t="n"/>
      <c r="AB54" s="15" t="n"/>
      <c r="AC54" s="15" t="n"/>
      <c r="AD54" s="80" t="n"/>
      <c r="AE54" s="15" t="n"/>
      <c r="AF54" s="105" t="n"/>
      <c r="AG54" s="105" t="n"/>
    </row>
    <row r="55" ht="14.45" customHeight="1" s="123">
      <c r="B55" s="9" t="n"/>
      <c r="C55" s="9" t="n"/>
      <c r="E55" s="1" t="n"/>
      <c r="F55" s="2" t="n"/>
      <c r="G55" s="2" t="n"/>
      <c r="H55" s="2" t="n"/>
      <c r="I55" s="2" t="n"/>
      <c r="J55" s="2" t="n"/>
      <c r="K55" s="2" t="n"/>
      <c r="L55" s="2" t="n"/>
      <c r="M55" s="3" t="n"/>
      <c r="N55" s="2" t="n"/>
      <c r="S55" s="9" t="n"/>
      <c r="T55" s="9" t="n"/>
      <c r="V55" s="1" t="n"/>
      <c r="W55" s="2" t="n"/>
      <c r="X55" s="2" t="n"/>
      <c r="Y55" s="2" t="n"/>
      <c r="Z55" s="2" t="n"/>
      <c r="AA55" s="2" t="n"/>
      <c r="AB55" s="2" t="n"/>
      <c r="AC55" s="2" t="n"/>
      <c r="AD55" s="3" t="n"/>
      <c r="AE55" s="2" t="n"/>
    </row>
    <row r="56" ht="14.45" customHeight="1" s="123">
      <c r="B56" s="9" t="n"/>
      <c r="C56" s="9" t="n"/>
      <c r="E56" s="1" t="n"/>
      <c r="F56" s="2" t="n"/>
      <c r="G56" s="2" t="n"/>
      <c r="H56" s="2" t="n"/>
      <c r="I56" s="2" t="n"/>
      <c r="J56" s="2" t="n"/>
      <c r="K56" s="2" t="n"/>
      <c r="L56" s="2" t="n"/>
      <c r="M56" s="3" t="n"/>
      <c r="N56" s="2" t="n"/>
      <c r="S56" s="9" t="n"/>
      <c r="T56" s="9" t="n"/>
      <c r="V56" s="1" t="n"/>
      <c r="W56" s="2" t="n"/>
      <c r="X56" s="2" t="n"/>
      <c r="Y56" s="2" t="n"/>
      <c r="Z56" s="2" t="n"/>
      <c r="AA56" s="2" t="n"/>
      <c r="AB56" s="2" t="n"/>
      <c r="AC56" s="2" t="n"/>
      <c r="AD56" s="3" t="n"/>
      <c r="AE56" s="2" t="n"/>
    </row>
    <row r="57" ht="23.25" customHeight="1" s="123">
      <c r="A57" s="171" t="inlineStr">
        <is>
          <t xml:space="preserve">    FIRMA DEL INSPECTOR DE CALIDAD Y FECHA   /   NAME AND SIGNATURE OF THE INSPECTOR QUALITY</t>
        </is>
      </c>
      <c r="B57" s="139" t="n"/>
      <c r="C57" s="139" t="n"/>
      <c r="D57" s="139" t="n"/>
      <c r="E57" s="139" t="n"/>
      <c r="F57" s="139" t="n"/>
      <c r="G57" s="139" t="n"/>
      <c r="H57" s="139" t="n"/>
      <c r="I57" s="20" t="n"/>
      <c r="J57" s="122" t="inlineStr">
        <is>
          <t>PERMANENTE</t>
        </is>
      </c>
      <c r="R57" s="171" t="inlineStr">
        <is>
          <t xml:space="preserve">    FIRMA DEL INSPECTOR DE CALIDAD Y FECHA   /   NAME AND SIGNATURE OF THE INSPECTOR QUALITY</t>
        </is>
      </c>
      <c r="S57" s="139" t="n"/>
      <c r="T57" s="139" t="n"/>
      <c r="U57" s="139" t="n"/>
      <c r="V57" s="139" t="n"/>
      <c r="W57" s="139" t="n"/>
      <c r="X57" s="139" t="n"/>
      <c r="Y57" s="139" t="n"/>
      <c r="Z57" s="20" t="n"/>
      <c r="AA57" s="122" t="inlineStr">
        <is>
          <t>PERMANENTE</t>
        </is>
      </c>
    </row>
    <row r="58" ht="6.75" customHeight="1" s="123"/>
    <row r="59" ht="3.75" customHeight="1" s="123"/>
    <row r="60" ht="24" customHeight="1" s="123"/>
    <row r="61" ht="24" customHeight="1" s="123"/>
    <row r="62" ht="24" customHeight="1" s="123"/>
    <row r="63" ht="15" customHeight="1" s="123"/>
    <row r="64" ht="32.1" customHeight="1" s="123"/>
    <row r="65" ht="32.1" customHeight="1" s="123"/>
    <row r="66" ht="32.1" customHeight="1" s="123"/>
    <row r="67" ht="32.1" customHeight="1" s="123"/>
    <row r="68" ht="32.1" customHeight="1" s="123"/>
    <row r="69" ht="32.1" customHeight="1" s="123"/>
    <row r="70" ht="32.1" customHeight="1" s="123"/>
    <row r="71" ht="32.1" customHeight="1" s="123"/>
    <row r="72" ht="32.1" customHeight="1" s="123"/>
    <row r="73" ht="32.1" customHeight="1" s="123"/>
    <row r="74" ht="32.1" customHeight="1" s="123"/>
    <row r="75" ht="32.1" customHeight="1" s="123"/>
    <row r="76" ht="32.1" customHeight="1" s="123"/>
    <row r="77" ht="32.1" customHeight="1" s="123"/>
    <row r="78" ht="32.1" customHeight="1" s="123"/>
    <row r="79" ht="32.1" customHeight="1" s="123"/>
    <row r="80" ht="32.1" customHeight="1" s="123"/>
    <row r="81" ht="32.1" customHeight="1" s="123"/>
    <row r="82" ht="32.1" customHeight="1" s="123"/>
    <row r="83" ht="32.1" customHeight="1" s="123"/>
    <row r="84" ht="32.1" customHeight="1" s="123"/>
    <row r="85" ht="32.1" customHeight="1" s="123"/>
    <row r="86" ht="32.1" customHeight="1" s="123"/>
    <row r="87" ht="32.1" customHeight="1" s="123"/>
    <row r="88" ht="24" customHeight="1" s="123"/>
    <row r="89" ht="24" customHeight="1" s="123"/>
    <row r="90" ht="24" customHeight="1" s="123"/>
    <row r="91" ht="24" customHeight="1" s="123"/>
    <row r="92" ht="24" customHeight="1" s="123"/>
    <row r="93" ht="24" customHeight="1" s="123"/>
  </sheetData>
  <mergeCells count="366">
    <mergeCell ref="U9:Y9"/>
    <mergeCell ref="F45:H45"/>
    <mergeCell ref="R36:S37"/>
    <mergeCell ref="AF20:AG21"/>
    <mergeCell ref="D45:E45"/>
    <mergeCell ref="W16:W17"/>
    <mergeCell ref="B29:B30"/>
    <mergeCell ref="AF22:AG23"/>
    <mergeCell ref="K27:K28"/>
    <mergeCell ref="O32:P32"/>
    <mergeCell ref="J57:P57"/>
    <mergeCell ref="X14:X15"/>
    <mergeCell ref="O40:P40"/>
    <mergeCell ref="C27:C28"/>
    <mergeCell ref="M18:M19"/>
    <mergeCell ref="AE9:AF9"/>
    <mergeCell ref="C14:C15"/>
    <mergeCell ref="A39:B39"/>
    <mergeCell ref="E14:E15"/>
    <mergeCell ref="L18:L19"/>
    <mergeCell ref="W46:Y46"/>
    <mergeCell ref="V27:V28"/>
    <mergeCell ref="AC29:AC30"/>
    <mergeCell ref="S24:S25"/>
    <mergeCell ref="X20:X21"/>
    <mergeCell ref="Z20:Z21"/>
    <mergeCell ref="M27:M28"/>
    <mergeCell ref="Z14:Z15"/>
    <mergeCell ref="M24:M25"/>
    <mergeCell ref="E27:E28"/>
    <mergeCell ref="W18:W19"/>
    <mergeCell ref="Z9:AB9"/>
    <mergeCell ref="R9:T9"/>
    <mergeCell ref="AF36:AG37"/>
    <mergeCell ref="N45:P45"/>
    <mergeCell ref="AF31:AG31"/>
    <mergeCell ref="R45:T46"/>
    <mergeCell ref="AC16:AC17"/>
    <mergeCell ref="H29:H30"/>
    <mergeCell ref="C20:C21"/>
    <mergeCell ref="Y14:Y15"/>
    <mergeCell ref="E20:E21"/>
    <mergeCell ref="S27:S28"/>
    <mergeCell ref="I5:J6"/>
    <mergeCell ref="AC18:AC19"/>
    <mergeCell ref="AE18:AE19"/>
    <mergeCell ref="AC5:AC6"/>
    <mergeCell ref="C22:C23"/>
    <mergeCell ref="A42:C42"/>
    <mergeCell ref="J24:J25"/>
    <mergeCell ref="AA36:AA37"/>
    <mergeCell ref="O14:P15"/>
    <mergeCell ref="C36:C37"/>
    <mergeCell ref="D7:H7"/>
    <mergeCell ref="M14:M15"/>
    <mergeCell ref="J18:J19"/>
    <mergeCell ref="R34:U34"/>
    <mergeCell ref="S31:U31"/>
    <mergeCell ref="B20:B21"/>
    <mergeCell ref="F14:F15"/>
    <mergeCell ref="D8:H8"/>
    <mergeCell ref="B22:B23"/>
    <mergeCell ref="AE46:AG46"/>
    <mergeCell ref="J29:J30"/>
    <mergeCell ref="AE16:AE17"/>
    <mergeCell ref="X36:X37"/>
    <mergeCell ref="I7:K7"/>
    <mergeCell ref="K18:K19"/>
    <mergeCell ref="Z36:Z37"/>
    <mergeCell ref="N46:P46"/>
    <mergeCell ref="AF39:AG39"/>
    <mergeCell ref="A38:D38"/>
    <mergeCell ref="AB29:AB30"/>
    <mergeCell ref="AE8:AG8"/>
    <mergeCell ref="R24:R25"/>
    <mergeCell ref="W20:W21"/>
    <mergeCell ref="Y20:Y21"/>
    <mergeCell ref="L24:L25"/>
    <mergeCell ref="A40:D40"/>
    <mergeCell ref="AE29:AE30"/>
    <mergeCell ref="A18:A19"/>
    <mergeCell ref="G29:G30"/>
    <mergeCell ref="AD16:AD17"/>
    <mergeCell ref="B32:D32"/>
    <mergeCell ref="E36:E37"/>
    <mergeCell ref="O18:P19"/>
    <mergeCell ref="C39:D39"/>
    <mergeCell ref="AC27:AC28"/>
    <mergeCell ref="AA57:AG57"/>
    <mergeCell ref="T16:T17"/>
    <mergeCell ref="R26:U26"/>
    <mergeCell ref="Z24:Z25"/>
    <mergeCell ref="O36:P37"/>
    <mergeCell ref="I10:P10"/>
    <mergeCell ref="T24:T25"/>
    <mergeCell ref="AB18:AB19"/>
    <mergeCell ref="R7:T7"/>
    <mergeCell ref="T18:T19"/>
    <mergeCell ref="AB5:AB6"/>
    <mergeCell ref="V18:V19"/>
    <mergeCell ref="L7:P7"/>
    <mergeCell ref="I16:I17"/>
    <mergeCell ref="A16:A17"/>
    <mergeCell ref="AC24:AC25"/>
    <mergeCell ref="C16:C17"/>
    <mergeCell ref="L14:L15"/>
    <mergeCell ref="N14:N15"/>
    <mergeCell ref="I18:I19"/>
    <mergeCell ref="I8:K8"/>
    <mergeCell ref="AC8:AD8"/>
    <mergeCell ref="Z29:Z30"/>
    <mergeCell ref="E11:N12"/>
    <mergeCell ref="A22:A23"/>
    <mergeCell ref="I29:I30"/>
    <mergeCell ref="A41:D41"/>
    <mergeCell ref="Y36:Y37"/>
    <mergeCell ref="AE20:AE21"/>
    <mergeCell ref="AB24:AB25"/>
    <mergeCell ref="AF40:AG40"/>
    <mergeCell ref="O24:P25"/>
    <mergeCell ref="AD24:AD25"/>
    <mergeCell ref="T27:T28"/>
    <mergeCell ref="AD18:AD19"/>
    <mergeCell ref="AF29:AG30"/>
    <mergeCell ref="M5:P6"/>
    <mergeCell ref="F36:F37"/>
    <mergeCell ref="J27:J28"/>
    <mergeCell ref="R27:R30"/>
    <mergeCell ref="J20:J21"/>
    <mergeCell ref="L20:L21"/>
    <mergeCell ref="A31:A33"/>
    <mergeCell ref="AB27:AB28"/>
    <mergeCell ref="V11:AE12"/>
    <mergeCell ref="A27:A30"/>
    <mergeCell ref="R11:R13"/>
    <mergeCell ref="B11:B13"/>
    <mergeCell ref="AF42:AG42"/>
    <mergeCell ref="A8:B8"/>
    <mergeCell ref="S16:S17"/>
    <mergeCell ref="AE27:AE28"/>
    <mergeCell ref="G27:G28"/>
    <mergeCell ref="AF11:AG13"/>
    <mergeCell ref="B16:B17"/>
    <mergeCell ref="F24:F25"/>
    <mergeCell ref="K20:K21"/>
    <mergeCell ref="V5:Y6"/>
    <mergeCell ref="M20:M21"/>
    <mergeCell ref="B18:B19"/>
    <mergeCell ref="T14:T15"/>
    <mergeCell ref="Y29:Y30"/>
    <mergeCell ref="U45:V45"/>
    <mergeCell ref="E3:P4"/>
    <mergeCell ref="O27:P28"/>
    <mergeCell ref="AD27:AD28"/>
    <mergeCell ref="A14:A15"/>
    <mergeCell ref="H16:H17"/>
    <mergeCell ref="H18:H19"/>
    <mergeCell ref="O38:P38"/>
    <mergeCell ref="K16:K17"/>
    <mergeCell ref="L36:L37"/>
    <mergeCell ref="N36:N37"/>
    <mergeCell ref="T20:T21"/>
    <mergeCell ref="V20:V21"/>
    <mergeCell ref="I27:I28"/>
    <mergeCell ref="R39:S39"/>
    <mergeCell ref="V14:V15"/>
    <mergeCell ref="T39:U39"/>
    <mergeCell ref="S18:S19"/>
    <mergeCell ref="A1:D6"/>
    <mergeCell ref="D46:E46"/>
    <mergeCell ref="O33:P33"/>
    <mergeCell ref="R10:Y10"/>
    <mergeCell ref="A44:P44"/>
    <mergeCell ref="J16:J17"/>
    <mergeCell ref="M36:M37"/>
    <mergeCell ref="F27:F28"/>
    <mergeCell ref="H27:H28"/>
    <mergeCell ref="W14:W15"/>
    <mergeCell ref="R18:R19"/>
    <mergeCell ref="AE45:AG45"/>
    <mergeCell ref="A48:C48"/>
    <mergeCell ref="A36:B37"/>
    <mergeCell ref="AC45:AD45"/>
    <mergeCell ref="AA27:AA28"/>
    <mergeCell ref="AF33:AG33"/>
    <mergeCell ref="X16:X17"/>
    <mergeCell ref="C29:C30"/>
    <mergeCell ref="Z5:AA6"/>
    <mergeCell ref="B14:B15"/>
    <mergeCell ref="R42:T42"/>
    <mergeCell ref="AA24:AA25"/>
    <mergeCell ref="AA16:AA17"/>
    <mergeCell ref="O41:P41"/>
    <mergeCell ref="L45:M45"/>
    <mergeCell ref="O35:P35"/>
    <mergeCell ref="G18:G19"/>
    <mergeCell ref="A43:C43"/>
    <mergeCell ref="V36:V37"/>
    <mergeCell ref="U7:Y7"/>
    <mergeCell ref="O43:P43"/>
    <mergeCell ref="X29:X30"/>
    <mergeCell ref="R48:T48"/>
    <mergeCell ref="Z45:AB45"/>
    <mergeCell ref="N24:N25"/>
    <mergeCell ref="S20:S21"/>
    <mergeCell ref="H24:H25"/>
    <mergeCell ref="AF32:AG32"/>
    <mergeCell ref="U8:Y8"/>
    <mergeCell ref="S22:S23"/>
    <mergeCell ref="I45:K45"/>
    <mergeCell ref="AA29:AA30"/>
    <mergeCell ref="K29:K30"/>
    <mergeCell ref="Z7:AB7"/>
    <mergeCell ref="R8:S8"/>
    <mergeCell ref="A35:D35"/>
    <mergeCell ref="Z8:AB8"/>
    <mergeCell ref="V24:V25"/>
    <mergeCell ref="AC14:AC15"/>
    <mergeCell ref="Z18:Z19"/>
    <mergeCell ref="O31:P31"/>
    <mergeCell ref="A45:C46"/>
    <mergeCell ref="S32:U32"/>
    <mergeCell ref="AF18:AG19"/>
    <mergeCell ref="H14:H15"/>
    <mergeCell ref="J14:J15"/>
    <mergeCell ref="L46:M46"/>
    <mergeCell ref="O16:P17"/>
    <mergeCell ref="Z10:AG10"/>
    <mergeCell ref="AC7:AG7"/>
    <mergeCell ref="C11:C13"/>
    <mergeCell ref="Z16:Z17"/>
    <mergeCell ref="E29:E30"/>
    <mergeCell ref="AB16:AB17"/>
    <mergeCell ref="R16:R17"/>
    <mergeCell ref="AA20:AA21"/>
    <mergeCell ref="AC20:AC21"/>
    <mergeCell ref="X24:X25"/>
    <mergeCell ref="AE14:AE15"/>
    <mergeCell ref="A34:D34"/>
    <mergeCell ref="R20:R21"/>
    <mergeCell ref="G24:G25"/>
    <mergeCell ref="I24:I25"/>
    <mergeCell ref="AF27:AG28"/>
    <mergeCell ref="R22:R23"/>
    <mergeCell ref="T22:T23"/>
    <mergeCell ref="F29:F30"/>
    <mergeCell ref="N9:O9"/>
    <mergeCell ref="AF24:AG25"/>
    <mergeCell ref="M29:M30"/>
    <mergeCell ref="AB14:AB15"/>
    <mergeCell ref="H20:H21"/>
    <mergeCell ref="X27:X28"/>
    <mergeCell ref="AD5:AG6"/>
    <mergeCell ref="T11:T13"/>
    <mergeCell ref="W36:W37"/>
    <mergeCell ref="F46:H46"/>
    <mergeCell ref="S33:U33"/>
    <mergeCell ref="R38:U38"/>
    <mergeCell ref="R44:AG44"/>
    <mergeCell ref="G20:G21"/>
    <mergeCell ref="B24:B25"/>
    <mergeCell ref="G14:G15"/>
    <mergeCell ref="B33:D33"/>
    <mergeCell ref="I14:I15"/>
    <mergeCell ref="K14:K15"/>
    <mergeCell ref="R40:U40"/>
    <mergeCell ref="I9:K9"/>
    <mergeCell ref="A9:C9"/>
    <mergeCell ref="S11:S13"/>
    <mergeCell ref="U11:U13"/>
    <mergeCell ref="W29:W30"/>
    <mergeCell ref="AF41:AG41"/>
    <mergeCell ref="AF35:AG35"/>
    <mergeCell ref="AC36:AC37"/>
    <mergeCell ref="Z27:Z28"/>
    <mergeCell ref="D11:D13"/>
    <mergeCell ref="R35:U35"/>
    <mergeCell ref="T36:T37"/>
    <mergeCell ref="W24:W25"/>
    <mergeCell ref="AB20:AB21"/>
    <mergeCell ref="AD20:AD21"/>
    <mergeCell ref="Y24:Y25"/>
    <mergeCell ref="AD14:AD15"/>
    <mergeCell ref="O22:P23"/>
    <mergeCell ref="V3:AG4"/>
    <mergeCell ref="L5:L6"/>
    <mergeCell ref="F18:F19"/>
    <mergeCell ref="R1:U6"/>
    <mergeCell ref="H36:H37"/>
    <mergeCell ref="J36:J37"/>
    <mergeCell ref="Y16:Y17"/>
    <mergeCell ref="I20:I21"/>
    <mergeCell ref="A20:A21"/>
    <mergeCell ref="W27:W28"/>
    <mergeCell ref="AE24:AE25"/>
    <mergeCell ref="D9:H9"/>
    <mergeCell ref="Y18:Y19"/>
    <mergeCell ref="AA18:AA19"/>
    <mergeCell ref="O20:P21"/>
    <mergeCell ref="AF38:AG38"/>
    <mergeCell ref="L16:L17"/>
    <mergeCell ref="AE36:AE37"/>
    <mergeCell ref="N16:N17"/>
    <mergeCell ref="F16:F17"/>
    <mergeCell ref="G36:G37"/>
    <mergeCell ref="AF43:AG43"/>
    <mergeCell ref="R41:U41"/>
    <mergeCell ref="B27:B28"/>
    <mergeCell ref="N18:N19"/>
    <mergeCell ref="S14:S15"/>
    <mergeCell ref="U46:V46"/>
    <mergeCell ref="N8:P8"/>
    <mergeCell ref="F20:F21"/>
    <mergeCell ref="L29:L30"/>
    <mergeCell ref="N29:N30"/>
    <mergeCell ref="AB36:AB37"/>
    <mergeCell ref="AD36:AD37"/>
    <mergeCell ref="Y27:Y28"/>
    <mergeCell ref="E1:P2"/>
    <mergeCell ref="R31:R33"/>
    <mergeCell ref="B31:D31"/>
    <mergeCell ref="A26:D26"/>
    <mergeCell ref="A7:C7"/>
    <mergeCell ref="C18:C19"/>
    <mergeCell ref="K5:K6"/>
    <mergeCell ref="O34:P34"/>
    <mergeCell ref="T29:T30"/>
    <mergeCell ref="I36:I37"/>
    <mergeCell ref="O39:P39"/>
    <mergeCell ref="L8:M8"/>
    <mergeCell ref="R43:T43"/>
    <mergeCell ref="X18:X19"/>
    <mergeCell ref="V1:AG2"/>
    <mergeCell ref="E16:E17"/>
    <mergeCell ref="AC46:AD46"/>
    <mergeCell ref="G16:G17"/>
    <mergeCell ref="R14:R15"/>
    <mergeCell ref="E18:E19"/>
    <mergeCell ref="A10:H10"/>
    <mergeCell ref="O29:P30"/>
    <mergeCell ref="AD29:AD30"/>
    <mergeCell ref="V29:V30"/>
    <mergeCell ref="AF14:AG15"/>
    <mergeCell ref="AF34:AG34"/>
    <mergeCell ref="K36:K37"/>
    <mergeCell ref="A24:A25"/>
    <mergeCell ref="R57:Y57"/>
    <mergeCell ref="M16:M17"/>
    <mergeCell ref="Z46:AB46"/>
    <mergeCell ref="A57:H57"/>
    <mergeCell ref="V16:V17"/>
    <mergeCell ref="A11:A13"/>
    <mergeCell ref="O42:P42"/>
    <mergeCell ref="L27:L28"/>
    <mergeCell ref="N27:N28"/>
    <mergeCell ref="I46:K46"/>
    <mergeCell ref="AA14:AA15"/>
    <mergeCell ref="S29:S30"/>
    <mergeCell ref="O11:P13"/>
    <mergeCell ref="W45:Y45"/>
    <mergeCell ref="N20:N21"/>
    <mergeCell ref="AF16:AG17"/>
    <mergeCell ref="K24:K25"/>
    <mergeCell ref="C24:C25"/>
    <mergeCell ref="E24:E25"/>
    <mergeCell ref="E5:H6"/>
  </mergeCells>
  <pageMargins left="0.2362204724409449" right="0.2362204724409449" top="0.7480314960629921" bottom="0.7480314960629921" header="0.3149606299212598" footer="0.3149606299212598"/>
  <pageSetup orientation="portrait" paperSize="9" scale="7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O27"/>
  <sheetViews>
    <sheetView workbookViewId="0">
      <selection activeCell="B12" sqref="B12:O12"/>
    </sheetView>
  </sheetViews>
  <sheetFormatPr baseColWidth="10" defaultRowHeight="12.75"/>
  <cols>
    <col width="9.5703125" customWidth="1" style="123" min="2" max="2"/>
    <col width="5.28515625" customWidth="1" style="123" min="3" max="3"/>
    <col width="10.28515625" customWidth="1" style="123" min="7" max="7"/>
    <col hidden="1" width="11.42578125" customWidth="1" style="123" min="8" max="8"/>
    <col width="3.5703125" customWidth="1" style="123" min="9" max="9"/>
    <col width="4.7109375" customWidth="1" style="123" min="10" max="10"/>
    <col hidden="1" width="0.140625" customWidth="1" style="123" min="11" max="11"/>
    <col hidden="1" width="11.42578125" customWidth="1" style="123" min="12" max="13"/>
    <col hidden="1" width="11.140625" customWidth="1" style="123" min="14" max="14"/>
    <col width="7.7109375" customWidth="1" style="123" min="15" max="15"/>
  </cols>
  <sheetData>
    <row r="1">
      <c r="A1" s="179" t="n"/>
    </row>
    <row r="2">
      <c r="A2" s="177" t="n"/>
      <c r="B2" s="105" t="n"/>
      <c r="C2" s="105" t="n"/>
      <c r="D2" s="105" t="n"/>
      <c r="E2" s="105" t="n"/>
      <c r="F2" s="105" t="n"/>
      <c r="G2" s="105" t="n"/>
      <c r="H2" s="105" t="n"/>
      <c r="I2" s="105" t="n"/>
      <c r="J2" s="105" t="n"/>
      <c r="K2" s="105" t="n"/>
      <c r="L2" s="105" t="n"/>
      <c r="M2" s="105" t="n"/>
      <c r="N2" s="105" t="n"/>
      <c r="O2" s="106" t="n"/>
    </row>
    <row r="3">
      <c r="A3" s="119" t="n"/>
      <c r="B3" s="139" t="n"/>
      <c r="C3" s="111" t="n"/>
      <c r="D3" s="178" t="inlineStr">
        <is>
          <t xml:space="preserve">        SIGNIFICADO DE LA SIMBOLOGIA            Symbol Meaning</t>
        </is>
      </c>
      <c r="E3" s="139" t="n"/>
      <c r="F3" s="139" t="n"/>
      <c r="G3" s="139" t="n"/>
      <c r="H3" s="139" t="n"/>
      <c r="I3" s="139" t="n"/>
      <c r="J3" s="139" t="n"/>
      <c r="K3" s="139" t="n"/>
      <c r="L3" s="139" t="n"/>
      <c r="M3" s="139" t="n"/>
      <c r="N3" s="139" t="n"/>
      <c r="O3" s="111" t="n"/>
    </row>
    <row r="4">
      <c r="A4" s="162" t="n"/>
      <c r="C4" s="163" t="n"/>
      <c r="D4" s="162" t="n"/>
      <c r="O4" s="163" t="n"/>
    </row>
    <row r="5">
      <c r="A5" s="112" t="n"/>
      <c r="B5" s="140" t="n"/>
      <c r="C5" s="113" t="n"/>
      <c r="D5" s="112" t="n"/>
      <c r="E5" s="140" t="n"/>
      <c r="F5" s="140" t="n"/>
      <c r="G5" s="140" t="n"/>
      <c r="H5" s="140" t="n"/>
      <c r="I5" s="140" t="n"/>
      <c r="J5" s="140" t="n"/>
      <c r="K5" s="140" t="n"/>
      <c r="L5" s="140" t="n"/>
      <c r="M5" s="140" t="n"/>
      <c r="N5" s="140" t="n"/>
      <c r="O5" s="113" t="n"/>
    </row>
    <row r="6" ht="18" customHeight="1" s="123">
      <c r="A6" s="180" t="n"/>
      <c r="B6" s="139" t="n"/>
      <c r="C6" s="139" t="n"/>
      <c r="D6" s="139" t="n"/>
      <c r="E6" s="139" t="n"/>
      <c r="F6" s="139" t="n"/>
      <c r="G6" s="139" t="n"/>
      <c r="H6" s="139" t="n"/>
      <c r="I6" s="139" t="n"/>
      <c r="J6" s="139" t="n"/>
      <c r="K6" s="139" t="n"/>
      <c r="L6" s="139" t="n"/>
      <c r="M6" s="139" t="n"/>
      <c r="N6" s="139" t="n"/>
      <c r="O6" s="111" t="n"/>
    </row>
    <row r="7" ht="30" customHeight="1" s="123">
      <c r="A7" s="5" t="inlineStr">
        <is>
          <t xml:space="preserve"> C:</t>
        </is>
      </c>
      <c r="B7" s="173" t="inlineStr">
        <is>
          <t xml:space="preserve">Ancho del aro exterior, Crapodina (Rod. Axial) es la altura
</t>
        </is>
      </c>
      <c r="C7" s="105" t="n"/>
      <c r="D7" s="105" t="n"/>
      <c r="E7" s="105" t="n"/>
      <c r="F7" s="105" t="n"/>
      <c r="G7" s="105" t="n"/>
      <c r="H7" s="105" t="n"/>
      <c r="I7" s="105" t="n"/>
      <c r="J7" s="105" t="n"/>
      <c r="K7" s="105" t="n"/>
      <c r="L7" s="105" t="n"/>
      <c r="M7" s="105" t="n"/>
      <c r="N7" s="105" t="n"/>
      <c r="O7" s="106" t="n"/>
    </row>
    <row r="8" ht="30" customHeight="1" s="123">
      <c r="A8" s="5" t="inlineStr">
        <is>
          <t>D:</t>
        </is>
      </c>
      <c r="B8" s="176" t="inlineStr">
        <is>
          <t>Diámetro exterior del rodamiento / Bearing outside diameter</t>
        </is>
      </c>
      <c r="C8" s="105" t="n"/>
      <c r="D8" s="105" t="n"/>
      <c r="E8" s="105" t="n"/>
      <c r="F8" s="105" t="n"/>
      <c r="G8" s="105" t="n"/>
      <c r="H8" s="105" t="n"/>
      <c r="I8" s="105" t="n"/>
      <c r="J8" s="105" t="n"/>
      <c r="K8" s="105" t="n"/>
      <c r="L8" s="105" t="n"/>
      <c r="M8" s="105" t="n"/>
      <c r="N8" s="105" t="n"/>
      <c r="O8" s="106" t="n"/>
    </row>
    <row r="9" ht="30" customHeight="1" s="123">
      <c r="A9" s="5" t="inlineStr">
        <is>
          <t>VDp:</t>
        </is>
      </c>
      <c r="B9" s="173" t="inlineStr">
        <is>
          <t>Variación del diámetro exterior en un plano radial simple / Outside diameter variation in single radial plane</t>
        </is>
      </c>
      <c r="C9" s="105" t="n"/>
      <c r="D9" s="105" t="n"/>
      <c r="E9" s="105" t="n"/>
      <c r="F9" s="105" t="n"/>
      <c r="G9" s="105" t="n"/>
      <c r="H9" s="105" t="n"/>
      <c r="I9" s="105" t="n"/>
      <c r="J9" s="105" t="n"/>
      <c r="K9" s="105" t="n"/>
      <c r="L9" s="105" t="n"/>
      <c r="M9" s="105" t="n"/>
      <c r="N9" s="105" t="n"/>
      <c r="O9" s="106" t="n"/>
    </row>
    <row r="10" ht="30" customHeight="1" s="123">
      <c r="A10" s="5" t="inlineStr">
        <is>
          <t>reA:</t>
        </is>
      </c>
      <c r="B10" s="173" t="inlineStr">
        <is>
          <t>Dimensión axial del chaflán en el aro exterior / Outer ring axial chamfer dimension</t>
        </is>
      </c>
      <c r="C10" s="105" t="n"/>
      <c r="D10" s="105" t="n"/>
      <c r="E10" s="105" t="n"/>
      <c r="F10" s="105" t="n"/>
      <c r="G10" s="105" t="n"/>
      <c r="H10" s="105" t="n"/>
      <c r="I10" s="105" t="n"/>
      <c r="J10" s="105" t="n"/>
      <c r="K10" s="105" t="n"/>
      <c r="L10" s="105" t="n"/>
      <c r="M10" s="105" t="n"/>
      <c r="N10" s="105" t="n"/>
      <c r="O10" s="106" t="n"/>
    </row>
    <row r="11" ht="30" customHeight="1" s="123">
      <c r="A11" s="5" t="inlineStr">
        <is>
          <t>reR:</t>
        </is>
      </c>
      <c r="B11" s="173" t="inlineStr">
        <is>
          <t>Dimensión radial del chaflán en el aro exterior / Outer ring radial chamfer dimension</t>
        </is>
      </c>
      <c r="C11" s="105" t="n"/>
      <c r="D11" s="105" t="n"/>
      <c r="E11" s="105" t="n"/>
      <c r="F11" s="105" t="n"/>
      <c r="G11" s="105" t="n"/>
      <c r="H11" s="105" t="n"/>
      <c r="I11" s="105" t="n"/>
      <c r="J11" s="105" t="n"/>
      <c r="K11" s="105" t="n"/>
      <c r="L11" s="105" t="n"/>
      <c r="M11" s="105" t="n"/>
      <c r="N11" s="105" t="n"/>
      <c r="O11" s="106" t="n"/>
    </row>
    <row r="12" ht="30" customHeight="1" s="123">
      <c r="A12" s="5" t="inlineStr">
        <is>
          <t>B:</t>
        </is>
      </c>
      <c r="B12" s="173" t="inlineStr">
        <is>
          <t>Ancho del aro interior / Inner ring width
Rodamiento Axial (Crapodina) Diametro interior mayor</t>
        </is>
      </c>
      <c r="C12" s="105" t="n"/>
      <c r="D12" s="105" t="n"/>
      <c r="E12" s="105" t="n"/>
      <c r="F12" s="105" t="n"/>
      <c r="G12" s="105" t="n"/>
      <c r="H12" s="105" t="n"/>
      <c r="I12" s="105" t="n"/>
      <c r="J12" s="105" t="n"/>
      <c r="K12" s="105" t="n"/>
      <c r="L12" s="105" t="n"/>
      <c r="M12" s="105" t="n"/>
      <c r="N12" s="105" t="n"/>
      <c r="O12" s="106" t="n"/>
    </row>
    <row r="13" ht="30" customHeight="1" s="123">
      <c r="A13" s="5" t="inlineStr">
        <is>
          <t>d:</t>
        </is>
      </c>
      <c r="B13" s="173" t="inlineStr">
        <is>
          <t>Diámetro del agujero del aro interior del rodamiento / Bearing bore diameter</t>
        </is>
      </c>
      <c r="C13" s="105" t="n"/>
      <c r="D13" s="105" t="n"/>
      <c r="E13" s="105" t="n"/>
      <c r="F13" s="105" t="n"/>
      <c r="G13" s="105" t="n"/>
      <c r="H13" s="105" t="n"/>
      <c r="I13" s="105" t="n"/>
      <c r="J13" s="105" t="n"/>
      <c r="K13" s="105" t="n"/>
      <c r="L13" s="105" t="n"/>
      <c r="M13" s="105" t="n"/>
      <c r="N13" s="105" t="n"/>
      <c r="O13" s="106" t="n"/>
    </row>
    <row r="14" ht="30" customHeight="1" s="123">
      <c r="A14" s="5" t="inlineStr">
        <is>
          <t>Vdp:</t>
        </is>
      </c>
      <c r="B14" s="173" t="inlineStr">
        <is>
          <t>Variación diametral del agujero del aro interior en un plano radial simple / Bore diameter variation in a single radial plane</t>
        </is>
      </c>
      <c r="C14" s="105" t="n"/>
      <c r="D14" s="105" t="n"/>
      <c r="E14" s="105" t="n"/>
      <c r="F14" s="105" t="n"/>
      <c r="G14" s="105" t="n"/>
      <c r="H14" s="105" t="n"/>
      <c r="I14" s="105" t="n"/>
      <c r="J14" s="105" t="n"/>
      <c r="K14" s="105" t="n"/>
      <c r="L14" s="105" t="n"/>
      <c r="M14" s="105" t="n"/>
      <c r="N14" s="105" t="n"/>
      <c r="O14" s="106" t="n"/>
    </row>
    <row r="15" ht="30" customHeight="1" s="123">
      <c r="A15" s="5" t="inlineStr">
        <is>
          <t>Vdmp:</t>
        </is>
      </c>
      <c r="B15" s="173" t="inlineStr">
        <is>
          <t>Conicidad del agujero del aro interior (diferencia de medida en ambos lados) / Mean bore diameter variation</t>
        </is>
      </c>
      <c r="C15" s="105" t="n"/>
      <c r="D15" s="105" t="n"/>
      <c r="E15" s="105" t="n"/>
      <c r="F15" s="105" t="n"/>
      <c r="G15" s="105" t="n"/>
      <c r="H15" s="105" t="n"/>
      <c r="I15" s="105" t="n"/>
      <c r="J15" s="105" t="n"/>
      <c r="K15" s="105" t="n"/>
      <c r="L15" s="105" t="n"/>
      <c r="M15" s="105" t="n"/>
      <c r="N15" s="105" t="n"/>
      <c r="O15" s="106" t="n"/>
    </row>
    <row r="16" ht="30" customHeight="1" s="123">
      <c r="A16" s="5" t="inlineStr">
        <is>
          <t>riA:</t>
        </is>
      </c>
      <c r="B16" s="173" t="inlineStr">
        <is>
          <t>Dimensión axial del chaflán en el aro interior / Inner ring axial chamfer dimension</t>
        </is>
      </c>
      <c r="C16" s="105" t="n"/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6" t="n"/>
    </row>
    <row r="17" ht="30" customHeight="1" s="123">
      <c r="A17" s="5" t="inlineStr">
        <is>
          <t>riR:</t>
        </is>
      </c>
      <c r="B17" s="173" t="inlineStr">
        <is>
          <t>Dimensión radial del claflán en el aro interior / Innedir ring radial chamfer dimension</t>
        </is>
      </c>
      <c r="C17" s="105" t="n"/>
      <c r="D17" s="105" t="n"/>
      <c r="E17" s="105" t="n"/>
      <c r="F17" s="105" t="n"/>
      <c r="G17" s="105" t="n"/>
      <c r="H17" s="105" t="n"/>
      <c r="I17" s="105" t="n"/>
      <c r="J17" s="105" t="n"/>
      <c r="K17" s="105" t="n"/>
      <c r="L17" s="105" t="n"/>
      <c r="M17" s="105" t="n"/>
      <c r="N17" s="105" t="n"/>
      <c r="O17" s="106" t="n"/>
    </row>
    <row r="18" ht="30" customHeight="1" s="123">
      <c r="A18" s="5" t="inlineStr">
        <is>
          <t>GR:</t>
        </is>
      </c>
      <c r="B18" s="176" t="inlineStr">
        <is>
          <t>Juego radial</t>
        </is>
      </c>
      <c r="C18" s="105" t="n"/>
      <c r="D18" s="105" t="n"/>
      <c r="E18" s="105" t="n"/>
      <c r="F18" s="105" t="n"/>
      <c r="G18" s="105" t="n"/>
      <c r="H18" s="105" t="n"/>
      <c r="I18" s="105" t="n"/>
      <c r="J18" s="105" t="n"/>
      <c r="K18" s="105" t="n"/>
      <c r="L18" s="105" t="n"/>
      <c r="M18" s="105" t="n"/>
      <c r="N18" s="105" t="n"/>
      <c r="O18" s="106" t="n"/>
    </row>
    <row r="19" ht="30" customHeight="1" s="123">
      <c r="A19" s="5" t="inlineStr">
        <is>
          <t xml:space="preserve">GA: </t>
        </is>
      </c>
      <c r="B19" s="176" t="inlineStr">
        <is>
          <t>Juego axial</t>
        </is>
      </c>
      <c r="C19" s="105" t="n"/>
      <c r="D19" s="105" t="n"/>
      <c r="E19" s="105" t="n"/>
      <c r="F19" s="105" t="n"/>
      <c r="G19" s="105" t="n"/>
      <c r="H19" s="105" t="n"/>
      <c r="I19" s="105" t="n"/>
      <c r="J19" s="105" t="n"/>
      <c r="K19" s="105" t="n"/>
      <c r="L19" s="105" t="n"/>
      <c r="M19" s="105" t="n"/>
      <c r="N19" s="105" t="n"/>
      <c r="O19" s="106" t="n"/>
    </row>
    <row r="20" ht="30" customHeight="1" s="123">
      <c r="A20" s="5" t="inlineStr">
        <is>
          <t>Ra</t>
        </is>
      </c>
      <c r="B20" s="176" t="inlineStr">
        <is>
          <t>Rugosidad</t>
        </is>
      </c>
      <c r="C20" s="105" t="n"/>
      <c r="D20" s="105" t="n"/>
      <c r="E20" s="105" t="n"/>
      <c r="F20" s="105" t="n"/>
      <c r="G20" s="105" t="n"/>
      <c r="H20" s="105" t="n"/>
      <c r="I20" s="105" t="n"/>
      <c r="J20" s="105" t="n"/>
      <c r="K20" s="105" t="n"/>
      <c r="L20" s="105" t="n"/>
      <c r="M20" s="105" t="n"/>
      <c r="N20" s="105" t="n"/>
      <c r="O20" s="106" t="n"/>
    </row>
    <row r="21" ht="30" customHeight="1" s="123">
      <c r="A21" s="6" t="n"/>
      <c r="B21" s="175" t="n"/>
      <c r="C21" s="105" t="n"/>
      <c r="D21" s="105" t="n"/>
      <c r="E21" s="105" t="n"/>
      <c r="F21" s="105" t="n"/>
      <c r="G21" s="105" t="n"/>
      <c r="H21" s="105" t="n"/>
      <c r="I21" s="105" t="n"/>
      <c r="J21" s="105" t="n"/>
      <c r="K21" s="105" t="n"/>
      <c r="L21" s="105" t="n"/>
      <c r="M21" s="105" t="n"/>
      <c r="N21" s="105" t="n"/>
      <c r="O21" s="106" t="n"/>
    </row>
    <row r="22" ht="30" customHeight="1" s="123">
      <c r="A22" s="6" t="n"/>
      <c r="B22" s="175" t="n"/>
      <c r="C22" s="105" t="n"/>
      <c r="D22" s="105" t="n"/>
      <c r="E22" s="105" t="n"/>
      <c r="F22" s="105" t="n"/>
      <c r="G22" s="105" t="n"/>
      <c r="H22" s="105" t="n"/>
      <c r="I22" s="105" t="n"/>
      <c r="J22" s="105" t="n"/>
      <c r="K22" s="105" t="n"/>
      <c r="L22" s="105" t="n"/>
      <c r="M22" s="105" t="n"/>
      <c r="N22" s="105" t="n"/>
      <c r="O22" s="106" t="n"/>
    </row>
    <row r="23" ht="30" customHeight="1" s="123">
      <c r="A23" s="4" t="n"/>
      <c r="B23" s="174" t="n"/>
      <c r="O23" s="163" t="n"/>
    </row>
    <row r="24" ht="30" customHeight="1" s="123">
      <c r="A24" s="6" t="n"/>
      <c r="B24" s="175" t="n"/>
      <c r="C24" s="105" t="n"/>
      <c r="D24" s="105" t="n"/>
      <c r="E24" s="105" t="n"/>
      <c r="F24" s="105" t="n"/>
      <c r="G24" s="105" t="n"/>
      <c r="H24" s="105" t="n"/>
      <c r="I24" s="105" t="n"/>
      <c r="J24" s="105" t="n"/>
      <c r="K24" s="105" t="n"/>
      <c r="L24" s="105" t="n"/>
      <c r="M24" s="105" t="n"/>
      <c r="N24" s="105" t="n"/>
      <c r="O24" s="106" t="n"/>
    </row>
    <row r="25" ht="30" customHeight="1" s="123">
      <c r="A25" s="4" t="n"/>
      <c r="B25" s="174" t="n"/>
      <c r="O25" s="163" t="n"/>
    </row>
    <row r="26" ht="30" customHeight="1" s="123">
      <c r="A26" s="23" t="n"/>
      <c r="B26" s="172" t="n"/>
      <c r="C26" s="105" t="n"/>
      <c r="D26" s="105" t="n"/>
      <c r="E26" s="105" t="n"/>
      <c r="F26" s="105" t="n"/>
      <c r="G26" s="105" t="n"/>
      <c r="H26" s="105" t="n"/>
      <c r="I26" s="105" t="n"/>
      <c r="J26" s="105" t="n"/>
      <c r="K26" s="105" t="n"/>
      <c r="L26" s="105" t="n"/>
      <c r="M26" s="105" t="n"/>
      <c r="N26" s="105" t="n"/>
      <c r="O26" s="106" t="n"/>
    </row>
    <row r="27" ht="30" customHeight="1" s="123">
      <c r="A27" s="23" t="n"/>
      <c r="B27" s="172" t="n"/>
      <c r="C27" s="105" t="n"/>
      <c r="D27" s="105" t="n"/>
      <c r="E27" s="105" t="n"/>
      <c r="F27" s="105" t="n"/>
      <c r="G27" s="105" t="n"/>
      <c r="H27" s="105" t="n"/>
      <c r="I27" s="105" t="n"/>
      <c r="J27" s="105" t="n"/>
      <c r="K27" s="105" t="n"/>
      <c r="L27" s="105" t="n"/>
      <c r="M27" s="105" t="n"/>
      <c r="N27" s="105" t="n"/>
      <c r="O27" s="106" t="n"/>
    </row>
  </sheetData>
  <mergeCells count="26">
    <mergeCell ref="B26:O26"/>
    <mergeCell ref="B16:O16"/>
    <mergeCell ref="B7:O7"/>
    <mergeCell ref="B25:O25"/>
    <mergeCell ref="A3:C5"/>
    <mergeCell ref="B22:O22"/>
    <mergeCell ref="B27:O27"/>
    <mergeCell ref="B18:O18"/>
    <mergeCell ref="B21:O21"/>
    <mergeCell ref="A2:O2"/>
    <mergeCell ref="B12:O12"/>
    <mergeCell ref="D3:O5"/>
    <mergeCell ref="B11:O11"/>
    <mergeCell ref="B23:O23"/>
    <mergeCell ref="B14:O14"/>
    <mergeCell ref="B17:O17"/>
    <mergeCell ref="B13:O13"/>
    <mergeCell ref="B8:O8"/>
    <mergeCell ref="B10:O10"/>
    <mergeCell ref="B19:O19"/>
    <mergeCell ref="B9:O9"/>
    <mergeCell ref="B24:O24"/>
    <mergeCell ref="B15:O15"/>
    <mergeCell ref="A1:O1"/>
    <mergeCell ref="B20:O20"/>
    <mergeCell ref="A6:O6"/>
  </mergeCells>
  <pageMargins left="0.7874015748031497" right="0.7874015748031497" top="0.984251968503937" bottom="0.984251968503937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XEU553"/>
  <sheetViews>
    <sheetView tabSelected="1" zoomScale="115" zoomScaleNormal="115" workbookViewId="0">
      <pane xSplit="2" ySplit="2" topLeftCell="C532" activePane="bottomRight" state="frozen"/>
      <selection activeCell="C16" sqref="C16"/>
      <selection pane="topRight" activeCell="C16" sqref="C16"/>
      <selection pane="bottomLeft" activeCell="C16" sqref="C16"/>
      <selection pane="bottomRight" activeCell="C556" sqref="C556"/>
    </sheetView>
  </sheetViews>
  <sheetFormatPr baseColWidth="10" defaultRowHeight="12.75"/>
  <cols>
    <col width="7.85546875" bestFit="1" customWidth="1" style="123" min="1" max="1"/>
    <col width="32.7109375" customWidth="1" style="31" min="2" max="2"/>
    <col width="9.7109375" customWidth="1" style="50" min="3" max="20"/>
    <col width="10.7109375" bestFit="1" customWidth="1" style="50" min="21" max="21"/>
    <col width="11" bestFit="1" customWidth="1" style="50" min="22" max="22"/>
    <col width="9.7109375" customWidth="1" style="50" min="23" max="24"/>
    <col width="23" bestFit="1" customWidth="1" style="50" min="25" max="25"/>
    <col width="22.5703125" bestFit="1" customWidth="1" style="50" min="26" max="26"/>
    <col width="23.28515625" customWidth="1" style="56" min="27" max="27"/>
    <col width="18.85546875" customWidth="1" style="50" min="28" max="28"/>
    <col width="17.42578125" customWidth="1" style="84" min="29" max="29"/>
    <col width="8.140625" customWidth="1" style="84" min="30" max="30"/>
    <col width="5.7109375" customWidth="1" style="123" min="31" max="49"/>
  </cols>
  <sheetData>
    <row r="1">
      <c r="A1" s="7" t="inlineStr">
        <is>
          <t>Elegido</t>
        </is>
      </c>
      <c r="B1" s="26" t="n">
        <v>536</v>
      </c>
      <c r="C1" s="32" t="n">
        <v>3</v>
      </c>
      <c r="D1" s="33" t="n">
        <v>4</v>
      </c>
      <c r="E1" s="33" t="n">
        <v>5</v>
      </c>
      <c r="F1" s="34" t="n">
        <v>6</v>
      </c>
      <c r="G1" s="34" t="n">
        <v>7</v>
      </c>
      <c r="H1" s="34" t="n">
        <v>8</v>
      </c>
      <c r="I1" s="34" t="n">
        <v>9</v>
      </c>
      <c r="J1" s="34" t="n">
        <v>10</v>
      </c>
      <c r="K1" s="34" t="n">
        <v>11</v>
      </c>
      <c r="L1" s="34" t="n">
        <v>12</v>
      </c>
      <c r="M1" s="34" t="n">
        <v>13</v>
      </c>
      <c r="N1" s="34" t="n">
        <v>14</v>
      </c>
      <c r="O1" s="34" t="n">
        <v>15</v>
      </c>
      <c r="P1" s="34" t="n">
        <v>16</v>
      </c>
      <c r="Q1" s="34" t="n">
        <v>17</v>
      </c>
      <c r="R1" s="34" t="n">
        <v>18</v>
      </c>
      <c r="S1" s="34" t="n">
        <v>19</v>
      </c>
      <c r="T1" s="34" t="n">
        <v>20</v>
      </c>
      <c r="U1" s="34" t="n">
        <v>21</v>
      </c>
      <c r="V1" s="34" t="n">
        <v>22</v>
      </c>
      <c r="W1" s="34" t="n">
        <v>23</v>
      </c>
      <c r="X1" s="34" t="n">
        <v>24</v>
      </c>
      <c r="Y1" s="35" t="n">
        <v>25</v>
      </c>
      <c r="Z1" s="56" t="n">
        <v>26</v>
      </c>
      <c r="AA1" s="56" t="n">
        <v>27</v>
      </c>
      <c r="AB1" s="56" t="n">
        <v>28</v>
      </c>
      <c r="AC1" s="56" t="n">
        <v>29</v>
      </c>
      <c r="AD1" s="56" t="n">
        <v>30</v>
      </c>
    </row>
    <row r="2" ht="12.75" customFormat="1" customHeight="1" s="74">
      <c r="A2" s="74" t="inlineStr">
        <is>
          <t>Numero</t>
        </is>
      </c>
      <c r="B2" s="67" t="inlineStr">
        <is>
          <t>Codigo</t>
        </is>
      </c>
      <c r="C2" s="68" t="inlineStr">
        <is>
          <t>C</t>
        </is>
      </c>
      <c r="D2" s="69" t="inlineStr">
        <is>
          <t>C+</t>
        </is>
      </c>
      <c r="E2" s="69" t="inlineStr">
        <is>
          <t>C-</t>
        </is>
      </c>
      <c r="F2" s="70" t="inlineStr">
        <is>
          <t>D</t>
        </is>
      </c>
      <c r="G2" s="69" t="inlineStr">
        <is>
          <t>D+</t>
        </is>
      </c>
      <c r="H2" s="71" t="inlineStr">
        <is>
          <t>D-</t>
        </is>
      </c>
      <c r="I2" s="70" t="inlineStr">
        <is>
          <t>B</t>
        </is>
      </c>
      <c r="J2" s="71" t="inlineStr">
        <is>
          <t>B+</t>
        </is>
      </c>
      <c r="K2" s="71" t="inlineStr">
        <is>
          <t>B-</t>
        </is>
      </c>
      <c r="L2" s="70" t="inlineStr">
        <is>
          <t>d</t>
        </is>
      </c>
      <c r="M2" s="71" t="inlineStr">
        <is>
          <t>d+</t>
        </is>
      </c>
      <c r="N2" s="71" t="inlineStr">
        <is>
          <t>d-</t>
        </is>
      </c>
      <c r="O2" s="72" t="inlineStr">
        <is>
          <t>GR</t>
        </is>
      </c>
      <c r="P2" s="71" t="inlineStr">
        <is>
          <t>GR+</t>
        </is>
      </c>
      <c r="Q2" s="71" t="inlineStr">
        <is>
          <t>GR-</t>
        </is>
      </c>
      <c r="R2" s="72" t="inlineStr">
        <is>
          <t>GA</t>
        </is>
      </c>
      <c r="S2" s="71" t="inlineStr">
        <is>
          <t>GA+</t>
        </is>
      </c>
      <c r="T2" s="71" t="inlineStr">
        <is>
          <t>GA-</t>
        </is>
      </c>
      <c r="U2" s="71" t="inlineStr">
        <is>
          <t>ARO INT+</t>
        </is>
      </c>
      <c r="V2" s="71" t="inlineStr">
        <is>
          <t>ARO INT -</t>
        </is>
      </c>
      <c r="W2" s="71" t="inlineStr">
        <is>
          <t>ARO EXT +</t>
        </is>
      </c>
      <c r="X2" s="71" t="inlineStr">
        <is>
          <t>ARO EXT -</t>
        </is>
      </c>
      <c r="Y2" s="71" t="inlineStr">
        <is>
          <t>PORCENTAJE DE GRASA</t>
        </is>
      </c>
      <c r="Z2" s="71" t="inlineStr">
        <is>
          <t>TIPO DE GRASA</t>
        </is>
      </c>
      <c r="AA2" s="71" t="inlineStr">
        <is>
          <t>TORQUE DESELLOS +</t>
        </is>
      </c>
      <c r="AB2" s="71" t="inlineStr">
        <is>
          <t>TORQUE DESELLOS -</t>
        </is>
      </c>
      <c r="AC2" s="73" t="inlineStr">
        <is>
          <t>Fecha Rev. Plano</t>
        </is>
      </c>
      <c r="AD2" s="73" t="inlineStr">
        <is>
          <t>Rev.</t>
        </is>
      </c>
    </row>
    <row r="3" ht="15.75" customHeight="1" s="123">
      <c r="A3" s="85" t="n">
        <v>1</v>
      </c>
      <c r="B3" s="30" t="inlineStr">
        <is>
          <t>1207-TN-C3</t>
        </is>
      </c>
      <c r="C3" s="38" t="n">
        <v>17</v>
      </c>
      <c r="D3" s="38" t="n">
        <v>0</v>
      </c>
      <c r="E3" s="38" t="n">
        <v>-120</v>
      </c>
      <c r="F3" s="38" t="n">
        <v>72</v>
      </c>
      <c r="G3" s="38" t="n">
        <v>0</v>
      </c>
      <c r="H3" s="38" t="n">
        <v>-13</v>
      </c>
      <c r="I3" s="38" t="n">
        <v>17</v>
      </c>
      <c r="J3" s="38" t="n">
        <v>0</v>
      </c>
      <c r="K3" s="38" t="n">
        <v>-120</v>
      </c>
      <c r="L3" s="38" t="n">
        <v>35</v>
      </c>
      <c r="M3" s="38" t="n">
        <v>0</v>
      </c>
      <c r="N3" s="38" t="n">
        <v>-12</v>
      </c>
      <c r="O3" s="38" t="inlineStr">
        <is>
          <t>C3</t>
        </is>
      </c>
      <c r="P3" s="38" t="n">
        <v>40</v>
      </c>
      <c r="Q3" s="38" t="n">
        <v>23</v>
      </c>
      <c r="R3" s="38" t="inlineStr">
        <is>
          <t>NO</t>
        </is>
      </c>
      <c r="S3" s="38" t="inlineStr">
        <is>
          <t>NO</t>
        </is>
      </c>
      <c r="T3" s="38" t="inlineStr">
        <is>
          <t>NO</t>
        </is>
      </c>
      <c r="U3" s="38" t="n">
        <v>64</v>
      </c>
      <c r="V3" s="38" t="n">
        <v>58</v>
      </c>
      <c r="W3" s="38" t="n">
        <v>64</v>
      </c>
      <c r="X3" s="38" t="n">
        <v>58</v>
      </c>
      <c r="Y3" s="36" t="inlineStr">
        <is>
          <t>NO</t>
        </is>
      </c>
      <c r="Z3" s="38" t="inlineStr">
        <is>
          <t>NO</t>
        </is>
      </c>
      <c r="AA3" s="45" t="inlineStr">
        <is>
          <t>NO</t>
        </is>
      </c>
      <c r="AB3" s="45" t="inlineStr">
        <is>
          <t>NO</t>
        </is>
      </c>
      <c r="AC3" s="44" t="n">
        <v>42751</v>
      </c>
      <c r="AD3" s="57" t="n">
        <v>0</v>
      </c>
    </row>
    <row r="4" ht="15.75" customHeight="1" s="123">
      <c r="A4" s="85" t="n">
        <v>2</v>
      </c>
      <c r="B4" s="30" t="n">
        <v>1205</v>
      </c>
      <c r="C4" s="38" t="n">
        <v>15</v>
      </c>
      <c r="D4" s="37" t="n">
        <v>0</v>
      </c>
      <c r="E4" s="37" t="n">
        <v>-120</v>
      </c>
      <c r="F4" s="37" t="n">
        <v>52</v>
      </c>
      <c r="G4" s="37" t="n">
        <v>0</v>
      </c>
      <c r="H4" s="37" t="n">
        <v>-13</v>
      </c>
      <c r="I4" s="38" t="n">
        <v>15</v>
      </c>
      <c r="J4" s="38" t="n">
        <v>0</v>
      </c>
      <c r="K4" s="38" t="n">
        <v>-120</v>
      </c>
      <c r="L4" s="38" t="n">
        <v>25</v>
      </c>
      <c r="M4" s="38" t="n">
        <v>0</v>
      </c>
      <c r="N4" s="38" t="n">
        <v>-10</v>
      </c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6" t="n"/>
      <c r="Z4" s="38" t="n"/>
      <c r="AA4" s="45" t="inlineStr">
        <is>
          <t>…………..</t>
        </is>
      </c>
      <c r="AB4" s="45" t="inlineStr">
        <is>
          <t>…………..</t>
        </is>
      </c>
      <c r="AC4" s="44" t="inlineStr">
        <is>
          <t>……………</t>
        </is>
      </c>
      <c r="AD4" s="57" t="inlineStr">
        <is>
          <t>………</t>
        </is>
      </c>
    </row>
    <row r="5" ht="12" customHeight="1" s="123">
      <c r="A5" s="85" t="n">
        <v>3</v>
      </c>
      <c r="B5" s="30" t="n">
        <v>1210</v>
      </c>
      <c r="C5" s="38" t="n">
        <v>20</v>
      </c>
      <c r="D5" s="38" t="n">
        <v>0</v>
      </c>
      <c r="E5" s="38" t="n">
        <v>-120</v>
      </c>
      <c r="F5" s="38" t="n">
        <v>90</v>
      </c>
      <c r="G5" s="38" t="n">
        <v>0</v>
      </c>
      <c r="H5" s="38" t="n">
        <v>-15</v>
      </c>
      <c r="I5" s="38" t="n">
        <v>20</v>
      </c>
      <c r="J5" s="38" t="n">
        <v>0</v>
      </c>
      <c r="K5" s="38" t="n">
        <v>-120</v>
      </c>
      <c r="L5" s="38" t="n">
        <v>50</v>
      </c>
      <c r="M5" s="38" t="n">
        <v>0</v>
      </c>
      <c r="N5" s="38" t="n">
        <v>-12</v>
      </c>
      <c r="O5" s="38" t="inlineStr">
        <is>
          <t>Axial (C0)</t>
        </is>
      </c>
      <c r="P5" s="38" t="n">
        <v>11</v>
      </c>
      <c r="Q5" s="38" t="n">
        <v>33</v>
      </c>
      <c r="R5" s="38" t="n"/>
      <c r="S5" s="38" t="n"/>
      <c r="T5" s="38" t="n"/>
      <c r="U5" s="38" t="n"/>
      <c r="V5" s="38" t="n"/>
      <c r="W5" s="38" t="n"/>
      <c r="X5" s="38" t="n"/>
      <c r="Y5" s="36" t="n"/>
      <c r="Z5" s="38" t="n"/>
      <c r="AA5" s="45" t="inlineStr">
        <is>
          <t>…………..</t>
        </is>
      </c>
      <c r="AB5" s="45" t="inlineStr">
        <is>
          <t>…………..</t>
        </is>
      </c>
      <c r="AC5" s="44" t="inlineStr">
        <is>
          <t>……………</t>
        </is>
      </c>
      <c r="AD5" s="57" t="inlineStr">
        <is>
          <t>………</t>
        </is>
      </c>
    </row>
    <row r="6" ht="12.75" customHeight="1" s="123">
      <c r="A6" s="85" t="n">
        <v>4</v>
      </c>
      <c r="B6" s="27" t="inlineStr">
        <is>
          <t>B&amp;P-040-1211-K-C3-HLBR</t>
        </is>
      </c>
      <c r="C6" s="38" t="n">
        <v>21</v>
      </c>
      <c r="D6" s="38" t="n">
        <v>0</v>
      </c>
      <c r="E6" s="38" t="n">
        <v>-150</v>
      </c>
      <c r="F6" s="38" t="n">
        <v>100</v>
      </c>
      <c r="G6" s="38" t="n">
        <v>0</v>
      </c>
      <c r="H6" s="38" t="n">
        <v>-15</v>
      </c>
      <c r="I6" s="38" t="n">
        <v>21</v>
      </c>
      <c r="J6" s="38" t="n">
        <v>0</v>
      </c>
      <c r="K6" s="38" t="n">
        <v>-150</v>
      </c>
      <c r="L6" s="38" t="n">
        <v>55</v>
      </c>
      <c r="M6" s="38" t="n">
        <v>46</v>
      </c>
      <c r="N6" s="38" t="n">
        <v>0</v>
      </c>
      <c r="O6" s="38" t="inlineStr">
        <is>
          <t>C3</t>
        </is>
      </c>
      <c r="P6" s="38" t="n">
        <v>41</v>
      </c>
      <c r="Q6" s="38" t="n">
        <v>61</v>
      </c>
      <c r="R6" s="38" t="inlineStr">
        <is>
          <t>NO</t>
        </is>
      </c>
      <c r="S6" s="38" t="inlineStr">
        <is>
          <t>NO</t>
        </is>
      </c>
      <c r="T6" s="38" t="inlineStr">
        <is>
          <t>NO</t>
        </is>
      </c>
      <c r="U6" s="38" t="inlineStr">
        <is>
          <t>58 HRC</t>
        </is>
      </c>
      <c r="V6" s="38" t="inlineStr">
        <is>
          <t>65 HRC</t>
        </is>
      </c>
      <c r="W6" s="38" t="inlineStr">
        <is>
          <t>58 HRC</t>
        </is>
      </c>
      <c r="X6" s="38" t="inlineStr">
        <is>
          <t>65 HRC</t>
        </is>
      </c>
      <c r="Y6" s="36" t="inlineStr">
        <is>
          <t>NO</t>
        </is>
      </c>
      <c r="Z6" s="38" t="inlineStr">
        <is>
          <t>NO</t>
        </is>
      </c>
      <c r="AA6" s="45" t="inlineStr">
        <is>
          <t>NO</t>
        </is>
      </c>
      <c r="AB6" s="45" t="inlineStr">
        <is>
          <t>NO</t>
        </is>
      </c>
      <c r="AC6" s="44" t="n">
        <v>45397</v>
      </c>
      <c r="AD6" s="57" t="inlineStr">
        <is>
          <t>B</t>
        </is>
      </c>
    </row>
    <row r="7" ht="12.75" customHeight="1" s="123">
      <c r="A7" s="85" t="n">
        <v>5</v>
      </c>
      <c r="B7" s="30" t="n">
        <v>1306</v>
      </c>
      <c r="C7" s="38" t="n">
        <v>19</v>
      </c>
      <c r="D7" s="38" t="n">
        <v>0</v>
      </c>
      <c r="E7" s="38" t="n">
        <v>-120</v>
      </c>
      <c r="F7" s="38" t="n">
        <v>72</v>
      </c>
      <c r="G7" s="38" t="n">
        <v>0</v>
      </c>
      <c r="H7" s="38" t="n">
        <v>-13</v>
      </c>
      <c r="I7" s="38" t="n">
        <v>19</v>
      </c>
      <c r="J7" s="38" t="n">
        <v>0</v>
      </c>
      <c r="K7" s="38" t="n">
        <v>-120</v>
      </c>
      <c r="L7" s="38" t="n">
        <v>30</v>
      </c>
      <c r="M7" s="38" t="n">
        <v>0</v>
      </c>
      <c r="N7" s="38" t="n">
        <v>-10</v>
      </c>
      <c r="O7" s="38" t="inlineStr">
        <is>
          <t>Axial (C0)</t>
        </is>
      </c>
      <c r="P7" s="38" t="n">
        <v>8</v>
      </c>
      <c r="Q7" s="38" t="n">
        <v>27</v>
      </c>
      <c r="R7" s="38" t="n"/>
      <c r="S7" s="38" t="n"/>
      <c r="T7" s="38" t="n"/>
      <c r="U7" s="38" t="n"/>
      <c r="V7" s="38" t="n"/>
      <c r="W7" s="38" t="n"/>
      <c r="X7" s="38" t="n"/>
      <c r="Y7" s="36" t="n"/>
      <c r="Z7" s="38" t="n"/>
      <c r="AA7" s="45" t="inlineStr">
        <is>
          <t>…………..</t>
        </is>
      </c>
      <c r="AB7" s="45" t="inlineStr">
        <is>
          <t>…………..</t>
        </is>
      </c>
      <c r="AC7" s="44" t="inlineStr">
        <is>
          <t>……………</t>
        </is>
      </c>
      <c r="AD7" s="57" t="inlineStr">
        <is>
          <t>………</t>
        </is>
      </c>
    </row>
    <row r="8" ht="15.75" customHeight="1" s="123">
      <c r="A8" s="85" t="n">
        <v>6</v>
      </c>
      <c r="B8" s="30" t="n">
        <v>1312</v>
      </c>
      <c r="C8" s="38" t="n">
        <v>31</v>
      </c>
      <c r="D8" s="38" t="n">
        <v>0</v>
      </c>
      <c r="E8" s="38" t="n">
        <v>-150</v>
      </c>
      <c r="F8" s="38" t="n">
        <v>120</v>
      </c>
      <c r="G8" s="38" t="n">
        <v>0</v>
      </c>
      <c r="H8" s="38" t="n">
        <v>-15</v>
      </c>
      <c r="I8" s="38" t="n">
        <v>31</v>
      </c>
      <c r="J8" s="38" t="n">
        <v>0</v>
      </c>
      <c r="K8" s="38" t="n">
        <v>-150</v>
      </c>
      <c r="L8" s="38" t="n">
        <v>60</v>
      </c>
      <c r="M8" s="38" t="n">
        <v>0</v>
      </c>
      <c r="N8" s="38" t="n">
        <v>-15</v>
      </c>
      <c r="O8" s="38" t="inlineStr">
        <is>
          <t>Axial (C0)</t>
        </is>
      </c>
      <c r="P8" s="38" t="n">
        <v>13</v>
      </c>
      <c r="Q8" s="38" t="n">
        <v>36</v>
      </c>
      <c r="R8" s="38" t="n"/>
      <c r="S8" s="38" t="n"/>
      <c r="T8" s="38" t="n"/>
      <c r="U8" s="38" t="n"/>
      <c r="V8" s="38" t="n"/>
      <c r="W8" s="38" t="n"/>
      <c r="X8" s="38" t="n"/>
      <c r="Y8" s="36" t="n"/>
      <c r="Z8" s="38" t="n"/>
      <c r="AA8" s="45" t="inlineStr">
        <is>
          <t>…………..</t>
        </is>
      </c>
      <c r="AB8" s="45" t="inlineStr">
        <is>
          <t>…………..</t>
        </is>
      </c>
      <c r="AC8" s="44" t="inlineStr">
        <is>
          <t>……………</t>
        </is>
      </c>
      <c r="AD8" s="57" t="inlineStr">
        <is>
          <t>………</t>
        </is>
      </c>
    </row>
    <row r="9" ht="15.75" customHeight="1" s="123">
      <c r="A9" s="85" t="n">
        <v>7</v>
      </c>
      <c r="B9" s="30" t="n">
        <v>2200</v>
      </c>
      <c r="C9" s="38" t="n">
        <v>14</v>
      </c>
      <c r="D9" s="38" t="n">
        <v>0</v>
      </c>
      <c r="E9" s="38" t="n">
        <v>-120</v>
      </c>
      <c r="F9" s="38" t="n">
        <v>30</v>
      </c>
      <c r="G9" s="38" t="n">
        <v>0</v>
      </c>
      <c r="H9" s="38" t="n">
        <v>-8</v>
      </c>
      <c r="I9" s="38" t="n">
        <v>14</v>
      </c>
      <c r="J9" s="38" t="n">
        <v>0</v>
      </c>
      <c r="K9" s="38" t="n">
        <v>-120</v>
      </c>
      <c r="L9" s="38" t="n">
        <v>10</v>
      </c>
      <c r="M9" s="38" t="n">
        <v>0</v>
      </c>
      <c r="N9" s="38" t="n">
        <v>-8</v>
      </c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6" t="n"/>
      <c r="Z9" s="38" t="n"/>
      <c r="AA9" s="45" t="inlineStr">
        <is>
          <t>…………..</t>
        </is>
      </c>
      <c r="AB9" s="45" t="inlineStr">
        <is>
          <t>…………..</t>
        </is>
      </c>
      <c r="AC9" s="44" t="inlineStr">
        <is>
          <t>……………</t>
        </is>
      </c>
      <c r="AD9" s="57" t="inlineStr">
        <is>
          <t>………</t>
        </is>
      </c>
    </row>
    <row r="10" ht="12.75" customHeight="1" s="123">
      <c r="A10" s="85" t="n">
        <v>8</v>
      </c>
      <c r="B10" s="30" t="n">
        <v>2202</v>
      </c>
      <c r="C10" s="38" t="n">
        <v>14</v>
      </c>
      <c r="D10" s="38" t="n">
        <v>0</v>
      </c>
      <c r="E10" s="38" t="n">
        <v>-120</v>
      </c>
      <c r="F10" s="38" t="n">
        <v>35</v>
      </c>
      <c r="G10" s="38" t="n">
        <v>0</v>
      </c>
      <c r="H10" s="38" t="n">
        <v>-8</v>
      </c>
      <c r="I10" s="38" t="n">
        <v>14</v>
      </c>
      <c r="J10" s="38" t="n">
        <v>0</v>
      </c>
      <c r="K10" s="38" t="n">
        <v>-120</v>
      </c>
      <c r="L10" s="38" t="n">
        <v>15</v>
      </c>
      <c r="M10" s="38" t="n">
        <v>0</v>
      </c>
      <c r="N10" s="38" t="n">
        <v>-8</v>
      </c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6" t="n"/>
      <c r="Z10" s="38" t="n"/>
      <c r="AA10" s="45" t="inlineStr">
        <is>
          <t>…………..</t>
        </is>
      </c>
      <c r="AB10" s="45" t="inlineStr">
        <is>
          <t>…………..</t>
        </is>
      </c>
      <c r="AC10" s="44" t="inlineStr">
        <is>
          <t>……………</t>
        </is>
      </c>
      <c r="AD10" s="57" t="inlineStr">
        <is>
          <t>………</t>
        </is>
      </c>
    </row>
    <row r="11" ht="12.75" customHeight="1" s="123">
      <c r="A11" s="85" t="n">
        <v>9</v>
      </c>
      <c r="B11" s="30" t="n">
        <v>2208</v>
      </c>
      <c r="C11" s="38" t="n">
        <v>23</v>
      </c>
      <c r="D11" s="38" t="n">
        <v>0</v>
      </c>
      <c r="E11" s="38" t="n">
        <v>-120</v>
      </c>
      <c r="F11" s="38" t="n">
        <v>80</v>
      </c>
      <c r="G11" s="38" t="n">
        <v>0</v>
      </c>
      <c r="H11" s="38" t="n">
        <v>-13</v>
      </c>
      <c r="I11" s="38" t="n">
        <v>23</v>
      </c>
      <c r="J11" s="38" t="n">
        <v>0</v>
      </c>
      <c r="K11" s="38" t="n">
        <v>-120</v>
      </c>
      <c r="L11" s="38" t="n">
        <v>40</v>
      </c>
      <c r="M11" s="38" t="n">
        <v>0</v>
      </c>
      <c r="N11" s="38" t="n">
        <v>-12</v>
      </c>
      <c r="O11" s="38" t="n"/>
      <c r="P11" s="38" t="n"/>
      <c r="Q11" s="38" t="n"/>
      <c r="R11" s="38" t="inlineStr">
        <is>
          <t>C0</t>
        </is>
      </c>
      <c r="S11" s="38" t="n">
        <v>9</v>
      </c>
      <c r="T11" s="38" t="n">
        <v>29</v>
      </c>
      <c r="U11" s="38" t="n"/>
      <c r="V11" s="38" t="n"/>
      <c r="W11" s="38" t="n"/>
      <c r="X11" s="38" t="n"/>
      <c r="Y11" s="36" t="n"/>
      <c r="Z11" s="38" t="n"/>
      <c r="AA11" s="45" t="inlineStr">
        <is>
          <t>…………..</t>
        </is>
      </c>
      <c r="AB11" s="45" t="inlineStr">
        <is>
          <t>…………..</t>
        </is>
      </c>
      <c r="AC11" s="44" t="inlineStr">
        <is>
          <t>……………</t>
        </is>
      </c>
      <c r="AD11" s="57" t="inlineStr">
        <is>
          <t>………</t>
        </is>
      </c>
    </row>
    <row r="12" ht="12.75" customHeight="1" s="123">
      <c r="A12" s="85" t="n">
        <v>10</v>
      </c>
      <c r="B12" s="30" t="n">
        <v>5207</v>
      </c>
      <c r="C12" s="38" t="n">
        <v>27</v>
      </c>
      <c r="D12" s="38" t="n">
        <v>0</v>
      </c>
      <c r="E12" s="38" t="n">
        <v>-120</v>
      </c>
      <c r="F12" s="38" t="n">
        <v>72</v>
      </c>
      <c r="G12" s="38" t="n">
        <v>0</v>
      </c>
      <c r="H12" s="38" t="n">
        <v>-13</v>
      </c>
      <c r="I12" s="38" t="n">
        <v>27</v>
      </c>
      <c r="J12" s="38" t="n">
        <v>0</v>
      </c>
      <c r="K12" s="38" t="n">
        <v>-120</v>
      </c>
      <c r="L12" s="38" t="n">
        <v>35</v>
      </c>
      <c r="M12" s="38" t="n">
        <v>0</v>
      </c>
      <c r="N12" s="38" t="n">
        <v>-12</v>
      </c>
      <c r="O12" s="38" t="inlineStr">
        <is>
          <t>Radial</t>
        </is>
      </c>
      <c r="P12" s="38" t="n">
        <v>25</v>
      </c>
      <c r="Q12" s="38" t="n">
        <v>12</v>
      </c>
      <c r="R12" s="38" t="inlineStr">
        <is>
          <t>NO</t>
        </is>
      </c>
      <c r="S12" s="38" t="inlineStr">
        <is>
          <t>NO</t>
        </is>
      </c>
      <c r="T12" s="38" t="inlineStr">
        <is>
          <t>NO</t>
        </is>
      </c>
      <c r="U12" s="38" t="n">
        <v>64</v>
      </c>
      <c r="V12" s="38" t="n">
        <v>58</v>
      </c>
      <c r="W12" s="38" t="n">
        <v>64</v>
      </c>
      <c r="X12" s="38" t="n">
        <v>58</v>
      </c>
      <c r="Y12" s="36" t="inlineStr">
        <is>
          <t>NO</t>
        </is>
      </c>
      <c r="Z12" s="38" t="inlineStr">
        <is>
          <t>NO</t>
        </is>
      </c>
      <c r="AA12" s="45" t="inlineStr">
        <is>
          <t>NO</t>
        </is>
      </c>
      <c r="AB12" s="45" t="inlineStr">
        <is>
          <t>NO</t>
        </is>
      </c>
      <c r="AC12" s="44" t="n">
        <v>42681</v>
      </c>
      <c r="AD12" s="57" t="n">
        <v>0</v>
      </c>
    </row>
    <row r="13" ht="12.75" customHeight="1" s="123">
      <c r="A13" s="85" t="n">
        <v>11</v>
      </c>
      <c r="B13" s="30" t="n">
        <v>6006</v>
      </c>
      <c r="C13" s="38" t="n">
        <v>13</v>
      </c>
      <c r="D13" s="38" t="n">
        <v>0</v>
      </c>
      <c r="E13" s="38" t="n">
        <v>-120</v>
      </c>
      <c r="F13" s="38" t="n">
        <v>55</v>
      </c>
      <c r="G13" s="38" t="n">
        <v>0</v>
      </c>
      <c r="H13" s="38" t="n">
        <v>-13</v>
      </c>
      <c r="I13" s="38" t="n">
        <v>13</v>
      </c>
      <c r="J13" s="38" t="n">
        <v>0</v>
      </c>
      <c r="K13" s="38" t="n">
        <v>-120</v>
      </c>
      <c r="L13" s="38" t="n">
        <v>30</v>
      </c>
      <c r="M13" s="38" t="n">
        <v>0</v>
      </c>
      <c r="N13" s="38" t="n">
        <v>-10</v>
      </c>
      <c r="O13" s="38" t="inlineStr">
        <is>
          <t>C0</t>
        </is>
      </c>
      <c r="P13" s="38" t="n">
        <v>5</v>
      </c>
      <c r="Q13" s="38" t="n">
        <v>20</v>
      </c>
      <c r="R13" s="38" t="n"/>
      <c r="S13" s="38" t="n"/>
      <c r="T13" s="38" t="n"/>
      <c r="U13" s="38" t="n"/>
      <c r="V13" s="38" t="n"/>
      <c r="W13" s="38" t="n"/>
      <c r="X13" s="38" t="n"/>
      <c r="Y13" s="43" t="n"/>
      <c r="Z13" s="38" t="n"/>
      <c r="AA13" s="45" t="inlineStr">
        <is>
          <t>…………..</t>
        </is>
      </c>
      <c r="AB13" s="45" t="inlineStr">
        <is>
          <t>…………..</t>
        </is>
      </c>
      <c r="AC13" s="44" t="inlineStr">
        <is>
          <t>……………</t>
        </is>
      </c>
      <c r="AD13" s="57" t="inlineStr">
        <is>
          <t>………</t>
        </is>
      </c>
    </row>
    <row r="14" ht="12.75" customHeight="1" s="123">
      <c r="A14" s="85" t="n">
        <v>12</v>
      </c>
      <c r="B14" s="30" t="n">
        <v>6010</v>
      </c>
      <c r="C14" s="38" t="n">
        <v>16</v>
      </c>
      <c r="D14" s="38" t="n">
        <v>0</v>
      </c>
      <c r="E14" s="38" t="n">
        <v>-120</v>
      </c>
      <c r="F14" s="38" t="n">
        <v>80</v>
      </c>
      <c r="G14" s="38" t="n">
        <v>0</v>
      </c>
      <c r="H14" s="38" t="n">
        <v>-13</v>
      </c>
      <c r="I14" s="38" t="n">
        <v>16</v>
      </c>
      <c r="J14" s="38" t="n">
        <v>0</v>
      </c>
      <c r="K14" s="38" t="n">
        <v>-120</v>
      </c>
      <c r="L14" s="38" t="n">
        <v>50</v>
      </c>
      <c r="M14" s="38" t="n">
        <v>0</v>
      </c>
      <c r="N14" s="38" t="n">
        <v>-12</v>
      </c>
      <c r="O14" s="38" t="inlineStr">
        <is>
          <t>C0</t>
        </is>
      </c>
      <c r="P14" s="38" t="n">
        <v>6</v>
      </c>
      <c r="Q14" s="38" t="n">
        <v>23</v>
      </c>
      <c r="R14" s="38" t="n"/>
      <c r="S14" s="38" t="n"/>
      <c r="T14" s="38" t="n"/>
      <c r="U14" s="38" t="n"/>
      <c r="V14" s="38" t="n"/>
      <c r="W14" s="38" t="n"/>
      <c r="X14" s="38" t="n"/>
      <c r="Y14" s="36" t="n"/>
      <c r="Z14" s="38" t="n"/>
      <c r="AA14" s="45" t="inlineStr">
        <is>
          <t>…………..</t>
        </is>
      </c>
      <c r="AB14" s="45" t="inlineStr">
        <is>
          <t>…………..</t>
        </is>
      </c>
      <c r="AC14" s="44" t="inlineStr">
        <is>
          <t>……………</t>
        </is>
      </c>
      <c r="AD14" s="57" t="inlineStr">
        <is>
          <t>………</t>
        </is>
      </c>
    </row>
    <row r="15" ht="12.75" customHeight="1" s="123">
      <c r="A15" s="85" t="n">
        <v>13</v>
      </c>
      <c r="B15" s="30" t="n">
        <v>6011</v>
      </c>
      <c r="C15" s="38" t="n">
        <v>18</v>
      </c>
      <c r="D15" s="38" t="n">
        <v>0</v>
      </c>
      <c r="E15" s="38" t="n">
        <v>-150</v>
      </c>
      <c r="F15" s="38" t="n">
        <v>90</v>
      </c>
      <c r="G15" s="38" t="n">
        <v>0</v>
      </c>
      <c r="H15" s="38" t="n">
        <v>-15</v>
      </c>
      <c r="I15" s="38" t="n">
        <v>18</v>
      </c>
      <c r="J15" s="38" t="n">
        <v>0</v>
      </c>
      <c r="K15" s="38" t="n">
        <v>-150</v>
      </c>
      <c r="L15" s="38" t="n">
        <v>55</v>
      </c>
      <c r="M15" s="38" t="n">
        <v>0</v>
      </c>
      <c r="N15" s="38" t="n">
        <v>-15</v>
      </c>
      <c r="O15" s="38" t="inlineStr">
        <is>
          <t>C0</t>
        </is>
      </c>
      <c r="P15" s="38" t="n">
        <v>8</v>
      </c>
      <c r="Q15" s="38" t="n">
        <v>28</v>
      </c>
      <c r="R15" s="38" t="n"/>
      <c r="S15" s="38" t="n"/>
      <c r="T15" s="38" t="n"/>
      <c r="U15" s="38" t="n"/>
      <c r="V15" s="38" t="n"/>
      <c r="W15" s="38" t="n"/>
      <c r="X15" s="38" t="n"/>
      <c r="Y15" s="36" t="n"/>
      <c r="Z15" s="38" t="n"/>
      <c r="AA15" s="45" t="inlineStr">
        <is>
          <t>…………..</t>
        </is>
      </c>
      <c r="AB15" s="45" t="inlineStr">
        <is>
          <t>…………..</t>
        </is>
      </c>
      <c r="AC15" s="44" t="inlineStr">
        <is>
          <t>……………</t>
        </is>
      </c>
      <c r="AD15" s="57" t="inlineStr">
        <is>
          <t>………</t>
        </is>
      </c>
    </row>
    <row r="16" ht="12.75" customHeight="1" s="123">
      <c r="A16" s="85" t="n">
        <v>14</v>
      </c>
      <c r="B16" s="30" t="n">
        <v>6012</v>
      </c>
      <c r="C16" s="38" t="n">
        <v>18</v>
      </c>
      <c r="D16" s="38" t="n">
        <v>0</v>
      </c>
      <c r="E16" s="38" t="n">
        <v>-150</v>
      </c>
      <c r="F16" s="38" t="n">
        <v>95</v>
      </c>
      <c r="G16" s="38" t="n">
        <v>0</v>
      </c>
      <c r="H16" s="38" t="n">
        <v>-15</v>
      </c>
      <c r="I16" s="38" t="n">
        <v>18</v>
      </c>
      <c r="J16" s="38" t="n">
        <v>0</v>
      </c>
      <c r="K16" s="38" t="n">
        <v>-150</v>
      </c>
      <c r="L16" s="38" t="n">
        <v>60</v>
      </c>
      <c r="M16" s="38" t="n">
        <v>0</v>
      </c>
      <c r="N16" s="38" t="n">
        <v>-15</v>
      </c>
      <c r="O16" s="38" t="inlineStr">
        <is>
          <t>C3</t>
        </is>
      </c>
      <c r="P16" s="38" t="n">
        <v>23</v>
      </c>
      <c r="Q16" s="38" t="n">
        <v>43</v>
      </c>
      <c r="R16" s="38" t="n"/>
      <c r="S16" s="38" t="n"/>
      <c r="T16" s="38" t="n"/>
      <c r="U16" s="38" t="n"/>
      <c r="V16" s="38" t="n"/>
      <c r="W16" s="38" t="n"/>
      <c r="X16" s="38" t="n"/>
      <c r="Y16" s="36" t="n"/>
      <c r="Z16" s="38" t="n"/>
      <c r="AA16" s="45" t="inlineStr">
        <is>
          <t>…………..</t>
        </is>
      </c>
      <c r="AB16" s="45" t="inlineStr">
        <is>
          <t>…………..</t>
        </is>
      </c>
      <c r="AC16" s="44" t="inlineStr">
        <is>
          <t>……………</t>
        </is>
      </c>
      <c r="AD16" s="57" t="inlineStr">
        <is>
          <t>………</t>
        </is>
      </c>
    </row>
    <row r="17" ht="12.75" customHeight="1" s="123">
      <c r="A17" s="85" t="n">
        <v>15</v>
      </c>
      <c r="B17" s="30" t="n">
        <v>6028</v>
      </c>
      <c r="C17" s="38" t="n">
        <v>33</v>
      </c>
      <c r="D17" s="38" t="n">
        <v>0</v>
      </c>
      <c r="E17" s="38" t="n">
        <v>-120</v>
      </c>
      <c r="F17" s="38" t="n">
        <v>210</v>
      </c>
      <c r="G17" s="38" t="n">
        <v>0</v>
      </c>
      <c r="H17" s="38" t="n">
        <v>-30</v>
      </c>
      <c r="I17" s="38" t="n">
        <v>33</v>
      </c>
      <c r="J17" s="38" t="n">
        <v>0</v>
      </c>
      <c r="K17" s="38" t="n">
        <v>-120</v>
      </c>
      <c r="L17" s="38" t="n">
        <v>140</v>
      </c>
      <c r="M17" s="38" t="n">
        <v>0</v>
      </c>
      <c r="N17" s="38" t="n">
        <v>-25</v>
      </c>
      <c r="O17" s="38" t="inlineStr">
        <is>
          <t>C3</t>
        </is>
      </c>
      <c r="P17" s="38" t="n">
        <v>81</v>
      </c>
      <c r="Q17" s="38" t="n">
        <v>41</v>
      </c>
      <c r="R17" s="38" t="inlineStr">
        <is>
          <t>NO</t>
        </is>
      </c>
      <c r="S17" s="38" t="inlineStr">
        <is>
          <t>NO</t>
        </is>
      </c>
      <c r="T17" s="38" t="inlineStr">
        <is>
          <t>NO</t>
        </is>
      </c>
      <c r="U17" s="38" t="n">
        <v>64</v>
      </c>
      <c r="V17" s="38" t="n">
        <v>58</v>
      </c>
      <c r="W17" s="38" t="n">
        <v>64</v>
      </c>
      <c r="X17" s="38" t="n">
        <v>58</v>
      </c>
      <c r="Y17" s="38" t="inlineStr">
        <is>
          <t>………………..</t>
        </is>
      </c>
      <c r="Z17" s="38" t="inlineStr">
        <is>
          <t>Polyrex</t>
        </is>
      </c>
      <c r="AA17" s="45" t="inlineStr">
        <is>
          <t>………………..</t>
        </is>
      </c>
      <c r="AB17" s="38" t="inlineStr">
        <is>
          <t>………………</t>
        </is>
      </c>
      <c r="AC17" s="44" t="inlineStr">
        <is>
          <t>……………</t>
        </is>
      </c>
      <c r="AD17" s="57" t="inlineStr">
        <is>
          <t>………</t>
        </is>
      </c>
    </row>
    <row r="18" ht="12.75" customHeight="1" s="123">
      <c r="A18" s="85" t="n">
        <v>16</v>
      </c>
      <c r="B18" s="27" t="n">
        <v>6207</v>
      </c>
      <c r="C18" s="38" t="n">
        <v>17</v>
      </c>
      <c r="D18" s="38" t="n">
        <v>0</v>
      </c>
      <c r="E18" s="38" t="n">
        <v>-120</v>
      </c>
      <c r="F18" s="38" t="n">
        <v>72</v>
      </c>
      <c r="G18" s="38" t="n">
        <v>0</v>
      </c>
      <c r="H18" s="38" t="n">
        <v>-13</v>
      </c>
      <c r="I18" s="38" t="n">
        <v>17</v>
      </c>
      <c r="J18" s="38" t="n">
        <v>0</v>
      </c>
      <c r="K18" s="38" t="n">
        <v>-120</v>
      </c>
      <c r="L18" s="38" t="n">
        <v>35</v>
      </c>
      <c r="M18" s="38" t="n">
        <v>0</v>
      </c>
      <c r="N18" s="38" t="n">
        <v>-12</v>
      </c>
      <c r="O18" s="38" t="inlineStr">
        <is>
          <t>C3</t>
        </is>
      </c>
      <c r="P18" s="38" t="n">
        <v>15</v>
      </c>
      <c r="Q18" s="38" t="n">
        <v>33</v>
      </c>
      <c r="R18" s="38" t="n"/>
      <c r="S18" s="38" t="n"/>
      <c r="T18" s="38" t="n"/>
      <c r="U18" s="38" t="inlineStr">
        <is>
          <t>58 HRC</t>
        </is>
      </c>
      <c r="V18" s="38" t="inlineStr">
        <is>
          <t>65 HRC</t>
        </is>
      </c>
      <c r="W18" s="38" t="inlineStr">
        <is>
          <t>58 HRC</t>
        </is>
      </c>
      <c r="X18" s="38" t="inlineStr">
        <is>
          <t>65 HRC</t>
        </is>
      </c>
      <c r="Y18" s="36" t="n"/>
      <c r="Z18" s="38" t="n"/>
      <c r="AA18" s="45" t="inlineStr">
        <is>
          <t>…………..</t>
        </is>
      </c>
      <c r="AB18" s="45" t="inlineStr">
        <is>
          <t>…………..</t>
        </is>
      </c>
      <c r="AC18" s="44" t="inlineStr">
        <is>
          <t>……………</t>
        </is>
      </c>
      <c r="AD18" s="57" t="inlineStr">
        <is>
          <t>………</t>
        </is>
      </c>
    </row>
    <row r="19" ht="12.75" customHeight="1" s="123">
      <c r="A19" s="85" t="n">
        <v>17</v>
      </c>
      <c r="B19" s="30" t="n">
        <v>6209</v>
      </c>
      <c r="C19" s="38" t="n">
        <v>19</v>
      </c>
      <c r="D19" s="38" t="n">
        <v>0</v>
      </c>
      <c r="E19" s="38" t="n">
        <v>-120</v>
      </c>
      <c r="F19" s="38" t="n">
        <v>85</v>
      </c>
      <c r="G19" s="38" t="n">
        <v>0</v>
      </c>
      <c r="H19" s="38" t="n">
        <v>-15</v>
      </c>
      <c r="I19" s="38" t="n">
        <v>19</v>
      </c>
      <c r="J19" s="38" t="n">
        <v>0</v>
      </c>
      <c r="K19" s="38" t="n">
        <v>-120</v>
      </c>
      <c r="L19" s="38" t="n">
        <v>45</v>
      </c>
      <c r="M19" s="38" t="n">
        <v>0</v>
      </c>
      <c r="N19" s="38" t="n">
        <v>-12</v>
      </c>
      <c r="O19" s="38" t="inlineStr">
        <is>
          <t>C3</t>
        </is>
      </c>
      <c r="P19" s="38" t="n">
        <v>18</v>
      </c>
      <c r="Q19" s="38" t="n">
        <v>36</v>
      </c>
      <c r="R19" s="38" t="n"/>
      <c r="S19" s="38" t="n"/>
      <c r="T19" s="38" t="n"/>
      <c r="U19" s="38" t="n"/>
      <c r="V19" s="38" t="n"/>
      <c r="W19" s="38" t="n"/>
      <c r="X19" s="38" t="n"/>
      <c r="Y19" s="36" t="n"/>
      <c r="Z19" s="38" t="n"/>
      <c r="AA19" s="45" t="inlineStr">
        <is>
          <t>…………..</t>
        </is>
      </c>
      <c r="AB19" s="45" t="inlineStr">
        <is>
          <t>…………..</t>
        </is>
      </c>
      <c r="AC19" s="44" t="inlineStr">
        <is>
          <t>……………</t>
        </is>
      </c>
      <c r="AD19" s="57" t="inlineStr">
        <is>
          <t>………</t>
        </is>
      </c>
    </row>
    <row r="20" ht="12.75" customHeight="1" s="123">
      <c r="A20" s="85" t="n">
        <v>18</v>
      </c>
      <c r="B20" s="30" t="n">
        <v>6211</v>
      </c>
      <c r="C20" s="38" t="n">
        <v>21</v>
      </c>
      <c r="D20" s="38" t="n">
        <v>0</v>
      </c>
      <c r="E20" s="38" t="n">
        <v>-150</v>
      </c>
      <c r="F20" s="38" t="n">
        <v>100</v>
      </c>
      <c r="G20" s="38" t="n">
        <v>0</v>
      </c>
      <c r="H20" s="38" t="n">
        <v>-15</v>
      </c>
      <c r="I20" s="38" t="n">
        <v>21</v>
      </c>
      <c r="J20" s="38" t="n">
        <v>0</v>
      </c>
      <c r="K20" s="38" t="n">
        <v>-150</v>
      </c>
      <c r="L20" s="38" t="n">
        <v>55</v>
      </c>
      <c r="M20" s="38" t="n">
        <v>0</v>
      </c>
      <c r="N20" s="38" t="n">
        <v>-15</v>
      </c>
      <c r="O20" s="38" t="inlineStr">
        <is>
          <t>C0</t>
        </is>
      </c>
      <c r="P20" s="38" t="n">
        <v>8</v>
      </c>
      <c r="Q20" s="38" t="n">
        <v>28</v>
      </c>
      <c r="R20" s="38" t="n"/>
      <c r="S20" s="38" t="n"/>
      <c r="T20" s="38" t="n"/>
      <c r="U20" s="38" t="n"/>
      <c r="V20" s="38" t="n"/>
      <c r="W20" s="38" t="n"/>
      <c r="X20" s="38" t="n"/>
      <c r="Y20" s="36" t="n"/>
      <c r="Z20" s="38" t="n"/>
      <c r="AA20" s="45" t="inlineStr">
        <is>
          <t>…………..</t>
        </is>
      </c>
      <c r="AB20" s="45" t="inlineStr">
        <is>
          <t>…………..</t>
        </is>
      </c>
      <c r="AC20" s="44" t="inlineStr">
        <is>
          <t>……………</t>
        </is>
      </c>
      <c r="AD20" s="57" t="inlineStr">
        <is>
          <t>………</t>
        </is>
      </c>
    </row>
    <row r="21" ht="12.75" customHeight="1" s="123">
      <c r="A21" s="85" t="n">
        <v>19</v>
      </c>
      <c r="B21" s="30" t="n">
        <v>6308</v>
      </c>
      <c r="C21" s="38" t="n">
        <v>23</v>
      </c>
      <c r="D21" s="38" t="n">
        <v>0</v>
      </c>
      <c r="E21" s="38" t="n">
        <v>-120</v>
      </c>
      <c r="F21" s="38" t="n">
        <v>90</v>
      </c>
      <c r="G21" s="38" t="n">
        <v>0</v>
      </c>
      <c r="H21" s="38" t="n">
        <v>-15</v>
      </c>
      <c r="I21" s="38" t="n">
        <v>23</v>
      </c>
      <c r="J21" s="38" t="n">
        <v>0</v>
      </c>
      <c r="K21" s="38" t="n">
        <v>-120</v>
      </c>
      <c r="L21" s="38" t="n">
        <v>40</v>
      </c>
      <c r="M21" s="38" t="n">
        <v>0</v>
      </c>
      <c r="N21" s="38" t="n">
        <v>-12</v>
      </c>
      <c r="O21" s="38" t="inlineStr">
        <is>
          <t>C3</t>
        </is>
      </c>
      <c r="P21" s="38" t="n">
        <v>15</v>
      </c>
      <c r="Q21" s="38" t="n">
        <v>33</v>
      </c>
      <c r="R21" s="38" t="inlineStr">
        <is>
          <t>NO</t>
        </is>
      </c>
      <c r="S21" s="38" t="inlineStr">
        <is>
          <t>NO</t>
        </is>
      </c>
      <c r="T21" s="38" t="inlineStr">
        <is>
          <t>NO</t>
        </is>
      </c>
      <c r="U21" s="38" t="n">
        <v>64</v>
      </c>
      <c r="V21" s="38" t="n">
        <v>58</v>
      </c>
      <c r="W21" s="38" t="n">
        <v>64</v>
      </c>
      <c r="X21" s="38" t="n">
        <v>58</v>
      </c>
      <c r="Y21" s="36" t="inlineStr">
        <is>
          <t>NO</t>
        </is>
      </c>
      <c r="Z21" s="38" t="inlineStr">
        <is>
          <t>NO</t>
        </is>
      </c>
      <c r="AA21" s="45" t="inlineStr">
        <is>
          <t>NO</t>
        </is>
      </c>
      <c r="AB21" s="45" t="inlineStr">
        <is>
          <t>NO</t>
        </is>
      </c>
      <c r="AC21" s="44" t="n">
        <v>42881</v>
      </c>
      <c r="AD21" s="57" t="n">
        <v>0</v>
      </c>
    </row>
    <row r="22" ht="12.75" customHeight="1" s="123">
      <c r="A22" s="85" t="n">
        <v>20</v>
      </c>
      <c r="B22" s="30" t="n">
        <v>16006</v>
      </c>
      <c r="C22" s="38" t="n">
        <v>9</v>
      </c>
      <c r="D22" s="38" t="n">
        <v>0</v>
      </c>
      <c r="E22" s="38" t="n">
        <v>-120</v>
      </c>
      <c r="F22" s="38" t="n">
        <v>55</v>
      </c>
      <c r="G22" s="38" t="n">
        <v>0</v>
      </c>
      <c r="H22" s="38" t="n">
        <v>-13</v>
      </c>
      <c r="I22" s="38" t="n">
        <v>9</v>
      </c>
      <c r="J22" s="38" t="n">
        <v>0</v>
      </c>
      <c r="K22" s="38" t="n">
        <v>-120</v>
      </c>
      <c r="L22" s="38" t="n">
        <v>30</v>
      </c>
      <c r="M22" s="38" t="n">
        <v>0</v>
      </c>
      <c r="N22" s="38" t="n">
        <v>-10</v>
      </c>
      <c r="O22" s="38" t="n"/>
      <c r="P22" s="38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6" t="n"/>
      <c r="Z22" s="38" t="n"/>
      <c r="AA22" s="45" t="inlineStr">
        <is>
          <t>…………..</t>
        </is>
      </c>
      <c r="AB22" s="45" t="inlineStr">
        <is>
          <t>…………..</t>
        </is>
      </c>
      <c r="AC22" s="44" t="inlineStr">
        <is>
          <t>……………</t>
        </is>
      </c>
      <c r="AD22" s="57" t="inlineStr">
        <is>
          <t>………</t>
        </is>
      </c>
    </row>
    <row r="23" ht="12.75" customHeight="1" s="123">
      <c r="A23" s="85" t="n">
        <v>21</v>
      </c>
      <c r="B23" s="30" t="inlineStr">
        <is>
          <t>B&amp;P-040-1205-TN-C3-HLBR</t>
        </is>
      </c>
      <c r="C23" s="38" t="n">
        <v>15</v>
      </c>
      <c r="D23" s="38" t="n">
        <v>0</v>
      </c>
      <c r="E23" s="38" t="n">
        <v>-120</v>
      </c>
      <c r="F23" s="38" t="n">
        <v>52</v>
      </c>
      <c r="G23" s="38" t="n">
        <v>0</v>
      </c>
      <c r="H23" s="38" t="n">
        <v>-13</v>
      </c>
      <c r="I23" s="38" t="n">
        <v>15</v>
      </c>
      <c r="J23" s="38" t="n">
        <v>0</v>
      </c>
      <c r="K23" s="38" t="n">
        <v>-120</v>
      </c>
      <c r="L23" s="38" t="n">
        <v>25</v>
      </c>
      <c r="M23" s="38" t="n">
        <v>0</v>
      </c>
      <c r="N23" s="38" t="n">
        <v>-10</v>
      </c>
      <c r="O23" s="38" t="inlineStr">
        <is>
          <t>C3</t>
        </is>
      </c>
      <c r="P23" s="38" t="n">
        <v>19</v>
      </c>
      <c r="Q23" s="38" t="n">
        <v>35</v>
      </c>
      <c r="R23" s="38" t="inlineStr">
        <is>
          <t>NO</t>
        </is>
      </c>
      <c r="S23" s="38" t="inlineStr">
        <is>
          <t>NO</t>
        </is>
      </c>
      <c r="T23" s="38" t="inlineStr">
        <is>
          <t>NO</t>
        </is>
      </c>
      <c r="U23" s="38" t="n">
        <v>64</v>
      </c>
      <c r="V23" s="38" t="n">
        <v>58</v>
      </c>
      <c r="W23" s="38" t="n">
        <v>64</v>
      </c>
      <c r="X23" s="38" t="n">
        <v>58</v>
      </c>
      <c r="Y23" s="38" t="inlineStr">
        <is>
          <t>NO</t>
        </is>
      </c>
      <c r="Z23" s="38" t="inlineStr">
        <is>
          <t>NO</t>
        </is>
      </c>
      <c r="AA23" s="45" t="inlineStr">
        <is>
          <t>…………..</t>
        </is>
      </c>
      <c r="AB23" s="45" t="inlineStr">
        <is>
          <t>…………..</t>
        </is>
      </c>
      <c r="AC23" s="44" t="n">
        <v>45348</v>
      </c>
      <c r="AD23" s="57" t="inlineStr">
        <is>
          <t>B</t>
        </is>
      </c>
    </row>
    <row r="24" ht="12.75" customHeight="1" s="123">
      <c r="A24" s="85" t="n">
        <v>22</v>
      </c>
      <c r="B24" s="30" t="inlineStr">
        <is>
          <t>B&amp;P-040-1206-K-C3-HLBR</t>
        </is>
      </c>
      <c r="C24" s="38" t="n">
        <v>16</v>
      </c>
      <c r="D24" s="38" t="n">
        <v>0</v>
      </c>
      <c r="E24" s="38" t="n">
        <v>-120</v>
      </c>
      <c r="F24" s="38" t="n">
        <v>62</v>
      </c>
      <c r="G24" s="38" t="n">
        <v>0</v>
      </c>
      <c r="H24" s="38" t="n">
        <v>-13</v>
      </c>
      <c r="I24" s="38" t="n">
        <v>16</v>
      </c>
      <c r="J24" s="38" t="n">
        <v>0</v>
      </c>
      <c r="K24" s="38" t="n">
        <v>-120</v>
      </c>
      <c r="L24" s="38" t="n">
        <v>30</v>
      </c>
      <c r="M24" s="38" t="n">
        <v>33</v>
      </c>
      <c r="N24" s="38" t="n">
        <v>0</v>
      </c>
      <c r="O24" s="38" t="inlineStr">
        <is>
          <t>C3</t>
        </is>
      </c>
      <c r="P24" s="38" t="n">
        <v>39</v>
      </c>
      <c r="Q24" s="38" t="n">
        <v>23</v>
      </c>
      <c r="R24" s="38" t="inlineStr">
        <is>
          <t>NO</t>
        </is>
      </c>
      <c r="S24" s="38" t="inlineStr">
        <is>
          <t>NO</t>
        </is>
      </c>
      <c r="T24" s="38" t="inlineStr">
        <is>
          <t>NO</t>
        </is>
      </c>
      <c r="U24" s="38" t="n">
        <v>65</v>
      </c>
      <c r="V24" s="38" t="n">
        <v>60</v>
      </c>
      <c r="W24" s="38" t="n">
        <v>65</v>
      </c>
      <c r="X24" s="38" t="n">
        <v>60</v>
      </c>
      <c r="Y24" s="38" t="inlineStr">
        <is>
          <t>NO</t>
        </is>
      </c>
      <c r="Z24" s="38" t="inlineStr">
        <is>
          <t>NO</t>
        </is>
      </c>
      <c r="AA24" s="45" t="inlineStr">
        <is>
          <t>NO</t>
        </is>
      </c>
      <c r="AB24" s="45" t="inlineStr">
        <is>
          <t>NO</t>
        </is>
      </c>
      <c r="AC24" s="44" t="n">
        <v>45517</v>
      </c>
      <c r="AD24" s="57" t="inlineStr">
        <is>
          <t>A</t>
        </is>
      </c>
    </row>
    <row r="25" ht="12.75" customHeight="1" s="123">
      <c r="A25" s="85" t="n">
        <v>23</v>
      </c>
      <c r="B25" s="181" t="inlineStr">
        <is>
          <t>B&amp;P-040-1206-TN-C3-HLBR</t>
        </is>
      </c>
      <c r="C25" s="91" t="inlineStr">
        <is>
          <t>16</t>
        </is>
      </c>
      <c r="D25" s="91" t="inlineStr">
        <is>
          <t>0</t>
        </is>
      </c>
      <c r="E25" s="91" t="inlineStr">
        <is>
          <t>-120</t>
        </is>
      </c>
      <c r="F25" s="91" t="inlineStr">
        <is>
          <t>62</t>
        </is>
      </c>
      <c r="G25" s="91" t="inlineStr">
        <is>
          <t>0</t>
        </is>
      </c>
      <c r="H25" s="91" t="inlineStr">
        <is>
          <t>-13</t>
        </is>
      </c>
      <c r="I25" s="91" t="inlineStr">
        <is>
          <t>16</t>
        </is>
      </c>
      <c r="J25" s="91" t="inlineStr">
        <is>
          <t>0</t>
        </is>
      </c>
      <c r="K25" s="91" t="inlineStr">
        <is>
          <t>-120</t>
        </is>
      </c>
      <c r="L25" s="91" t="inlineStr">
        <is>
          <t>30</t>
        </is>
      </c>
      <c r="M25" s="91" t="inlineStr">
        <is>
          <t>0</t>
        </is>
      </c>
      <c r="N25" s="91" t="inlineStr">
        <is>
          <t>-10</t>
        </is>
      </c>
      <c r="O25" s="91" t="inlineStr">
        <is>
          <t>C3</t>
        </is>
      </c>
      <c r="P25" s="91" t="inlineStr">
        <is>
          <t>35</t>
        </is>
      </c>
      <c r="Q25" s="91" t="inlineStr">
        <is>
          <t>19</t>
        </is>
      </c>
      <c r="R25" s="91" t="inlineStr">
        <is>
          <t>-</t>
        </is>
      </c>
      <c r="S25" s="91" t="inlineStr">
        <is>
          <t>-</t>
        </is>
      </c>
      <c r="T25" s="91" t="inlineStr">
        <is>
          <t>-</t>
        </is>
      </c>
      <c r="U25" s="91" t="inlineStr">
        <is>
          <t>64</t>
        </is>
      </c>
      <c r="V25" s="91" t="inlineStr">
        <is>
          <t>58</t>
        </is>
      </c>
      <c r="W25" s="91" t="inlineStr">
        <is>
          <t>64</t>
        </is>
      </c>
      <c r="X25" s="91" t="inlineStr">
        <is>
          <t>58</t>
        </is>
      </c>
      <c r="Y25" s="92" t="inlineStr">
        <is>
          <t>-</t>
        </is>
      </c>
      <c r="Z25" s="91" t="inlineStr">
        <is>
          <t>-</t>
        </is>
      </c>
      <c r="AA25" s="93" t="inlineStr">
        <is>
          <t>-</t>
        </is>
      </c>
      <c r="AB25" s="93" t="inlineStr">
        <is>
          <t>-</t>
        </is>
      </c>
      <c r="AC25" s="94" t="inlineStr">
        <is>
          <t>14/08/2024</t>
        </is>
      </c>
      <c r="AD25" s="93" t="inlineStr">
        <is>
          <t>B</t>
        </is>
      </c>
    </row>
    <row r="26" ht="12.75" customHeight="1" s="123">
      <c r="A26" s="85" t="n">
        <v>24</v>
      </c>
      <c r="B26" s="30" t="inlineStr">
        <is>
          <t>1208-K</t>
        </is>
      </c>
      <c r="C26" s="38" t="n">
        <v>18</v>
      </c>
      <c r="D26" s="38" t="n">
        <v>0</v>
      </c>
      <c r="E26" s="38" t="n">
        <v>-120</v>
      </c>
      <c r="F26" s="38" t="n">
        <v>80</v>
      </c>
      <c r="G26" s="38" t="n">
        <v>0</v>
      </c>
      <c r="H26" s="38" t="n">
        <v>-13</v>
      </c>
      <c r="I26" s="38" t="n">
        <v>18</v>
      </c>
      <c r="J26" s="38" t="n">
        <v>0</v>
      </c>
      <c r="K26" s="38" t="n">
        <v>-120</v>
      </c>
      <c r="L26" s="38" t="n">
        <v>40</v>
      </c>
      <c r="M26" s="38" t="n">
        <v>0</v>
      </c>
      <c r="N26" s="38" t="n">
        <v>-12</v>
      </c>
      <c r="O26" s="38" t="inlineStr">
        <is>
          <t>NO</t>
        </is>
      </c>
      <c r="P26" s="38" t="inlineStr">
        <is>
          <t>NO</t>
        </is>
      </c>
      <c r="Q26" s="38" t="inlineStr">
        <is>
          <t>NO</t>
        </is>
      </c>
      <c r="R26" s="38" t="inlineStr">
        <is>
          <t>NO</t>
        </is>
      </c>
      <c r="S26" s="38" t="inlineStr">
        <is>
          <t>NO</t>
        </is>
      </c>
      <c r="T26" s="38" t="inlineStr">
        <is>
          <t>NO</t>
        </is>
      </c>
      <c r="U26" s="38" t="inlineStr">
        <is>
          <t>NO</t>
        </is>
      </c>
      <c r="V26" s="38" t="inlineStr">
        <is>
          <t>NO</t>
        </is>
      </c>
      <c r="W26" s="38" t="inlineStr">
        <is>
          <t>NO</t>
        </is>
      </c>
      <c r="X26" s="38" t="inlineStr">
        <is>
          <t>NO</t>
        </is>
      </c>
      <c r="Y26" s="36" t="n"/>
      <c r="Z26" s="38" t="n"/>
      <c r="AA26" s="45" t="inlineStr">
        <is>
          <t>…………..</t>
        </is>
      </c>
      <c r="AB26" s="45" t="inlineStr">
        <is>
          <t>…………..</t>
        </is>
      </c>
      <c r="AC26" s="44" t="inlineStr">
        <is>
          <t>……………</t>
        </is>
      </c>
      <c r="AD26" s="57" t="inlineStr">
        <is>
          <t>………</t>
        </is>
      </c>
    </row>
    <row r="27" ht="12.75" customHeight="1" s="123">
      <c r="A27" s="85" t="n">
        <v>25</v>
      </c>
      <c r="B27" s="30" t="inlineStr">
        <is>
          <t>1208-TN-C3</t>
        </is>
      </c>
      <c r="C27" s="38" t="n">
        <v>18</v>
      </c>
      <c r="D27" s="38" t="n">
        <v>0</v>
      </c>
      <c r="E27" s="38" t="n">
        <v>-120</v>
      </c>
      <c r="F27" s="38" t="n">
        <v>80</v>
      </c>
      <c r="G27" s="38" t="n">
        <v>0</v>
      </c>
      <c r="H27" s="38" t="n">
        <v>-13</v>
      </c>
      <c r="I27" s="38" t="n">
        <v>18</v>
      </c>
      <c r="J27" s="38" t="n">
        <v>0</v>
      </c>
      <c r="K27" s="38" t="n">
        <v>-120</v>
      </c>
      <c r="L27" s="38" t="n">
        <v>40</v>
      </c>
      <c r="M27" s="38" t="n">
        <v>0</v>
      </c>
      <c r="N27" s="38" t="n">
        <v>-12</v>
      </c>
      <c r="O27" s="38" t="inlineStr">
        <is>
          <t>C3</t>
        </is>
      </c>
      <c r="P27" s="38" t="n">
        <v>40</v>
      </c>
      <c r="Q27" s="38" t="n">
        <v>23</v>
      </c>
      <c r="R27" s="38" t="inlineStr">
        <is>
          <t>NO</t>
        </is>
      </c>
      <c r="S27" s="38" t="inlineStr">
        <is>
          <t>NO</t>
        </is>
      </c>
      <c r="T27" s="38" t="inlineStr">
        <is>
          <t>NO</t>
        </is>
      </c>
      <c r="U27" s="38" t="n">
        <v>64</v>
      </c>
      <c r="V27" s="38" t="n">
        <v>58</v>
      </c>
      <c r="W27" s="38" t="n">
        <v>64</v>
      </c>
      <c r="X27" s="38" t="n">
        <v>58</v>
      </c>
      <c r="Y27" s="36" t="inlineStr">
        <is>
          <t>NO</t>
        </is>
      </c>
      <c r="Z27" s="38" t="inlineStr">
        <is>
          <t>NO</t>
        </is>
      </c>
      <c r="AA27" s="45" t="inlineStr">
        <is>
          <t>NO</t>
        </is>
      </c>
      <c r="AB27" s="45" t="inlineStr">
        <is>
          <t>NO</t>
        </is>
      </c>
      <c r="AC27" s="44" t="n">
        <v>42569</v>
      </c>
      <c r="AD27" s="57" t="n">
        <v>0</v>
      </c>
    </row>
    <row r="28" ht="12.75" customHeight="1" s="123">
      <c r="A28" s="85" t="n">
        <v>26</v>
      </c>
      <c r="B28" s="30" t="inlineStr">
        <is>
          <t>1209-K</t>
        </is>
      </c>
      <c r="C28" s="38" t="n">
        <v>19</v>
      </c>
      <c r="D28" s="38" t="n">
        <v>0</v>
      </c>
      <c r="E28" s="38" t="n">
        <v>-120</v>
      </c>
      <c r="F28" s="38" t="n">
        <v>85</v>
      </c>
      <c r="G28" s="38" t="n">
        <v>0</v>
      </c>
      <c r="H28" s="38" t="n">
        <v>-15</v>
      </c>
      <c r="I28" s="38" t="n">
        <v>19</v>
      </c>
      <c r="J28" s="38" t="n">
        <v>0</v>
      </c>
      <c r="K28" s="38" t="n">
        <v>-120</v>
      </c>
      <c r="L28" s="38" t="n">
        <v>45</v>
      </c>
      <c r="M28" s="38" t="n">
        <v>0</v>
      </c>
      <c r="N28" s="38" t="n">
        <v>-12</v>
      </c>
      <c r="O28" s="38" t="inlineStr">
        <is>
          <t>C3</t>
        </is>
      </c>
      <c r="P28" s="38" t="n">
        <v>18</v>
      </c>
      <c r="Q28" s="38" t="n">
        <v>36</v>
      </c>
      <c r="R28" s="38" t="inlineStr">
        <is>
          <t>NO</t>
        </is>
      </c>
      <c r="S28" s="38" t="inlineStr">
        <is>
          <t>NO</t>
        </is>
      </c>
      <c r="T28" s="38" t="inlineStr">
        <is>
          <t>NO</t>
        </is>
      </c>
      <c r="U28" s="38" t="inlineStr">
        <is>
          <t>NO</t>
        </is>
      </c>
      <c r="V28" s="38" t="inlineStr">
        <is>
          <t>NO</t>
        </is>
      </c>
      <c r="W28" s="38" t="inlineStr">
        <is>
          <t>NO</t>
        </is>
      </c>
      <c r="X28" s="38" t="inlineStr">
        <is>
          <t>NO</t>
        </is>
      </c>
      <c r="Y28" s="36" t="inlineStr">
        <is>
          <t>NO</t>
        </is>
      </c>
      <c r="Z28" s="38" t="inlineStr">
        <is>
          <t>NO</t>
        </is>
      </c>
      <c r="AA28" s="45" t="inlineStr">
        <is>
          <t>…………..</t>
        </is>
      </c>
      <c r="AB28" s="45" t="inlineStr">
        <is>
          <t>…………..</t>
        </is>
      </c>
      <c r="AC28" s="44" t="inlineStr">
        <is>
          <t>……………</t>
        </is>
      </c>
      <c r="AD28" s="57" t="inlineStr">
        <is>
          <t>………</t>
        </is>
      </c>
    </row>
    <row r="29" ht="12.75" customHeight="1" s="123">
      <c r="A29" s="85" t="n">
        <v>27</v>
      </c>
      <c r="B29" s="27" t="inlineStr">
        <is>
          <t>1209TN-C3</t>
        </is>
      </c>
      <c r="C29" s="38" t="n">
        <v>19</v>
      </c>
      <c r="D29" s="38" t="n">
        <v>0</v>
      </c>
      <c r="E29" s="38" t="n">
        <v>-120</v>
      </c>
      <c r="F29" s="38" t="n">
        <v>85</v>
      </c>
      <c r="G29" s="38" t="n">
        <v>0</v>
      </c>
      <c r="H29" s="38" t="n">
        <v>-15</v>
      </c>
      <c r="I29" s="38" t="n">
        <v>19</v>
      </c>
      <c r="J29" s="38" t="n">
        <v>0</v>
      </c>
      <c r="K29" s="38" t="n">
        <v>-120</v>
      </c>
      <c r="L29" s="38" t="n">
        <v>45</v>
      </c>
      <c r="M29" s="38" t="n">
        <v>0</v>
      </c>
      <c r="N29" s="38" t="n">
        <v>-12</v>
      </c>
      <c r="O29" s="38" t="inlineStr">
        <is>
          <t>Radial (C3)</t>
        </is>
      </c>
      <c r="P29" s="38" t="n">
        <v>44</v>
      </c>
      <c r="Q29" s="38" t="n">
        <v>25</v>
      </c>
      <c r="R29" s="38" t="inlineStr">
        <is>
          <t>NO</t>
        </is>
      </c>
      <c r="S29" s="38" t="inlineStr">
        <is>
          <t>NO</t>
        </is>
      </c>
      <c r="T29" s="38" t="inlineStr">
        <is>
          <t>NO</t>
        </is>
      </c>
      <c r="U29" s="38" t="n">
        <v>64</v>
      </c>
      <c r="V29" s="38" t="n">
        <v>58</v>
      </c>
      <c r="W29" s="38" t="n">
        <v>64</v>
      </c>
      <c r="X29" s="38" t="n">
        <v>58</v>
      </c>
      <c r="Y29" s="36" t="inlineStr">
        <is>
          <t>NO</t>
        </is>
      </c>
      <c r="Z29" s="38" t="inlineStr">
        <is>
          <t>NO</t>
        </is>
      </c>
      <c r="AA29" s="45" t="inlineStr">
        <is>
          <t>NO</t>
        </is>
      </c>
      <c r="AB29" s="45" t="inlineStr">
        <is>
          <t>NO</t>
        </is>
      </c>
      <c r="AC29" s="44" t="n">
        <v>42569</v>
      </c>
      <c r="AD29" s="57" t="inlineStr">
        <is>
          <t>A</t>
        </is>
      </c>
    </row>
    <row r="30" ht="12.75" customHeight="1" s="123">
      <c r="A30" s="85" t="n">
        <v>28</v>
      </c>
      <c r="B30" s="31" t="inlineStr">
        <is>
          <t>1209-TN-C3</t>
        </is>
      </c>
      <c r="C30" s="50" t="n">
        <v>19</v>
      </c>
      <c r="D30" s="50" t="n">
        <v>0</v>
      </c>
      <c r="E30" s="50" t="n">
        <v>-120</v>
      </c>
      <c r="F30" s="50" t="n">
        <v>85</v>
      </c>
      <c r="G30" s="50" t="n">
        <v>0</v>
      </c>
      <c r="H30" s="50" t="n">
        <v>-15</v>
      </c>
      <c r="I30" s="50" t="n">
        <v>19</v>
      </c>
      <c r="J30" s="50" t="n">
        <v>0</v>
      </c>
      <c r="K30" s="50" t="n">
        <v>-120</v>
      </c>
      <c r="L30" s="50" t="n">
        <v>45</v>
      </c>
      <c r="M30" s="50" t="n">
        <v>0</v>
      </c>
      <c r="N30" s="50" t="n">
        <v>-12</v>
      </c>
      <c r="O30" s="50" t="inlineStr">
        <is>
          <t>C3</t>
        </is>
      </c>
      <c r="P30" s="50" t="n">
        <v>25</v>
      </c>
      <c r="Q30" s="50" t="n">
        <v>44</v>
      </c>
      <c r="R30" s="50" t="inlineStr">
        <is>
          <t>NO</t>
        </is>
      </c>
      <c r="S30" s="50" t="inlineStr">
        <is>
          <t>NO</t>
        </is>
      </c>
      <c r="T30" s="50" t="inlineStr">
        <is>
          <t>NO</t>
        </is>
      </c>
      <c r="U30" s="50" t="n">
        <v>64</v>
      </c>
      <c r="V30" s="50" t="n">
        <v>58</v>
      </c>
      <c r="W30" s="50" t="n">
        <v>64</v>
      </c>
      <c r="X30" s="50" t="n">
        <v>58</v>
      </c>
      <c r="Y30" s="50" t="inlineStr">
        <is>
          <t>NO</t>
        </is>
      </c>
      <c r="Z30" s="50" t="inlineStr">
        <is>
          <t>NO</t>
        </is>
      </c>
      <c r="AA30" s="56" t="inlineStr">
        <is>
          <t>NO</t>
        </is>
      </c>
      <c r="AB30" s="56" t="inlineStr">
        <is>
          <t>NO</t>
        </is>
      </c>
      <c r="AC30" s="66" t="n">
        <v>42569</v>
      </c>
      <c r="AD30" s="76" t="inlineStr">
        <is>
          <t>A</t>
        </is>
      </c>
    </row>
    <row r="31" ht="12.75" customHeight="1" s="123">
      <c r="A31" s="85" t="n">
        <v>29</v>
      </c>
      <c r="B31" s="30" t="inlineStr">
        <is>
          <t>1210K-C3</t>
        </is>
      </c>
      <c r="C31" s="38" t="n">
        <v>20</v>
      </c>
      <c r="D31" s="38" t="n">
        <v>0</v>
      </c>
      <c r="E31" s="38" t="n">
        <v>-120</v>
      </c>
      <c r="F31" s="38" t="n">
        <v>90</v>
      </c>
      <c r="G31" s="38" t="n">
        <v>0</v>
      </c>
      <c r="H31" s="38" t="n">
        <v>-15</v>
      </c>
      <c r="I31" s="38" t="n">
        <v>20</v>
      </c>
      <c r="J31" s="38" t="n">
        <v>0</v>
      </c>
      <c r="K31" s="38" t="n">
        <v>-120</v>
      </c>
      <c r="L31" s="38" t="n">
        <v>50</v>
      </c>
      <c r="M31" s="38" t="n">
        <v>39</v>
      </c>
      <c r="N31" s="38" t="n">
        <v>0</v>
      </c>
      <c r="O31" s="38" t="inlineStr">
        <is>
          <t>C3</t>
        </is>
      </c>
      <c r="P31" s="38" t="n">
        <v>52</v>
      </c>
      <c r="Q31" s="38" t="n">
        <v>33</v>
      </c>
      <c r="R31" s="38" t="inlineStr">
        <is>
          <t>NO</t>
        </is>
      </c>
      <c r="S31" s="38" t="inlineStr">
        <is>
          <t>NO</t>
        </is>
      </c>
      <c r="T31" s="38" t="inlineStr">
        <is>
          <t>NO</t>
        </is>
      </c>
      <c r="U31" s="38" t="n">
        <v>64</v>
      </c>
      <c r="V31" s="38" t="n">
        <v>58</v>
      </c>
      <c r="W31" s="38" t="n">
        <v>64</v>
      </c>
      <c r="X31" s="38" t="n">
        <v>58</v>
      </c>
      <c r="Y31" s="38" t="inlineStr">
        <is>
          <t>NO</t>
        </is>
      </c>
      <c r="Z31" s="38" t="inlineStr">
        <is>
          <t>NO</t>
        </is>
      </c>
      <c r="AA31" s="45" t="inlineStr">
        <is>
          <t>…………..</t>
        </is>
      </c>
      <c r="AB31" s="45" t="inlineStr">
        <is>
          <t>…………..</t>
        </is>
      </c>
      <c r="AC31" s="44" t="inlineStr">
        <is>
          <t>……………</t>
        </is>
      </c>
      <c r="AD31" s="57" t="inlineStr">
        <is>
          <t>………</t>
        </is>
      </c>
    </row>
    <row r="32" ht="12.75" customHeight="1" s="123">
      <c r="A32" s="85" t="n">
        <v>30</v>
      </c>
      <c r="B32" s="30" t="inlineStr">
        <is>
          <t>1305-TN-C3</t>
        </is>
      </c>
      <c r="C32" s="38" t="n">
        <v>17</v>
      </c>
      <c r="D32" s="38" t="n">
        <v>0</v>
      </c>
      <c r="E32" s="38" t="n">
        <v>-120</v>
      </c>
      <c r="F32" s="38" t="n">
        <v>62</v>
      </c>
      <c r="G32" s="38" t="n">
        <v>0</v>
      </c>
      <c r="H32" s="38" t="n">
        <v>-13</v>
      </c>
      <c r="I32" s="38" t="n">
        <v>17</v>
      </c>
      <c r="J32" s="38" t="n">
        <v>0</v>
      </c>
      <c r="K32" s="38" t="n">
        <v>-120</v>
      </c>
      <c r="L32" s="38" t="n">
        <v>25</v>
      </c>
      <c r="M32" s="38" t="n">
        <v>0</v>
      </c>
      <c r="N32" s="38" t="n">
        <v>-10</v>
      </c>
      <c r="O32" s="38" t="inlineStr">
        <is>
          <t>C3</t>
        </is>
      </c>
      <c r="P32" s="38" t="n">
        <v>35</v>
      </c>
      <c r="Q32" s="38" t="n">
        <v>19</v>
      </c>
      <c r="R32" s="38" t="inlineStr">
        <is>
          <t>NO</t>
        </is>
      </c>
      <c r="S32" s="38" t="inlineStr">
        <is>
          <t>NO</t>
        </is>
      </c>
      <c r="T32" s="38" t="inlineStr">
        <is>
          <t>NO</t>
        </is>
      </c>
      <c r="U32" s="38" t="n">
        <v>64</v>
      </c>
      <c r="V32" s="38" t="n">
        <v>58</v>
      </c>
      <c r="W32" s="38" t="n">
        <v>64</v>
      </c>
      <c r="X32" s="38" t="n">
        <v>58</v>
      </c>
      <c r="Y32" s="36" t="inlineStr">
        <is>
          <t>NO</t>
        </is>
      </c>
      <c r="Z32" s="38" t="inlineStr">
        <is>
          <t>NO</t>
        </is>
      </c>
      <c r="AA32" s="45" t="inlineStr">
        <is>
          <t>NO</t>
        </is>
      </c>
      <c r="AB32" s="45" t="inlineStr">
        <is>
          <t>NO</t>
        </is>
      </c>
      <c r="AC32" s="52" t="n">
        <v>42569</v>
      </c>
      <c r="AD32" s="51" t="n">
        <v>0</v>
      </c>
    </row>
    <row r="33" ht="12.75" customHeight="1" s="123">
      <c r="A33" s="85" t="n">
        <v>31</v>
      </c>
      <c r="B33" s="30" t="inlineStr">
        <is>
          <t>B&amp;P-040-1307-K-TN-C3-HLBR</t>
        </is>
      </c>
      <c r="C33" s="38" t="n">
        <v>21</v>
      </c>
      <c r="D33" s="38" t="n">
        <v>0</v>
      </c>
      <c r="E33" s="38" t="n">
        <v>-120</v>
      </c>
      <c r="F33" s="38" t="n">
        <v>80</v>
      </c>
      <c r="G33" s="38" t="n">
        <v>0</v>
      </c>
      <c r="H33" s="38" t="n">
        <v>-13</v>
      </c>
      <c r="I33" s="38" t="n">
        <v>21</v>
      </c>
      <c r="J33" s="38" t="n">
        <v>0</v>
      </c>
      <c r="K33" s="38" t="n">
        <v>-120</v>
      </c>
      <c r="L33" s="38" t="n">
        <v>35</v>
      </c>
      <c r="M33" s="38" t="n">
        <v>25</v>
      </c>
      <c r="N33" s="38" t="n">
        <v>0</v>
      </c>
      <c r="O33" s="38" t="inlineStr">
        <is>
          <t>C3</t>
        </is>
      </c>
      <c r="P33" s="38" t="n">
        <v>40</v>
      </c>
      <c r="Q33" s="38" t="n">
        <v>23</v>
      </c>
      <c r="R33" s="38" t="inlineStr">
        <is>
          <t>NO</t>
        </is>
      </c>
      <c r="S33" s="38" t="inlineStr">
        <is>
          <t>NO</t>
        </is>
      </c>
      <c r="T33" s="38" t="inlineStr">
        <is>
          <t>NO</t>
        </is>
      </c>
      <c r="U33" s="38" t="n">
        <v>65</v>
      </c>
      <c r="V33" s="38" t="n">
        <v>60</v>
      </c>
      <c r="W33" s="38" t="n">
        <v>65</v>
      </c>
      <c r="X33" s="38" t="n">
        <v>60</v>
      </c>
      <c r="Y33" s="36" t="inlineStr">
        <is>
          <t>NO</t>
        </is>
      </c>
      <c r="Z33" s="38" t="inlineStr">
        <is>
          <t>NO</t>
        </is>
      </c>
      <c r="AA33" s="45" t="inlineStr">
        <is>
          <t>NO</t>
        </is>
      </c>
      <c r="AB33" s="45" t="inlineStr">
        <is>
          <t>NO</t>
        </is>
      </c>
      <c r="AC33" s="44" t="n">
        <v>45141</v>
      </c>
      <c r="AD33" s="57" t="inlineStr">
        <is>
          <t>A</t>
        </is>
      </c>
    </row>
    <row r="34" ht="12.75" customHeight="1" s="123">
      <c r="A34" s="85" t="n">
        <v>32</v>
      </c>
      <c r="B34" s="30" t="inlineStr">
        <is>
          <t>B&amp;P-040-1309-TN-C3-HLBR</t>
        </is>
      </c>
      <c r="C34" s="38" t="n">
        <v>25</v>
      </c>
      <c r="D34" s="38" t="n">
        <v>0</v>
      </c>
      <c r="E34" s="38" t="n">
        <v>-120</v>
      </c>
      <c r="F34" s="38" t="n">
        <v>100</v>
      </c>
      <c r="G34" s="38" t="n">
        <v>0</v>
      </c>
      <c r="H34" s="38" t="n">
        <v>-15</v>
      </c>
      <c r="I34" s="38" t="n">
        <v>25</v>
      </c>
      <c r="J34" s="38" t="n">
        <v>0</v>
      </c>
      <c r="K34" s="38" t="n">
        <v>-120</v>
      </c>
      <c r="L34" s="38" t="n">
        <v>45</v>
      </c>
      <c r="M34" s="38" t="n">
        <v>0</v>
      </c>
      <c r="N34" s="38" t="n">
        <v>-12</v>
      </c>
      <c r="O34" s="38" t="inlineStr">
        <is>
          <t>Radial (C3)</t>
        </is>
      </c>
      <c r="P34" s="38" t="n">
        <v>25</v>
      </c>
      <c r="Q34" s="38" t="n">
        <v>44</v>
      </c>
      <c r="R34" s="38" t="inlineStr">
        <is>
          <t>NO</t>
        </is>
      </c>
      <c r="S34" s="38" t="inlineStr">
        <is>
          <t>NO</t>
        </is>
      </c>
      <c r="T34" s="38" t="inlineStr">
        <is>
          <t>NO</t>
        </is>
      </c>
      <c r="U34" s="38" t="n">
        <v>64</v>
      </c>
      <c r="V34" s="38" t="n">
        <v>58</v>
      </c>
      <c r="W34" s="38" t="n">
        <v>64</v>
      </c>
      <c r="X34" s="38" t="n">
        <v>58</v>
      </c>
      <c r="Y34" s="45" t="inlineStr">
        <is>
          <t>NO</t>
        </is>
      </c>
      <c r="Z34" s="45" t="inlineStr">
        <is>
          <t>NO</t>
        </is>
      </c>
      <c r="AA34" s="45" t="inlineStr">
        <is>
          <t>NO</t>
        </is>
      </c>
      <c r="AB34" s="45" t="inlineStr">
        <is>
          <t>NO</t>
        </is>
      </c>
      <c r="AC34" s="44" t="n">
        <v>45093</v>
      </c>
      <c r="AD34" s="57" t="inlineStr">
        <is>
          <t>A</t>
        </is>
      </c>
    </row>
    <row r="35" ht="12.75" customHeight="1" s="123">
      <c r="A35" s="85" t="n">
        <v>33</v>
      </c>
      <c r="B35" s="30" t="inlineStr">
        <is>
          <t>1310-TN-C3</t>
        </is>
      </c>
      <c r="C35" s="38" t="n">
        <v>27</v>
      </c>
      <c r="D35" s="38" t="n">
        <v>0</v>
      </c>
      <c r="E35" s="38" t="n">
        <v>-120</v>
      </c>
      <c r="F35" s="38" t="n">
        <v>110</v>
      </c>
      <c r="G35" s="38" t="n">
        <v>0</v>
      </c>
      <c r="H35" s="38" t="n">
        <v>-15</v>
      </c>
      <c r="I35" s="38" t="n">
        <v>27</v>
      </c>
      <c r="J35" s="38" t="n">
        <v>0</v>
      </c>
      <c r="K35" s="38" t="n">
        <v>-120</v>
      </c>
      <c r="L35" s="38" t="n">
        <v>50</v>
      </c>
      <c r="M35" s="38" t="n">
        <v>0</v>
      </c>
      <c r="N35" s="38" t="n">
        <v>-12</v>
      </c>
      <c r="O35" s="38" t="inlineStr">
        <is>
          <t>C3</t>
        </is>
      </c>
      <c r="P35" s="38" t="n">
        <v>25</v>
      </c>
      <c r="Q35" s="38" t="n">
        <v>44</v>
      </c>
      <c r="R35" s="38" t="inlineStr">
        <is>
          <t>NO</t>
        </is>
      </c>
      <c r="S35" s="38" t="inlineStr">
        <is>
          <t>NO</t>
        </is>
      </c>
      <c r="T35" s="38" t="inlineStr">
        <is>
          <t>NO</t>
        </is>
      </c>
      <c r="U35" s="38" t="n">
        <v>64</v>
      </c>
      <c r="V35" s="38" t="n">
        <v>58</v>
      </c>
      <c r="W35" s="38" t="n">
        <v>64</v>
      </c>
      <c r="X35" s="38" t="n">
        <v>58</v>
      </c>
      <c r="Y35" s="38" t="inlineStr">
        <is>
          <t>NO</t>
        </is>
      </c>
      <c r="Z35" s="38" t="inlineStr">
        <is>
          <t>NO</t>
        </is>
      </c>
      <c r="AA35" s="45" t="inlineStr">
        <is>
          <t>…………..</t>
        </is>
      </c>
      <c r="AB35" s="45" t="inlineStr">
        <is>
          <t>…………..</t>
        </is>
      </c>
      <c r="AC35" s="44" t="inlineStr">
        <is>
          <t>……………</t>
        </is>
      </c>
      <c r="AD35" s="57" t="inlineStr">
        <is>
          <t>………</t>
        </is>
      </c>
    </row>
    <row r="36" ht="12.75" customHeight="1" s="123">
      <c r="A36" s="85" t="n">
        <v>34</v>
      </c>
      <c r="B36" s="30" t="inlineStr">
        <is>
          <t>1604-ZZ</t>
        </is>
      </c>
      <c r="C36" s="38" t="n">
        <v>7.143</v>
      </c>
      <c r="D36" s="38" t="n">
        <v>0</v>
      </c>
      <c r="E36" s="38" t="n">
        <v>-127</v>
      </c>
      <c r="F36" s="38" t="n">
        <v>22.225</v>
      </c>
      <c r="G36" s="38" t="n">
        <v>0</v>
      </c>
      <c r="H36" s="38" t="n">
        <v>-12</v>
      </c>
      <c r="I36" s="38" t="n">
        <v>7.143</v>
      </c>
      <c r="J36" s="38" t="n">
        <v>0</v>
      </c>
      <c r="K36" s="38" t="n">
        <v>-127</v>
      </c>
      <c r="L36" s="38" t="n">
        <v>9.525</v>
      </c>
      <c r="M36" s="38" t="n">
        <v>0</v>
      </c>
      <c r="N36" s="38" t="n">
        <v>-12</v>
      </c>
      <c r="O36" s="38" t="inlineStr">
        <is>
          <t>C0</t>
        </is>
      </c>
      <c r="P36" s="38" t="n">
        <v>2</v>
      </c>
      <c r="Q36" s="38" t="n">
        <v>13</v>
      </c>
      <c r="R36" s="38" t="n"/>
      <c r="S36" s="38" t="n"/>
      <c r="T36" s="38" t="n"/>
      <c r="U36" s="38" t="inlineStr">
        <is>
          <t>64HRc</t>
        </is>
      </c>
      <c r="V36" s="38" t="inlineStr">
        <is>
          <t>58HRc</t>
        </is>
      </c>
      <c r="W36" s="38" t="inlineStr">
        <is>
          <t>64HRc</t>
        </is>
      </c>
      <c r="X36" s="38" t="inlineStr">
        <is>
          <t>58HRc</t>
        </is>
      </c>
      <c r="Y36" s="36" t="n"/>
      <c r="Z36" s="38" t="n"/>
      <c r="AA36" s="45" t="inlineStr">
        <is>
          <t>…………..</t>
        </is>
      </c>
      <c r="AB36" s="45" t="inlineStr">
        <is>
          <t>…………..</t>
        </is>
      </c>
      <c r="AC36" s="44" t="inlineStr">
        <is>
          <t>……………</t>
        </is>
      </c>
      <c r="AD36" s="57" t="inlineStr">
        <is>
          <t>………</t>
        </is>
      </c>
    </row>
    <row r="37" ht="12.75" customHeight="1" s="123">
      <c r="A37" s="85" t="n">
        <v>35</v>
      </c>
      <c r="B37" s="30" t="inlineStr">
        <is>
          <t>1607-ZZ</t>
        </is>
      </c>
      <c r="C37" s="38" t="n">
        <v>7.936</v>
      </c>
      <c r="D37" s="38" t="n">
        <v>0</v>
      </c>
      <c r="E37" s="38" t="n">
        <v>-127</v>
      </c>
      <c r="F37" s="38" t="n">
        <v>23.018</v>
      </c>
      <c r="G37" s="38" t="n">
        <v>0</v>
      </c>
      <c r="H37" s="38" t="n">
        <v>-12</v>
      </c>
      <c r="I37" s="38" t="n">
        <v>7.936</v>
      </c>
      <c r="J37" s="38" t="n">
        <v>0</v>
      </c>
      <c r="K37" s="38" t="n">
        <v>-127</v>
      </c>
      <c r="L37" s="38" t="n">
        <v>11.113</v>
      </c>
      <c r="M37" s="38" t="n">
        <v>0</v>
      </c>
      <c r="N37" s="38" t="n">
        <v>-20</v>
      </c>
      <c r="O37" s="38" t="inlineStr">
        <is>
          <t>C0</t>
        </is>
      </c>
      <c r="P37" s="38" t="n">
        <v>3</v>
      </c>
      <c r="Q37" s="38" t="n">
        <v>18</v>
      </c>
      <c r="R37" s="38" t="n"/>
      <c r="S37" s="38" t="n"/>
      <c r="T37" s="38" t="n"/>
      <c r="U37" s="38" t="inlineStr">
        <is>
          <t>64HRc</t>
        </is>
      </c>
      <c r="V37" s="38" t="inlineStr">
        <is>
          <t>58HRc</t>
        </is>
      </c>
      <c r="W37" s="38" t="inlineStr">
        <is>
          <t>64HRc</t>
        </is>
      </c>
      <c r="X37" s="38" t="inlineStr">
        <is>
          <t>58HRc</t>
        </is>
      </c>
      <c r="Y37" s="36" t="n"/>
      <c r="Z37" s="38" t="n"/>
      <c r="AA37" s="45" t="inlineStr">
        <is>
          <t>…………..</t>
        </is>
      </c>
      <c r="AB37" s="45" t="inlineStr">
        <is>
          <t>…………..</t>
        </is>
      </c>
      <c r="AC37" s="44" t="inlineStr">
        <is>
          <t>……………</t>
        </is>
      </c>
      <c r="AD37" s="57" t="inlineStr">
        <is>
          <t>………</t>
        </is>
      </c>
    </row>
    <row r="38" ht="12.75" customHeight="1" s="123">
      <c r="A38" s="85" t="n">
        <v>36</v>
      </c>
      <c r="B38" s="27" t="inlineStr">
        <is>
          <t>1621-RS (HLBR)</t>
        </is>
      </c>
      <c r="C38" s="38" t="n">
        <v>11.112</v>
      </c>
      <c r="D38" s="38" t="n">
        <v>0</v>
      </c>
      <c r="E38" s="38" t="n">
        <v>-120</v>
      </c>
      <c r="F38" s="38" t="n">
        <v>34.925</v>
      </c>
      <c r="G38" s="38" t="n">
        <v>0</v>
      </c>
      <c r="H38" s="38" t="n">
        <v>-11</v>
      </c>
      <c r="I38" s="38" t="n">
        <v>11.112</v>
      </c>
      <c r="J38" s="38" t="n">
        <v>0</v>
      </c>
      <c r="K38" s="38" t="n">
        <v>-120</v>
      </c>
      <c r="L38" s="38" t="n">
        <v>12.7</v>
      </c>
      <c r="M38" s="38" t="n">
        <v>0</v>
      </c>
      <c r="N38" s="38" t="n">
        <v>-8</v>
      </c>
      <c r="O38" s="38" t="inlineStr">
        <is>
          <t>C0</t>
        </is>
      </c>
      <c r="P38" s="38" t="n">
        <v>18</v>
      </c>
      <c r="Q38" s="38" t="n">
        <v>3</v>
      </c>
      <c r="R38" s="38" t="inlineStr">
        <is>
          <t>NO</t>
        </is>
      </c>
      <c r="S38" s="38" t="inlineStr">
        <is>
          <t>NO</t>
        </is>
      </c>
      <c r="T38" s="38" t="inlineStr">
        <is>
          <t>NO</t>
        </is>
      </c>
      <c r="U38" s="38" t="n">
        <v>64</v>
      </c>
      <c r="V38" s="38" t="n">
        <v>58</v>
      </c>
      <c r="W38" s="38" t="n">
        <v>64</v>
      </c>
      <c r="X38" s="38" t="n">
        <v>58</v>
      </c>
      <c r="Y38" s="36" t="inlineStr">
        <is>
          <t>NO</t>
        </is>
      </c>
      <c r="Z38" s="38" t="inlineStr">
        <is>
          <t xml:space="preserve">Great Wall </t>
        </is>
      </c>
      <c r="AA38" s="45" t="inlineStr">
        <is>
          <t>standard</t>
        </is>
      </c>
      <c r="AB38" s="45" t="inlineStr">
        <is>
          <t>standard</t>
        </is>
      </c>
      <c r="AC38" s="44" t="n">
        <v>43088</v>
      </c>
      <c r="AD38" s="57" t="n">
        <v>0</v>
      </c>
    </row>
    <row r="39" ht="12.75" customHeight="1" s="123">
      <c r="A39" s="85" t="n">
        <v>37</v>
      </c>
      <c r="B39" s="30" t="inlineStr">
        <is>
          <t>1635-2RLD</t>
        </is>
      </c>
      <c r="C39" s="38" t="n">
        <v>12.71</v>
      </c>
      <c r="D39" s="38" t="n">
        <v>0</v>
      </c>
      <c r="E39" s="38" t="n">
        <v>-120</v>
      </c>
      <c r="F39" s="38" t="n">
        <v>44.45</v>
      </c>
      <c r="G39" s="38" t="n">
        <v>0</v>
      </c>
      <c r="H39" s="38" t="n">
        <v>-11</v>
      </c>
      <c r="I39" s="38" t="n">
        <v>12.71</v>
      </c>
      <c r="J39" s="38" t="n">
        <v>0</v>
      </c>
      <c r="K39" s="38" t="n">
        <v>-120</v>
      </c>
      <c r="L39" s="38" t="n">
        <v>19.05</v>
      </c>
      <c r="M39" s="38" t="n">
        <v>0</v>
      </c>
      <c r="N39" s="38" t="n">
        <v>-10</v>
      </c>
      <c r="O39" s="38" t="n"/>
      <c r="P39" s="38" t="n"/>
      <c r="Q39" s="38" t="n"/>
      <c r="R39" s="38" t="inlineStr">
        <is>
          <t>C0</t>
        </is>
      </c>
      <c r="S39" s="38" t="n">
        <v>5</v>
      </c>
      <c r="T39" s="38" t="n">
        <v>20</v>
      </c>
      <c r="U39" s="38" t="inlineStr">
        <is>
          <t>58 HRC</t>
        </is>
      </c>
      <c r="V39" s="38" t="inlineStr">
        <is>
          <t>64 HRC</t>
        </is>
      </c>
      <c r="W39" s="38" t="inlineStr">
        <is>
          <t>58 HRC</t>
        </is>
      </c>
      <c r="X39" s="38" t="inlineStr">
        <is>
          <t>64 HRC</t>
        </is>
      </c>
      <c r="Y39" s="36" t="inlineStr">
        <is>
          <t>25%- 35%</t>
        </is>
      </c>
      <c r="Z39" s="38" t="inlineStr">
        <is>
          <t>chang chan#2</t>
        </is>
      </c>
      <c r="AA39" s="45" t="inlineStr">
        <is>
          <t>…………..</t>
        </is>
      </c>
      <c r="AB39" s="45" t="inlineStr">
        <is>
          <t>…………..</t>
        </is>
      </c>
      <c r="AC39" s="44" t="inlineStr">
        <is>
          <t>……………</t>
        </is>
      </c>
      <c r="AD39" s="57" t="inlineStr">
        <is>
          <t>………</t>
        </is>
      </c>
    </row>
    <row r="40" ht="12.75" customHeight="1" s="123">
      <c r="A40" s="85" t="n">
        <v>38</v>
      </c>
      <c r="B40" s="30" t="inlineStr">
        <is>
          <t>2205-TN-C3</t>
        </is>
      </c>
      <c r="C40" s="38" t="n">
        <v>18</v>
      </c>
      <c r="D40" s="38" t="n">
        <v>0</v>
      </c>
      <c r="E40" s="38" t="n">
        <v>-120</v>
      </c>
      <c r="F40" s="38" t="n">
        <v>52</v>
      </c>
      <c r="G40" s="38" t="n">
        <v>0</v>
      </c>
      <c r="H40" s="38" t="n">
        <v>-13</v>
      </c>
      <c r="I40" s="38" t="n">
        <v>18</v>
      </c>
      <c r="J40" s="38" t="n">
        <v>0</v>
      </c>
      <c r="K40" s="38" t="n">
        <v>-120</v>
      </c>
      <c r="L40" s="38" t="n">
        <v>25</v>
      </c>
      <c r="M40" s="38" t="n">
        <v>0</v>
      </c>
      <c r="N40" s="38" t="n">
        <v>-10</v>
      </c>
      <c r="O40" s="38" t="inlineStr">
        <is>
          <t>C3</t>
        </is>
      </c>
      <c r="P40" s="38" t="n">
        <v>35</v>
      </c>
      <c r="Q40" s="38" t="n">
        <v>19</v>
      </c>
      <c r="R40" s="38" t="inlineStr">
        <is>
          <t>NO</t>
        </is>
      </c>
      <c r="S40" s="38" t="inlineStr">
        <is>
          <t>NO</t>
        </is>
      </c>
      <c r="T40" s="38" t="inlineStr">
        <is>
          <t>NO</t>
        </is>
      </c>
      <c r="U40" s="38" t="n">
        <v>64</v>
      </c>
      <c r="V40" s="38" t="n">
        <v>58</v>
      </c>
      <c r="W40" s="38" t="n">
        <v>64</v>
      </c>
      <c r="X40" s="38" t="n">
        <v>58</v>
      </c>
      <c r="Y40" s="36" t="inlineStr">
        <is>
          <t>NO</t>
        </is>
      </c>
      <c r="Z40" s="38" t="inlineStr">
        <is>
          <t>NO</t>
        </is>
      </c>
      <c r="AA40" s="45" t="inlineStr">
        <is>
          <t>NO</t>
        </is>
      </c>
      <c r="AB40" s="45" t="inlineStr">
        <is>
          <t>NO</t>
        </is>
      </c>
      <c r="AC40" s="44" t="n">
        <v>42569</v>
      </c>
      <c r="AD40" s="57" t="n">
        <v>0</v>
      </c>
    </row>
    <row r="41" ht="12.75" customHeight="1" s="123">
      <c r="A41" s="85" t="n">
        <v>39</v>
      </c>
      <c r="B41" s="30" t="inlineStr">
        <is>
          <t>2206-TN-C3</t>
        </is>
      </c>
      <c r="C41" s="38" t="n">
        <v>20</v>
      </c>
      <c r="D41" s="38" t="n">
        <v>0</v>
      </c>
      <c r="E41" s="38" t="n">
        <v>-120</v>
      </c>
      <c r="F41" s="38" t="n">
        <v>62</v>
      </c>
      <c r="G41" s="38" t="n">
        <v>0</v>
      </c>
      <c r="H41" s="38" t="n">
        <v>-13</v>
      </c>
      <c r="I41" s="38" t="n">
        <v>20</v>
      </c>
      <c r="J41" s="38" t="n">
        <v>0</v>
      </c>
      <c r="K41" s="38" t="n">
        <v>-120</v>
      </c>
      <c r="L41" s="38" t="n">
        <v>30</v>
      </c>
      <c r="M41" s="38" t="n">
        <v>0</v>
      </c>
      <c r="N41" s="38" t="n">
        <v>-10</v>
      </c>
      <c r="O41" s="38" t="inlineStr">
        <is>
          <t>C3</t>
        </is>
      </c>
      <c r="P41" s="38" t="n">
        <v>19</v>
      </c>
      <c r="Q41" s="38" t="n">
        <v>35</v>
      </c>
      <c r="R41" s="38" t="inlineStr">
        <is>
          <t>NO</t>
        </is>
      </c>
      <c r="S41" s="38" t="inlineStr">
        <is>
          <t>NO</t>
        </is>
      </c>
      <c r="T41" s="38" t="inlineStr">
        <is>
          <t>NO</t>
        </is>
      </c>
      <c r="U41" s="38" t="n">
        <v>64</v>
      </c>
      <c r="V41" s="38" t="n">
        <v>58</v>
      </c>
      <c r="W41" s="38" t="n">
        <v>64</v>
      </c>
      <c r="X41" s="38" t="n">
        <v>58</v>
      </c>
      <c r="Y41" s="38" t="inlineStr">
        <is>
          <t>NO</t>
        </is>
      </c>
      <c r="Z41" s="38" t="inlineStr">
        <is>
          <t>NO</t>
        </is>
      </c>
      <c r="AA41" s="45" t="inlineStr">
        <is>
          <t>…………..</t>
        </is>
      </c>
      <c r="AB41" s="45" t="inlineStr">
        <is>
          <t>…………..</t>
        </is>
      </c>
      <c r="AC41" s="44" t="n">
        <v>42569</v>
      </c>
      <c r="AD41" s="57" t="n">
        <v>0</v>
      </c>
    </row>
    <row r="42" ht="12.75" customHeight="1" s="123">
      <c r="A42" s="85" t="n">
        <v>40</v>
      </c>
      <c r="B42" s="30" t="inlineStr">
        <is>
          <t>2207-C3</t>
        </is>
      </c>
      <c r="C42" s="38" t="n">
        <v>23</v>
      </c>
      <c r="D42" s="38" t="n">
        <v>0</v>
      </c>
      <c r="E42" s="38" t="n">
        <v>-120</v>
      </c>
      <c r="F42" s="38" t="n">
        <v>72</v>
      </c>
      <c r="G42" s="38" t="n">
        <v>0</v>
      </c>
      <c r="H42" s="38" t="n">
        <v>-13</v>
      </c>
      <c r="I42" s="38" t="n">
        <v>23</v>
      </c>
      <c r="J42" s="38" t="n">
        <v>0</v>
      </c>
      <c r="K42" s="38" t="n">
        <v>-120</v>
      </c>
      <c r="L42" s="38" t="n">
        <v>35</v>
      </c>
      <c r="M42" s="38" t="n">
        <v>0</v>
      </c>
      <c r="N42" s="38" t="n">
        <v>-12</v>
      </c>
      <c r="O42" s="38" t="inlineStr">
        <is>
          <t>C3</t>
        </is>
      </c>
      <c r="P42" s="38" t="n">
        <v>40</v>
      </c>
      <c r="Q42" s="38" t="n">
        <v>23</v>
      </c>
      <c r="R42" s="38" t="inlineStr">
        <is>
          <t>NO</t>
        </is>
      </c>
      <c r="S42" s="38" t="inlineStr">
        <is>
          <t>NO</t>
        </is>
      </c>
      <c r="T42" s="38" t="inlineStr">
        <is>
          <t>NO</t>
        </is>
      </c>
      <c r="U42" s="38" t="n">
        <v>64</v>
      </c>
      <c r="V42" s="38" t="n">
        <v>58</v>
      </c>
      <c r="W42" s="38" t="n">
        <v>64</v>
      </c>
      <c r="X42" s="38" t="n">
        <v>58</v>
      </c>
      <c r="Y42" s="38" t="inlineStr">
        <is>
          <t>NO</t>
        </is>
      </c>
      <c r="Z42" s="38" t="inlineStr">
        <is>
          <t>NO</t>
        </is>
      </c>
      <c r="AA42" s="45" t="inlineStr">
        <is>
          <t>…………..</t>
        </is>
      </c>
      <c r="AB42" s="45" t="inlineStr">
        <is>
          <t>…………..</t>
        </is>
      </c>
      <c r="AC42" s="44" t="inlineStr">
        <is>
          <t>……………</t>
        </is>
      </c>
      <c r="AD42" s="57" t="inlineStr">
        <is>
          <t>………</t>
        </is>
      </c>
    </row>
    <row r="43" ht="12.75" customHeight="1" s="123">
      <c r="A43" s="85" t="n">
        <v>41</v>
      </c>
      <c r="B43" s="30" t="inlineStr">
        <is>
          <t>2209-KTN-C3</t>
        </is>
      </c>
      <c r="C43" s="38" t="n">
        <v>23</v>
      </c>
      <c r="D43" s="38" t="n">
        <v>0</v>
      </c>
      <c r="E43" s="38" t="n">
        <v>-120</v>
      </c>
      <c r="F43" s="38" t="n">
        <v>85</v>
      </c>
      <c r="G43" s="38" t="n">
        <v>0</v>
      </c>
      <c r="H43" s="38" t="n">
        <v>-15</v>
      </c>
      <c r="I43" s="38" t="n">
        <v>23</v>
      </c>
      <c r="J43" s="38" t="n">
        <v>0</v>
      </c>
      <c r="K43" s="38" t="n">
        <v>-120</v>
      </c>
      <c r="L43" s="38" t="n">
        <v>45</v>
      </c>
      <c r="M43" s="38" t="n">
        <v>0</v>
      </c>
      <c r="N43" s="38" t="n">
        <v>-12</v>
      </c>
      <c r="O43" s="38" t="inlineStr">
        <is>
          <t>Radial (C3)</t>
        </is>
      </c>
      <c r="P43" s="38" t="n">
        <v>52</v>
      </c>
      <c r="Q43" s="38" t="n">
        <v>33</v>
      </c>
      <c r="R43" s="38" t="inlineStr">
        <is>
          <t>NO</t>
        </is>
      </c>
      <c r="S43" s="38" t="inlineStr">
        <is>
          <t>NO</t>
        </is>
      </c>
      <c r="T43" s="38" t="inlineStr">
        <is>
          <t>NO</t>
        </is>
      </c>
      <c r="U43" s="38" t="n">
        <v>64</v>
      </c>
      <c r="V43" s="38" t="n">
        <v>58</v>
      </c>
      <c r="W43" s="38" t="n">
        <v>64</v>
      </c>
      <c r="X43" s="38" t="n">
        <v>58</v>
      </c>
      <c r="Y43" s="38" t="inlineStr">
        <is>
          <t>NO</t>
        </is>
      </c>
      <c r="Z43" s="38" t="inlineStr">
        <is>
          <t>NO</t>
        </is>
      </c>
      <c r="AA43" s="45" t="inlineStr">
        <is>
          <t>NO</t>
        </is>
      </c>
      <c r="AB43" s="45" t="inlineStr">
        <is>
          <t>NO</t>
        </is>
      </c>
      <c r="AC43" s="44" t="n">
        <v>42569</v>
      </c>
      <c r="AD43" s="57" t="n">
        <v>0</v>
      </c>
    </row>
    <row r="44">
      <c r="A44" s="85" t="n">
        <v>42</v>
      </c>
      <c r="B44" s="30" t="inlineStr">
        <is>
          <t>B&amp;P-040-2209-TN-C3-HLBR</t>
        </is>
      </c>
      <c r="C44" s="38" t="n">
        <v>23</v>
      </c>
      <c r="D44" s="38" t="n">
        <v>0</v>
      </c>
      <c r="E44" s="38" t="n">
        <v>-120</v>
      </c>
      <c r="F44" s="38" t="n">
        <v>85</v>
      </c>
      <c r="G44" s="38" t="n">
        <v>0</v>
      </c>
      <c r="H44" s="38" t="n">
        <v>-15</v>
      </c>
      <c r="I44" s="38" t="n">
        <v>23</v>
      </c>
      <c r="J44" s="38" t="n">
        <v>0</v>
      </c>
      <c r="K44" s="38" t="n">
        <v>-120</v>
      </c>
      <c r="L44" s="38" t="n">
        <v>45</v>
      </c>
      <c r="M44" s="38" t="n">
        <v>0</v>
      </c>
      <c r="N44" s="38" t="n">
        <v>-12</v>
      </c>
      <c r="O44" s="38" t="inlineStr">
        <is>
          <t>Radial (C3)</t>
        </is>
      </c>
      <c r="P44" s="38" t="n">
        <v>44</v>
      </c>
      <c r="Q44" s="38" t="n">
        <v>25</v>
      </c>
      <c r="R44" s="38" t="inlineStr">
        <is>
          <t>NO</t>
        </is>
      </c>
      <c r="S44" s="38" t="inlineStr">
        <is>
          <t>NO</t>
        </is>
      </c>
      <c r="T44" s="38" t="inlineStr">
        <is>
          <t>NO</t>
        </is>
      </c>
      <c r="U44" s="38" t="n">
        <v>64</v>
      </c>
      <c r="V44" s="38" t="n">
        <v>58</v>
      </c>
      <c r="W44" s="38" t="n">
        <v>64</v>
      </c>
      <c r="X44" s="38" t="n">
        <v>58</v>
      </c>
      <c r="Y44" s="38" t="inlineStr">
        <is>
          <t>NO</t>
        </is>
      </c>
      <c r="Z44" s="38" t="inlineStr">
        <is>
          <t>NO</t>
        </is>
      </c>
      <c r="AA44" s="45" t="inlineStr">
        <is>
          <t>NO</t>
        </is>
      </c>
      <c r="AB44" s="45" t="inlineStr">
        <is>
          <t>NO</t>
        </is>
      </c>
      <c r="AC44" s="44" t="n">
        <v>45348</v>
      </c>
      <c r="AD44" s="57" t="inlineStr">
        <is>
          <t>A</t>
        </is>
      </c>
    </row>
    <row r="45" ht="12.75" customHeight="1" s="123">
      <c r="A45" s="85" t="n">
        <v>43</v>
      </c>
      <c r="B45" s="30" t="inlineStr">
        <is>
          <t>5203-2RS</t>
        </is>
      </c>
      <c r="C45" s="38" t="n">
        <v>17.463</v>
      </c>
      <c r="D45" s="38" t="n">
        <v>0</v>
      </c>
      <c r="E45" s="38" t="n">
        <v>-120</v>
      </c>
      <c r="F45" s="38" t="n">
        <v>40</v>
      </c>
      <c r="G45" s="38" t="n">
        <v>0</v>
      </c>
      <c r="H45" s="38" t="n">
        <v>-11</v>
      </c>
      <c r="I45" s="38" t="n">
        <v>17.463</v>
      </c>
      <c r="J45" s="38" t="n">
        <v>0</v>
      </c>
      <c r="K45" s="38" t="n">
        <v>-120</v>
      </c>
      <c r="L45" s="38" t="n">
        <v>17</v>
      </c>
      <c r="M45" s="38" t="n">
        <v>0</v>
      </c>
      <c r="N45" s="38" t="n">
        <v>-8</v>
      </c>
      <c r="O45" s="38" t="inlineStr">
        <is>
          <t>NO</t>
        </is>
      </c>
      <c r="P45" s="38" t="inlineStr">
        <is>
          <t>NO</t>
        </is>
      </c>
      <c r="Q45" s="38" t="inlineStr">
        <is>
          <t>NO</t>
        </is>
      </c>
      <c r="R45" s="38" t="inlineStr">
        <is>
          <t>C3</t>
        </is>
      </c>
      <c r="S45" s="38" t="n">
        <v>13</v>
      </c>
      <c r="T45" s="38" t="n">
        <v>31</v>
      </c>
      <c r="U45" s="38" t="n">
        <v>58</v>
      </c>
      <c r="V45" s="38" t="n">
        <v>64</v>
      </c>
      <c r="W45" s="38" t="n">
        <v>58</v>
      </c>
      <c r="X45" s="38" t="n">
        <v>64</v>
      </c>
      <c r="Y45" s="38" t="inlineStr">
        <is>
          <t>25 - 35%</t>
        </is>
      </c>
      <c r="Z45" s="38" t="inlineStr">
        <is>
          <t>Polyrex</t>
        </is>
      </c>
      <c r="AA45" s="45" t="inlineStr">
        <is>
          <t>…………..</t>
        </is>
      </c>
      <c r="AB45" s="45" t="inlineStr">
        <is>
          <t>…………..</t>
        </is>
      </c>
      <c r="AC45" s="44" t="inlineStr">
        <is>
          <t>……………</t>
        </is>
      </c>
      <c r="AD45" s="57" t="inlineStr">
        <is>
          <t>………</t>
        </is>
      </c>
    </row>
    <row r="46" ht="12.75" customHeight="1" s="123">
      <c r="A46" s="85" t="n">
        <v>44</v>
      </c>
      <c r="B46" s="30" t="inlineStr">
        <is>
          <t>5206KYY3</t>
        </is>
      </c>
      <c r="C46" s="38" t="n">
        <v>37</v>
      </c>
      <c r="D46" s="38" t="n">
        <v>0</v>
      </c>
      <c r="E46" s="38" t="n">
        <v>-120</v>
      </c>
      <c r="F46" s="38" t="n">
        <v>62</v>
      </c>
      <c r="G46" s="38" t="n">
        <v>0</v>
      </c>
      <c r="H46" s="38" t="n">
        <v>-11</v>
      </c>
      <c r="I46" s="38" t="n">
        <v>50</v>
      </c>
      <c r="J46" s="38" t="n">
        <v>0</v>
      </c>
      <c r="K46" s="38" t="n">
        <v>-120</v>
      </c>
      <c r="L46" s="38" t="n">
        <v>30.15</v>
      </c>
      <c r="M46" s="38" t="n">
        <v>300</v>
      </c>
      <c r="N46" s="38" t="n">
        <v>0</v>
      </c>
      <c r="O46" s="38" t="inlineStr">
        <is>
          <t>NO</t>
        </is>
      </c>
      <c r="P46" s="38" t="inlineStr">
        <is>
          <t>NO</t>
        </is>
      </c>
      <c r="Q46" s="38" t="inlineStr">
        <is>
          <t>NO</t>
        </is>
      </c>
      <c r="R46" s="38" t="inlineStr">
        <is>
          <t>C3</t>
        </is>
      </c>
      <c r="S46" s="38" t="n">
        <v>37</v>
      </c>
      <c r="T46" s="38" t="n">
        <v>18</v>
      </c>
      <c r="U46" s="38" t="n">
        <v>64</v>
      </c>
      <c r="V46" s="38" t="n">
        <v>58</v>
      </c>
      <c r="W46" s="38" t="n">
        <v>64</v>
      </c>
      <c r="X46" s="38" t="n">
        <v>58</v>
      </c>
      <c r="Y46" s="38" t="inlineStr">
        <is>
          <t>13-15</t>
        </is>
      </c>
      <c r="Z46" s="38" t="inlineStr">
        <is>
          <t>Polyrex</t>
        </is>
      </c>
      <c r="AA46" s="45" t="inlineStr">
        <is>
          <t>25cNm / 0,25Nm</t>
        </is>
      </c>
      <c r="AB46" s="45" t="inlineStr">
        <is>
          <t>16cNm / 0,16Nm</t>
        </is>
      </c>
      <c r="AC46" s="44" t="n">
        <v>42031</v>
      </c>
      <c r="AD46" s="57" t="n">
        <v>0</v>
      </c>
    </row>
    <row r="47" ht="12.75" customHeight="1" s="123">
      <c r="A47" s="85" t="n">
        <v>45</v>
      </c>
      <c r="B47" s="30" t="inlineStr">
        <is>
          <t>5207-2RS</t>
        </is>
      </c>
      <c r="C47" s="38" t="n">
        <v>26.988</v>
      </c>
      <c r="D47" s="38" t="n">
        <v>0</v>
      </c>
      <c r="E47" s="38" t="n">
        <v>-120</v>
      </c>
      <c r="F47" s="38" t="n">
        <v>72</v>
      </c>
      <c r="G47" s="38" t="n">
        <v>0</v>
      </c>
      <c r="H47" s="38" t="n">
        <v>-11</v>
      </c>
      <c r="I47" s="38" t="n">
        <v>26.988</v>
      </c>
      <c r="J47" s="38" t="n">
        <v>0</v>
      </c>
      <c r="K47" s="38" t="n">
        <v>-120</v>
      </c>
      <c r="L47" s="38" t="n">
        <v>35</v>
      </c>
      <c r="M47" s="38" t="n">
        <v>0</v>
      </c>
      <c r="N47" s="38" t="n">
        <v>-12</v>
      </c>
      <c r="O47" s="38" t="inlineStr">
        <is>
          <t>NO</t>
        </is>
      </c>
      <c r="P47" s="38" t="inlineStr">
        <is>
          <t>NO</t>
        </is>
      </c>
      <c r="Q47" s="38" t="inlineStr">
        <is>
          <t>NO</t>
        </is>
      </c>
      <c r="R47" s="38" t="inlineStr">
        <is>
          <t>NO</t>
        </is>
      </c>
      <c r="S47" s="38" t="inlineStr">
        <is>
          <t>NO</t>
        </is>
      </c>
      <c r="T47" s="38" t="inlineStr">
        <is>
          <t>NO</t>
        </is>
      </c>
      <c r="U47" s="38" t="inlineStr">
        <is>
          <t>NO</t>
        </is>
      </c>
      <c r="V47" s="38" t="inlineStr">
        <is>
          <t>NO</t>
        </is>
      </c>
      <c r="W47" s="38" t="inlineStr">
        <is>
          <t>NO</t>
        </is>
      </c>
      <c r="X47" s="38" t="inlineStr">
        <is>
          <t>NO</t>
        </is>
      </c>
      <c r="Y47" s="36" t="n"/>
      <c r="Z47" s="38" t="n"/>
      <c r="AA47" s="45" t="inlineStr">
        <is>
          <t>…………..</t>
        </is>
      </c>
      <c r="AB47" s="45" t="inlineStr">
        <is>
          <t>…………..</t>
        </is>
      </c>
      <c r="AC47" s="44" t="inlineStr">
        <is>
          <t>……………</t>
        </is>
      </c>
      <c r="AD47" s="57" t="inlineStr">
        <is>
          <t>………</t>
        </is>
      </c>
    </row>
    <row r="48" ht="12.75" customHeight="1" s="123">
      <c r="A48" s="85" t="n">
        <v>46</v>
      </c>
      <c r="B48" s="27" t="inlineStr">
        <is>
          <t>5210-2RS-C3</t>
        </is>
      </c>
      <c r="C48" s="38" t="n">
        <v>30.163</v>
      </c>
      <c r="D48" s="38" t="n">
        <v>0</v>
      </c>
      <c r="E48" s="38" t="n">
        <v>-120</v>
      </c>
      <c r="F48" s="38" t="n">
        <v>90</v>
      </c>
      <c r="G48" s="38" t="n">
        <v>0</v>
      </c>
      <c r="H48" s="38" t="n">
        <v>-15</v>
      </c>
      <c r="I48" s="38" t="n">
        <v>30.163</v>
      </c>
      <c r="J48" s="38" t="n">
        <v>0</v>
      </c>
      <c r="K48" s="38" t="n">
        <v>-120</v>
      </c>
      <c r="L48" s="38" t="n">
        <v>50</v>
      </c>
      <c r="M48" s="38" t="n">
        <v>0</v>
      </c>
      <c r="N48" s="38" t="n">
        <v>-12</v>
      </c>
      <c r="O48" s="38" t="inlineStr">
        <is>
          <t>Axial (C3)</t>
        </is>
      </c>
      <c r="P48" s="38" t="n">
        <v>23</v>
      </c>
      <c r="Q48" s="38" t="n">
        <v>44</v>
      </c>
      <c r="R48" s="38" t="inlineStr">
        <is>
          <t>NO</t>
        </is>
      </c>
      <c r="S48" s="38" t="inlineStr">
        <is>
          <t>NO</t>
        </is>
      </c>
      <c r="T48" s="38" t="inlineStr">
        <is>
          <t>NO</t>
        </is>
      </c>
      <c r="U48" s="38" t="n">
        <v>58</v>
      </c>
      <c r="V48" s="38" t="n">
        <v>64</v>
      </c>
      <c r="W48" s="38" t="n">
        <v>58</v>
      </c>
      <c r="X48" s="38" t="n">
        <v>64</v>
      </c>
      <c r="Y48" s="36" t="inlineStr">
        <is>
          <t>25%- 35%</t>
        </is>
      </c>
      <c r="Z48" s="38" t="inlineStr">
        <is>
          <t>Polyrex</t>
        </is>
      </c>
      <c r="AA48" s="45" t="inlineStr">
        <is>
          <t>12cNm / 1,2Nm</t>
        </is>
      </c>
      <c r="AB48" s="45" t="inlineStr">
        <is>
          <t>7,2cNm / 0,72Nm</t>
        </is>
      </c>
      <c r="AC48" s="44" t="n">
        <v>39627</v>
      </c>
      <c r="AD48" s="57" t="n">
        <v>0</v>
      </c>
    </row>
    <row r="49" ht="12.75" customHeight="1" s="123">
      <c r="A49" s="85" t="n">
        <v>47</v>
      </c>
      <c r="B49" s="27" t="inlineStr">
        <is>
          <t>5210-2RST-C3</t>
        </is>
      </c>
      <c r="C49" s="38" t="n">
        <v>30.163</v>
      </c>
      <c r="D49" s="38" t="n">
        <v>0</v>
      </c>
      <c r="E49" s="38" t="n">
        <v>-120</v>
      </c>
      <c r="F49" s="38" t="n">
        <v>90</v>
      </c>
      <c r="G49" s="38" t="n">
        <v>0</v>
      </c>
      <c r="H49" s="38" t="n">
        <v>-15</v>
      </c>
      <c r="I49" s="38" t="n">
        <v>30.163</v>
      </c>
      <c r="J49" s="38" t="n">
        <v>0</v>
      </c>
      <c r="K49" s="38" t="n">
        <v>-120</v>
      </c>
      <c r="L49" s="38" t="n">
        <v>50</v>
      </c>
      <c r="M49" s="38" t="n">
        <v>0</v>
      </c>
      <c r="N49" s="38" t="n">
        <v>-12</v>
      </c>
      <c r="O49" s="38" t="inlineStr">
        <is>
          <t>Axial (C3)</t>
        </is>
      </c>
      <c r="P49" s="38" t="n">
        <v>23</v>
      </c>
      <c r="Q49" s="38" t="n">
        <v>44</v>
      </c>
      <c r="R49" s="38" t="n"/>
      <c r="S49" s="38" t="n"/>
      <c r="T49" s="38" t="n"/>
      <c r="U49" s="38" t="inlineStr">
        <is>
          <t>58 HRC</t>
        </is>
      </c>
      <c r="V49" s="38" t="inlineStr">
        <is>
          <t>65 HRC</t>
        </is>
      </c>
      <c r="W49" s="38" t="inlineStr">
        <is>
          <t>58 HRC</t>
        </is>
      </c>
      <c r="X49" s="38" t="inlineStr">
        <is>
          <t>65 HRC</t>
        </is>
      </c>
      <c r="Y49" s="36" t="n"/>
      <c r="Z49" s="38" t="n"/>
      <c r="AA49" s="45" t="inlineStr">
        <is>
          <t>…………..</t>
        </is>
      </c>
      <c r="AB49" s="45" t="inlineStr">
        <is>
          <t>…………..</t>
        </is>
      </c>
      <c r="AC49" s="44" t="inlineStr">
        <is>
          <t>……………</t>
        </is>
      </c>
      <c r="AD49" s="57" t="inlineStr">
        <is>
          <t>………</t>
        </is>
      </c>
    </row>
    <row r="50" ht="12.75" customHeight="1" s="123">
      <c r="A50" s="85" t="n">
        <v>48</v>
      </c>
      <c r="B50" s="30" t="inlineStr">
        <is>
          <t>5211-2RST</t>
        </is>
      </c>
      <c r="C50" s="38" t="n">
        <v>33.338</v>
      </c>
      <c r="D50" s="38" t="n">
        <v>0</v>
      </c>
      <c r="E50" s="38" t="n">
        <v>-120</v>
      </c>
      <c r="F50" s="38" t="n">
        <v>100</v>
      </c>
      <c r="G50" s="38" t="n">
        <v>0</v>
      </c>
      <c r="H50" s="38" t="n">
        <v>-15</v>
      </c>
      <c r="I50" s="38" t="n">
        <v>33.338</v>
      </c>
      <c r="J50" s="38" t="n">
        <v>0</v>
      </c>
      <c r="K50" s="38" t="n">
        <v>-120</v>
      </c>
      <c r="L50" s="38" t="n">
        <v>55</v>
      </c>
      <c r="M50" s="38" t="n">
        <v>0</v>
      </c>
      <c r="N50" s="38" t="n">
        <v>-15</v>
      </c>
      <c r="O50" s="38" t="n"/>
      <c r="P50" s="38" t="n"/>
      <c r="Q50" s="38" t="n"/>
      <c r="R50" s="38" t="inlineStr">
        <is>
          <t>C3</t>
        </is>
      </c>
      <c r="S50" s="38" t="n">
        <v>26</v>
      </c>
      <c r="T50" s="38" t="n">
        <v>48</v>
      </c>
      <c r="U50" s="38" t="inlineStr">
        <is>
          <t>58 HRC</t>
        </is>
      </c>
      <c r="V50" s="38" t="inlineStr">
        <is>
          <t>62 HRC</t>
        </is>
      </c>
      <c r="W50" s="38" t="inlineStr">
        <is>
          <t>58 HRC</t>
        </is>
      </c>
      <c r="X50" s="38" t="inlineStr">
        <is>
          <t>62 HRC</t>
        </is>
      </c>
      <c r="Y50" s="36" t="n"/>
      <c r="Z50" s="38" t="n"/>
      <c r="AA50" s="45" t="inlineStr">
        <is>
          <t>…………..</t>
        </is>
      </c>
      <c r="AB50" s="45" t="inlineStr">
        <is>
          <t>…………..</t>
        </is>
      </c>
      <c r="AC50" s="44" t="inlineStr">
        <is>
          <t>……………</t>
        </is>
      </c>
      <c r="AD50" s="57" t="inlineStr">
        <is>
          <t>………</t>
        </is>
      </c>
    </row>
    <row r="51" ht="12.75" customHeight="1" s="123">
      <c r="A51" s="85" t="n">
        <v>49</v>
      </c>
      <c r="B51" s="30" t="inlineStr">
        <is>
          <t>5212-2RS</t>
        </is>
      </c>
      <c r="C51" s="38" t="n">
        <v>36.513</v>
      </c>
      <c r="D51" s="38" t="n">
        <v>0</v>
      </c>
      <c r="E51" s="38" t="n">
        <v>-120</v>
      </c>
      <c r="F51" s="38" t="n">
        <v>110</v>
      </c>
      <c r="G51" s="38" t="n">
        <v>0</v>
      </c>
      <c r="H51" s="38" t="n">
        <v>-15</v>
      </c>
      <c r="I51" s="38" t="n">
        <v>36.513</v>
      </c>
      <c r="J51" s="38" t="n">
        <v>0</v>
      </c>
      <c r="K51" s="38" t="n">
        <v>-120</v>
      </c>
      <c r="L51" s="38" t="n">
        <v>60</v>
      </c>
      <c r="M51" s="38" t="n">
        <v>0</v>
      </c>
      <c r="N51" s="38" t="n">
        <v>-12</v>
      </c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6" t="n"/>
      <c r="Z51" s="38" t="n"/>
      <c r="AA51" s="45" t="inlineStr">
        <is>
          <t>…………..</t>
        </is>
      </c>
      <c r="AB51" s="45" t="inlineStr">
        <is>
          <t>…………..</t>
        </is>
      </c>
      <c r="AC51" s="44" t="inlineStr">
        <is>
          <t>……………</t>
        </is>
      </c>
      <c r="AD51" s="57" t="inlineStr">
        <is>
          <t>………</t>
        </is>
      </c>
    </row>
    <row r="52" ht="12.75" customHeight="1" s="123">
      <c r="A52" s="85" t="n">
        <v>50</v>
      </c>
      <c r="B52" s="30" t="inlineStr">
        <is>
          <t>6000-2RLD</t>
        </is>
      </c>
      <c r="C52" s="38" t="n">
        <v>8</v>
      </c>
      <c r="D52" s="38" t="n">
        <v>0</v>
      </c>
      <c r="E52" s="38" t="n">
        <v>-120</v>
      </c>
      <c r="F52" s="38" t="n">
        <v>26</v>
      </c>
      <c r="G52" s="38" t="n">
        <v>0</v>
      </c>
      <c r="H52" s="38" t="n">
        <v>-9</v>
      </c>
      <c r="I52" s="38" t="n">
        <v>8</v>
      </c>
      <c r="J52" s="38" t="n">
        <v>0</v>
      </c>
      <c r="K52" s="38" t="n">
        <v>-120</v>
      </c>
      <c r="L52" s="38" t="n">
        <v>10</v>
      </c>
      <c r="M52" s="38" t="n">
        <v>0</v>
      </c>
      <c r="N52" s="38" t="n">
        <v>-8</v>
      </c>
      <c r="O52" s="38" t="inlineStr">
        <is>
          <t>C3</t>
        </is>
      </c>
      <c r="P52" s="38" t="n">
        <v>8</v>
      </c>
      <c r="Q52" s="38" t="n">
        <v>23</v>
      </c>
      <c r="R52" s="38" t="inlineStr">
        <is>
          <t>NO</t>
        </is>
      </c>
      <c r="S52" s="38" t="inlineStr">
        <is>
          <t>NO</t>
        </is>
      </c>
      <c r="T52" s="38" t="inlineStr">
        <is>
          <t>NO</t>
        </is>
      </c>
      <c r="U52" s="38" t="n">
        <v>64</v>
      </c>
      <c r="V52" s="38" t="n">
        <v>58</v>
      </c>
      <c r="W52" s="38" t="n">
        <v>64</v>
      </c>
      <c r="X52" s="38" t="n">
        <v>58</v>
      </c>
      <c r="Y52" s="36" t="inlineStr">
        <is>
          <t>0,22-0,3</t>
        </is>
      </c>
      <c r="Z52" s="38" t="inlineStr">
        <is>
          <t>Polyrex</t>
        </is>
      </c>
      <c r="AA52" s="45" t="inlineStr">
        <is>
          <t>…………..</t>
        </is>
      </c>
      <c r="AB52" s="45" t="inlineStr">
        <is>
          <t>…………..</t>
        </is>
      </c>
      <c r="AC52" s="44" t="inlineStr">
        <is>
          <t>……………</t>
        </is>
      </c>
      <c r="AD52" s="57" t="inlineStr">
        <is>
          <t>………</t>
        </is>
      </c>
    </row>
    <row r="53" ht="12.75" customHeight="1" s="123">
      <c r="A53" s="85" t="n">
        <v>51</v>
      </c>
      <c r="B53" s="30" t="inlineStr">
        <is>
          <t>6000-2RS</t>
        </is>
      </c>
      <c r="C53" s="38" t="n">
        <v>8</v>
      </c>
      <c r="D53" s="38" t="n">
        <v>0</v>
      </c>
      <c r="E53" s="38" t="n">
        <v>-120</v>
      </c>
      <c r="F53" s="38" t="n">
        <v>26</v>
      </c>
      <c r="G53" s="38" t="n">
        <v>0</v>
      </c>
      <c r="H53" s="38" t="n">
        <v>-9</v>
      </c>
      <c r="I53" s="38" t="n">
        <v>8</v>
      </c>
      <c r="J53" s="38" t="n">
        <v>0</v>
      </c>
      <c r="K53" s="38" t="n">
        <v>-120</v>
      </c>
      <c r="L53" s="38" t="n">
        <v>10</v>
      </c>
      <c r="M53" s="38" t="n">
        <v>0</v>
      </c>
      <c r="N53" s="38" t="n">
        <v>-8</v>
      </c>
      <c r="O53" s="38" t="inlineStr">
        <is>
          <t>C3</t>
        </is>
      </c>
      <c r="P53" s="38" t="n">
        <v>8</v>
      </c>
      <c r="Q53" s="38" t="n">
        <v>23</v>
      </c>
      <c r="R53" s="38" t="inlineStr">
        <is>
          <t>NO</t>
        </is>
      </c>
      <c r="S53" s="38" t="inlineStr">
        <is>
          <t>NO</t>
        </is>
      </c>
      <c r="T53" s="38" t="inlineStr">
        <is>
          <t>NO</t>
        </is>
      </c>
      <c r="U53" s="38" t="n">
        <v>64</v>
      </c>
      <c r="V53" s="38" t="n">
        <v>58</v>
      </c>
      <c r="W53" s="38" t="n">
        <v>64</v>
      </c>
      <c r="X53" s="38" t="n">
        <v>58</v>
      </c>
      <c r="Y53" s="36" t="inlineStr">
        <is>
          <t>0,22-0,3</t>
        </is>
      </c>
      <c r="Z53" s="38" t="inlineStr">
        <is>
          <t>Polyrex</t>
        </is>
      </c>
      <c r="AA53" s="45" t="inlineStr">
        <is>
          <t>0,9cNm / 0,009Nm</t>
        </is>
      </c>
      <c r="AB53" s="45" t="inlineStr">
        <is>
          <t>0,4cNm / 0,004Nm</t>
        </is>
      </c>
      <c r="AC53" s="44" t="inlineStr">
        <is>
          <t>……………</t>
        </is>
      </c>
      <c r="AD53" s="57" t="inlineStr">
        <is>
          <t>………</t>
        </is>
      </c>
    </row>
    <row r="54" ht="12.75" customHeight="1" s="123">
      <c r="A54" s="85" t="n">
        <v>52</v>
      </c>
      <c r="B54" s="27" t="inlineStr">
        <is>
          <t>6001-2RLD</t>
        </is>
      </c>
      <c r="C54" s="38" t="n">
        <v>8</v>
      </c>
      <c r="D54" s="38" t="n">
        <v>0</v>
      </c>
      <c r="E54" s="38" t="n">
        <v>-120</v>
      </c>
      <c r="F54" s="38" t="n">
        <v>28</v>
      </c>
      <c r="G54" s="38" t="n">
        <v>0</v>
      </c>
      <c r="H54" s="38" t="n">
        <v>-9</v>
      </c>
      <c r="I54" s="38" t="n">
        <v>8</v>
      </c>
      <c r="J54" s="38" t="n">
        <v>0</v>
      </c>
      <c r="K54" s="38" t="n">
        <v>-120</v>
      </c>
      <c r="L54" s="38" t="n">
        <v>12</v>
      </c>
      <c r="M54" s="38" t="n">
        <v>0</v>
      </c>
      <c r="N54" s="38" t="n">
        <v>-8</v>
      </c>
      <c r="O54" s="38" t="n"/>
      <c r="P54" s="38" t="n">
        <v>3</v>
      </c>
      <c r="Q54" s="38" t="n">
        <v>18</v>
      </c>
      <c r="R54" s="38" t="n"/>
      <c r="S54" s="38" t="n"/>
      <c r="T54" s="38" t="n"/>
      <c r="U54" s="38" t="inlineStr">
        <is>
          <t>58 HRC</t>
        </is>
      </c>
      <c r="V54" s="38" t="inlineStr">
        <is>
          <t>65 HRC</t>
        </is>
      </c>
      <c r="W54" s="38" t="inlineStr">
        <is>
          <t>58 HRC</t>
        </is>
      </c>
      <c r="X54" s="38" t="inlineStr">
        <is>
          <t>65 HRC</t>
        </is>
      </c>
      <c r="Y54" s="36" t="n"/>
      <c r="Z54" s="38" t="n"/>
      <c r="AA54" s="45" t="inlineStr">
        <is>
          <t>…………..</t>
        </is>
      </c>
      <c r="AB54" s="45" t="inlineStr">
        <is>
          <t>…………..</t>
        </is>
      </c>
      <c r="AC54" s="44" t="inlineStr">
        <is>
          <t>……………</t>
        </is>
      </c>
      <c r="AD54" s="57" t="inlineStr">
        <is>
          <t>………</t>
        </is>
      </c>
    </row>
    <row r="55" ht="12.75" customHeight="1" s="123">
      <c r="A55" s="85" t="n">
        <v>53</v>
      </c>
      <c r="B55" s="30" t="inlineStr">
        <is>
          <t>6003-2RLD</t>
        </is>
      </c>
      <c r="C55" s="38" t="n">
        <v>10</v>
      </c>
      <c r="D55" s="38" t="n">
        <v>-5</v>
      </c>
      <c r="E55" s="38" t="n">
        <v>-100</v>
      </c>
      <c r="F55" s="38" t="n">
        <v>35</v>
      </c>
      <c r="G55" s="38" t="n">
        <v>-5</v>
      </c>
      <c r="H55" s="38" t="n">
        <v>-10</v>
      </c>
      <c r="I55" s="38" t="n">
        <v>10</v>
      </c>
      <c r="J55" s="38" t="n">
        <v>-5</v>
      </c>
      <c r="K55" s="38" t="n">
        <v>-100</v>
      </c>
      <c r="L55" s="38" t="n">
        <v>17</v>
      </c>
      <c r="M55" s="38" t="n">
        <v>0</v>
      </c>
      <c r="N55" s="38" t="n">
        <v>-8</v>
      </c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6" t="n"/>
      <c r="Z55" s="38" t="n"/>
      <c r="AA55" s="45" t="inlineStr">
        <is>
          <t>…………..</t>
        </is>
      </c>
      <c r="AB55" s="45" t="inlineStr">
        <is>
          <t>…………..</t>
        </is>
      </c>
      <c r="AC55" s="44" t="inlineStr">
        <is>
          <t>……………</t>
        </is>
      </c>
      <c r="AD55" s="57" t="inlineStr">
        <is>
          <t>………</t>
        </is>
      </c>
    </row>
    <row r="56" ht="12.75" customHeight="1" s="123">
      <c r="A56" s="85" t="n">
        <v>54</v>
      </c>
      <c r="B56" s="30" t="inlineStr">
        <is>
          <t>6003-2RST</t>
        </is>
      </c>
      <c r="C56" s="38" t="n">
        <v>10</v>
      </c>
      <c r="D56" s="38" t="n">
        <v>0</v>
      </c>
      <c r="E56" s="38" t="n">
        <v>-120</v>
      </c>
      <c r="F56" s="38" t="n">
        <v>35</v>
      </c>
      <c r="G56" s="38" t="n">
        <v>0</v>
      </c>
      <c r="H56" s="38" t="n">
        <v>-11</v>
      </c>
      <c r="I56" s="38" t="n">
        <v>10</v>
      </c>
      <c r="J56" s="38" t="n">
        <v>0</v>
      </c>
      <c r="K56" s="38" t="n">
        <v>-120</v>
      </c>
      <c r="L56" s="38" t="n">
        <v>17</v>
      </c>
      <c r="M56" s="38" t="n">
        <v>0</v>
      </c>
      <c r="N56" s="38" t="n">
        <v>-8</v>
      </c>
      <c r="O56" s="38" t="inlineStr">
        <is>
          <t>C3</t>
        </is>
      </c>
      <c r="P56" s="38" t="n">
        <v>11</v>
      </c>
      <c r="Q56" s="38" t="n">
        <v>25</v>
      </c>
      <c r="R56" s="38" t="n"/>
      <c r="S56" s="38" t="n"/>
      <c r="T56" s="38" t="n"/>
      <c r="U56" s="38" t="inlineStr">
        <is>
          <t>58HRc</t>
        </is>
      </c>
      <c r="V56" s="38" t="inlineStr">
        <is>
          <t>62HRc</t>
        </is>
      </c>
      <c r="W56" s="38" t="inlineStr">
        <is>
          <t>58HRc</t>
        </is>
      </c>
      <c r="X56" s="38" t="inlineStr">
        <is>
          <t>62HRc</t>
        </is>
      </c>
      <c r="Y56" s="36" t="n"/>
      <c r="Z56" s="38" t="n"/>
      <c r="AA56" s="45" t="inlineStr">
        <is>
          <t>…………..</t>
        </is>
      </c>
      <c r="AB56" s="45" t="inlineStr">
        <is>
          <t>…………..</t>
        </is>
      </c>
      <c r="AC56" s="44" t="inlineStr">
        <is>
          <t>……………</t>
        </is>
      </c>
      <c r="AD56" s="57" t="inlineStr">
        <is>
          <t>………</t>
        </is>
      </c>
    </row>
    <row r="57" ht="12.75" customHeight="1" s="123">
      <c r="A57" s="85" t="n">
        <v>55</v>
      </c>
      <c r="B57" s="27" t="inlineStr">
        <is>
          <t>6004 -2RLD-C3</t>
        </is>
      </c>
      <c r="C57" s="38" t="n">
        <v>12</v>
      </c>
      <c r="D57" s="38" t="n">
        <v>0</v>
      </c>
      <c r="E57" s="38" t="n">
        <v>-120</v>
      </c>
      <c r="F57" s="38" t="n">
        <v>42</v>
      </c>
      <c r="G57" s="38" t="n">
        <v>0</v>
      </c>
      <c r="H57" s="38" t="n">
        <v>-11</v>
      </c>
      <c r="I57" s="38" t="n">
        <v>12</v>
      </c>
      <c r="J57" s="38" t="n">
        <v>0</v>
      </c>
      <c r="K57" s="38" t="n">
        <v>-120</v>
      </c>
      <c r="L57" s="38" t="n">
        <v>20</v>
      </c>
      <c r="M57" s="38" t="n">
        <v>0</v>
      </c>
      <c r="N57" s="38" t="n">
        <v>-10</v>
      </c>
      <c r="O57" s="38" t="n"/>
      <c r="P57" s="38" t="n">
        <v>13</v>
      </c>
      <c r="Q57" s="38" t="n">
        <v>28</v>
      </c>
      <c r="R57" s="38" t="n"/>
      <c r="S57" s="38" t="n"/>
      <c r="T57" s="38" t="n"/>
      <c r="U57" s="38" t="inlineStr">
        <is>
          <t>58 HRC</t>
        </is>
      </c>
      <c r="V57" s="38" t="inlineStr">
        <is>
          <t>65 HRC</t>
        </is>
      </c>
      <c r="W57" s="38" t="inlineStr">
        <is>
          <t>58 HRC</t>
        </is>
      </c>
      <c r="X57" s="38" t="inlineStr">
        <is>
          <t>65 HRC</t>
        </is>
      </c>
      <c r="Y57" s="36" t="n"/>
      <c r="Z57" s="38" t="n"/>
      <c r="AA57" s="45" t="inlineStr">
        <is>
          <t>…………..</t>
        </is>
      </c>
      <c r="AB57" s="45" t="inlineStr">
        <is>
          <t>…………..</t>
        </is>
      </c>
      <c r="AC57" s="44" t="inlineStr">
        <is>
          <t>……………</t>
        </is>
      </c>
      <c r="AD57" s="57" t="inlineStr">
        <is>
          <t>………</t>
        </is>
      </c>
    </row>
    <row r="58" ht="12.75" customHeight="1" s="123">
      <c r="A58" s="85" t="n">
        <v>56</v>
      </c>
      <c r="B58" s="27" t="inlineStr">
        <is>
          <t>6004 -2RST</t>
        </is>
      </c>
      <c r="C58" s="38" t="n">
        <v>12</v>
      </c>
      <c r="D58" s="38" t="n">
        <v>0</v>
      </c>
      <c r="E58" s="38" t="n">
        <v>-120</v>
      </c>
      <c r="F58" s="38" t="n">
        <v>42</v>
      </c>
      <c r="G58" s="38" t="n">
        <v>0</v>
      </c>
      <c r="H58" s="38" t="n">
        <v>-11</v>
      </c>
      <c r="I58" s="38" t="n">
        <v>12</v>
      </c>
      <c r="J58" s="38" t="n">
        <v>0</v>
      </c>
      <c r="K58" s="38" t="n">
        <v>-120</v>
      </c>
      <c r="L58" s="38" t="n">
        <v>20</v>
      </c>
      <c r="M58" s="38" t="n">
        <v>0</v>
      </c>
      <c r="N58" s="38" t="n">
        <v>-10</v>
      </c>
      <c r="O58" s="38" t="n"/>
      <c r="P58" s="38" t="n">
        <v>13</v>
      </c>
      <c r="Q58" s="38" t="n">
        <v>28</v>
      </c>
      <c r="R58" s="38" t="n"/>
      <c r="S58" s="38" t="n"/>
      <c r="T58" s="38" t="n"/>
      <c r="U58" s="38" t="inlineStr">
        <is>
          <t>58 HRC</t>
        </is>
      </c>
      <c r="V58" s="38" t="inlineStr">
        <is>
          <t>65 HRC</t>
        </is>
      </c>
      <c r="W58" s="38" t="inlineStr">
        <is>
          <t>58 HRC</t>
        </is>
      </c>
      <c r="X58" s="38" t="inlineStr">
        <is>
          <t>65 HRC</t>
        </is>
      </c>
      <c r="Y58" s="36" t="n"/>
      <c r="Z58" s="38" t="n"/>
      <c r="AA58" s="45" t="inlineStr">
        <is>
          <t>…………..</t>
        </is>
      </c>
      <c r="AB58" s="45" t="inlineStr">
        <is>
          <t>…………..</t>
        </is>
      </c>
      <c r="AC58" s="44" t="inlineStr">
        <is>
          <t>……………</t>
        </is>
      </c>
      <c r="AD58" s="57" t="inlineStr">
        <is>
          <t>………</t>
        </is>
      </c>
    </row>
    <row r="59" ht="12.75" customHeight="1" s="123">
      <c r="A59" s="85" t="n">
        <v>57</v>
      </c>
      <c r="B59" s="30" t="inlineStr">
        <is>
          <t>6005-C3-DEV</t>
        </is>
      </c>
      <c r="C59" s="38" t="n">
        <v>12</v>
      </c>
      <c r="D59" s="38" t="n">
        <v>0</v>
      </c>
      <c r="E59" s="38" t="n">
        <v>-120</v>
      </c>
      <c r="F59" s="38" t="n">
        <v>47</v>
      </c>
      <c r="G59" s="38" t="n">
        <v>0</v>
      </c>
      <c r="H59" s="38" t="n">
        <v>-11</v>
      </c>
      <c r="I59" s="38" t="n">
        <v>12</v>
      </c>
      <c r="J59" s="38" t="n">
        <v>0</v>
      </c>
      <c r="K59" s="38" t="n">
        <v>-120</v>
      </c>
      <c r="L59" s="38" t="n">
        <v>25</v>
      </c>
      <c r="M59" s="38" t="n">
        <v>0</v>
      </c>
      <c r="N59" s="38" t="n">
        <v>-10</v>
      </c>
      <c r="O59" s="38" t="inlineStr">
        <is>
          <t>NO</t>
        </is>
      </c>
      <c r="P59" s="38" t="inlineStr">
        <is>
          <t>NO</t>
        </is>
      </c>
      <c r="Q59" s="38" t="inlineStr">
        <is>
          <t>NO</t>
        </is>
      </c>
      <c r="R59" s="38" t="inlineStr">
        <is>
          <t>C3</t>
        </is>
      </c>
      <c r="S59" s="38" t="n">
        <v>95</v>
      </c>
      <c r="T59" s="38" t="n">
        <v>205</v>
      </c>
      <c r="U59" s="38" t="n">
        <v>64</v>
      </c>
      <c r="V59" s="38" t="n">
        <v>58</v>
      </c>
      <c r="W59" s="38" t="n">
        <v>64</v>
      </c>
      <c r="X59" s="38" t="n">
        <v>58</v>
      </c>
      <c r="Y59" s="36" t="inlineStr">
        <is>
          <t>1gr</t>
        </is>
      </c>
      <c r="Z59" s="38" t="inlineStr">
        <is>
          <t>Polyrex</t>
        </is>
      </c>
      <c r="AA59" s="45" t="inlineStr">
        <is>
          <t>…………..</t>
        </is>
      </c>
      <c r="AB59" s="45" t="inlineStr">
        <is>
          <t>…………..</t>
        </is>
      </c>
      <c r="AC59" s="44" t="inlineStr">
        <is>
          <t>……………</t>
        </is>
      </c>
      <c r="AD59" s="57" t="inlineStr">
        <is>
          <t>………</t>
        </is>
      </c>
    </row>
    <row r="60" ht="12.75" customHeight="1" s="123">
      <c r="A60" s="85" t="n">
        <v>58</v>
      </c>
      <c r="B60" s="30" t="inlineStr">
        <is>
          <t>6006-2RSRC3</t>
        </is>
      </c>
      <c r="C60" s="38" t="n">
        <v>13</v>
      </c>
      <c r="D60" s="38" t="n">
        <v>0</v>
      </c>
      <c r="E60" s="38" t="n">
        <v>-120</v>
      </c>
      <c r="F60" s="38" t="n">
        <v>55</v>
      </c>
      <c r="G60" s="38" t="n">
        <v>0</v>
      </c>
      <c r="H60" s="38" t="n">
        <v>-13</v>
      </c>
      <c r="I60" s="38" t="n">
        <v>13</v>
      </c>
      <c r="J60" s="38" t="n">
        <v>0</v>
      </c>
      <c r="K60" s="38" t="n">
        <v>-120</v>
      </c>
      <c r="L60" s="38" t="n">
        <v>30</v>
      </c>
      <c r="M60" s="38" t="n">
        <v>0</v>
      </c>
      <c r="N60" s="38" t="n">
        <v>-10</v>
      </c>
      <c r="O60" s="38" t="inlineStr">
        <is>
          <t>C3</t>
        </is>
      </c>
      <c r="P60" s="38" t="n">
        <v>13</v>
      </c>
      <c r="Q60" s="38" t="n">
        <v>28</v>
      </c>
      <c r="R60" s="38" t="n"/>
      <c r="S60" s="38" t="n"/>
      <c r="T60" s="38" t="n"/>
      <c r="U60" s="38" t="n"/>
      <c r="V60" s="38" t="n"/>
      <c r="W60" s="38" t="n"/>
      <c r="X60" s="38" t="n"/>
      <c r="Y60" s="36" t="n"/>
      <c r="Z60" s="38" t="n"/>
      <c r="AA60" s="45" t="inlineStr">
        <is>
          <t>…………..</t>
        </is>
      </c>
      <c r="AB60" s="45" t="inlineStr">
        <is>
          <t>…………..</t>
        </is>
      </c>
      <c r="AC60" s="44" t="inlineStr">
        <is>
          <t>……………</t>
        </is>
      </c>
      <c r="AD60" s="57" t="inlineStr">
        <is>
          <t>………</t>
        </is>
      </c>
    </row>
    <row r="61" ht="12.75" customHeight="1" s="123">
      <c r="A61" s="85" t="n">
        <v>59</v>
      </c>
      <c r="B61" s="30" t="inlineStr">
        <is>
          <t>6006-2RSTM</t>
        </is>
      </c>
      <c r="C61" s="38" t="n">
        <v>13</v>
      </c>
      <c r="D61" s="38" t="n">
        <v>0</v>
      </c>
      <c r="E61" s="38" t="n">
        <v>-120</v>
      </c>
      <c r="F61" s="38" t="n">
        <v>55</v>
      </c>
      <c r="G61" s="38" t="n">
        <v>0</v>
      </c>
      <c r="H61" s="38" t="n">
        <v>-13</v>
      </c>
      <c r="I61" s="38" t="n">
        <v>13</v>
      </c>
      <c r="J61" s="38" t="n">
        <v>0</v>
      </c>
      <c r="K61" s="38" t="n">
        <v>-120</v>
      </c>
      <c r="L61" s="38" t="n">
        <v>30</v>
      </c>
      <c r="M61" s="38" t="n">
        <v>0</v>
      </c>
      <c r="N61" s="38" t="n">
        <v>-10</v>
      </c>
      <c r="O61" s="38" t="inlineStr">
        <is>
          <t>C3</t>
        </is>
      </c>
      <c r="P61" s="38" t="n">
        <v>13</v>
      </c>
      <c r="Q61" s="38" t="n">
        <v>28</v>
      </c>
      <c r="R61" s="38" t="n"/>
      <c r="S61" s="38" t="n"/>
      <c r="T61" s="38" t="n"/>
      <c r="U61" s="38" t="n"/>
      <c r="V61" s="38" t="n"/>
      <c r="W61" s="38" t="n"/>
      <c r="X61" s="38" t="n"/>
      <c r="Y61" s="36" t="n"/>
      <c r="Z61" s="38" t="n"/>
      <c r="AA61" s="45" t="inlineStr">
        <is>
          <t>…………..</t>
        </is>
      </c>
      <c r="AB61" s="45" t="inlineStr">
        <is>
          <t>…………..</t>
        </is>
      </c>
      <c r="AC61" s="44" t="inlineStr">
        <is>
          <t>……………</t>
        </is>
      </c>
      <c r="AD61" s="57" t="inlineStr">
        <is>
          <t>………</t>
        </is>
      </c>
    </row>
    <row r="62" ht="12.75" customHeight="1" s="123">
      <c r="A62" s="85" t="n">
        <v>60</v>
      </c>
      <c r="B62" s="30" t="inlineStr">
        <is>
          <t>6007-2RST</t>
        </is>
      </c>
      <c r="C62" s="38" t="n">
        <v>14</v>
      </c>
      <c r="D62" s="38" t="n">
        <v>0</v>
      </c>
      <c r="E62" s="38" t="n">
        <v>-120</v>
      </c>
      <c r="F62" s="38" t="n">
        <v>62</v>
      </c>
      <c r="G62" s="38" t="n">
        <v>0</v>
      </c>
      <c r="H62" s="38" t="n">
        <v>-13</v>
      </c>
      <c r="I62" s="38" t="n">
        <v>14</v>
      </c>
      <c r="J62" s="38" t="n">
        <v>0</v>
      </c>
      <c r="K62" s="38" t="n">
        <v>-120</v>
      </c>
      <c r="L62" s="38" t="n">
        <v>35</v>
      </c>
      <c r="M62" s="38" t="n">
        <v>0</v>
      </c>
      <c r="N62" s="38" t="n">
        <v>-12</v>
      </c>
      <c r="O62" s="38" t="inlineStr">
        <is>
          <t>C3</t>
        </is>
      </c>
      <c r="P62" s="38" t="n">
        <v>15</v>
      </c>
      <c r="Q62" s="38" t="n">
        <v>33</v>
      </c>
      <c r="R62" s="38" t="n"/>
      <c r="S62" s="38" t="n"/>
      <c r="T62" s="38" t="n"/>
      <c r="U62" s="38" t="n"/>
      <c r="V62" s="38" t="n"/>
      <c r="W62" s="38" t="n"/>
      <c r="X62" s="38" t="n"/>
      <c r="Y62" s="36" t="n"/>
      <c r="Z62" s="38" t="n"/>
      <c r="AA62" s="45" t="inlineStr">
        <is>
          <t>…………..</t>
        </is>
      </c>
      <c r="AB62" s="45" t="inlineStr">
        <is>
          <t>…………..</t>
        </is>
      </c>
      <c r="AC62" s="44" t="inlineStr">
        <is>
          <t>……………</t>
        </is>
      </c>
      <c r="AD62" s="57" t="inlineStr">
        <is>
          <t>………</t>
        </is>
      </c>
    </row>
    <row r="63" ht="12.75" customHeight="1" s="123">
      <c r="A63" s="85" t="n">
        <v>61</v>
      </c>
      <c r="B63" s="30" t="inlineStr">
        <is>
          <t>6008-2RST</t>
        </is>
      </c>
      <c r="C63" s="38" t="n">
        <v>15</v>
      </c>
      <c r="D63" s="38" t="n">
        <v>0</v>
      </c>
      <c r="E63" s="38" t="n">
        <v>-120</v>
      </c>
      <c r="F63" s="38" t="n">
        <v>68</v>
      </c>
      <c r="G63" s="38" t="n">
        <v>0</v>
      </c>
      <c r="H63" s="38" t="n">
        <v>-13</v>
      </c>
      <c r="I63" s="38" t="n">
        <v>15</v>
      </c>
      <c r="J63" s="38" t="n">
        <v>0</v>
      </c>
      <c r="K63" s="38" t="n">
        <v>-120</v>
      </c>
      <c r="L63" s="38" t="n">
        <v>40</v>
      </c>
      <c r="M63" s="38" t="n">
        <v>0</v>
      </c>
      <c r="N63" s="38" t="n">
        <v>-12</v>
      </c>
      <c r="O63" s="38" t="inlineStr">
        <is>
          <t>C3</t>
        </is>
      </c>
      <c r="P63" s="38" t="n">
        <v>15</v>
      </c>
      <c r="Q63" s="38" t="n">
        <v>33</v>
      </c>
      <c r="R63" s="38" t="n"/>
      <c r="S63" s="38" t="n"/>
      <c r="T63" s="38" t="n"/>
      <c r="U63" s="38" t="n"/>
      <c r="V63" s="38" t="n"/>
      <c r="W63" s="38" t="n"/>
      <c r="X63" s="38" t="n"/>
      <c r="Y63" s="36" t="n"/>
      <c r="Z63" s="38" t="n"/>
      <c r="AA63" s="45" t="inlineStr">
        <is>
          <t>…………..</t>
        </is>
      </c>
      <c r="AB63" s="45" t="inlineStr">
        <is>
          <t>…………..</t>
        </is>
      </c>
      <c r="AC63" s="44" t="inlineStr">
        <is>
          <t>……………</t>
        </is>
      </c>
      <c r="AD63" s="57" t="inlineStr">
        <is>
          <t>………</t>
        </is>
      </c>
    </row>
    <row r="64" ht="12.75" customHeight="1" s="123">
      <c r="A64" s="85" t="n">
        <v>62</v>
      </c>
      <c r="B64" s="30" t="inlineStr">
        <is>
          <t>6009-D</t>
        </is>
      </c>
      <c r="C64" s="38" t="n">
        <v>16</v>
      </c>
      <c r="D64" s="38" t="n">
        <v>0</v>
      </c>
      <c r="E64" s="38" t="n">
        <v>-120</v>
      </c>
      <c r="F64" s="38" t="n">
        <v>75</v>
      </c>
      <c r="G64" s="38" t="n">
        <v>0</v>
      </c>
      <c r="H64" s="38" t="n">
        <v>-13</v>
      </c>
      <c r="I64" s="38" t="n">
        <v>16</v>
      </c>
      <c r="J64" s="38" t="n">
        <v>0</v>
      </c>
      <c r="K64" s="38" t="n">
        <v>-120</v>
      </c>
      <c r="L64" s="38" t="n">
        <v>45</v>
      </c>
      <c r="M64" s="38" t="n">
        <v>0</v>
      </c>
      <c r="N64" s="38" t="n">
        <v>-12</v>
      </c>
      <c r="O64" s="38" t="inlineStr">
        <is>
          <t>C3</t>
        </is>
      </c>
      <c r="P64" s="38" t="n">
        <v>36</v>
      </c>
      <c r="Q64" s="38" t="n">
        <v>18</v>
      </c>
      <c r="R64" s="38" t="inlineStr">
        <is>
          <t>NO</t>
        </is>
      </c>
      <c r="S64" s="38" t="inlineStr">
        <is>
          <t>NO</t>
        </is>
      </c>
      <c r="T64" s="38" t="inlineStr">
        <is>
          <t>NO</t>
        </is>
      </c>
      <c r="U64" s="38" t="n">
        <v>64</v>
      </c>
      <c r="V64" s="38" t="n">
        <v>58</v>
      </c>
      <c r="W64" s="38" t="n">
        <v>64</v>
      </c>
      <c r="X64" s="38" t="n">
        <v>58</v>
      </c>
      <c r="Y64" s="38" t="inlineStr">
        <is>
          <t>NO</t>
        </is>
      </c>
      <c r="Z64" s="38" t="inlineStr">
        <is>
          <t>NO</t>
        </is>
      </c>
      <c r="AA64" s="45" t="inlineStr">
        <is>
          <t>…………….</t>
        </is>
      </c>
      <c r="AB64" s="38" t="inlineStr">
        <is>
          <t>…………….</t>
        </is>
      </c>
      <c r="AC64" s="44" t="inlineStr">
        <is>
          <t>……………</t>
        </is>
      </c>
      <c r="AD64" s="57" t="inlineStr">
        <is>
          <t>………</t>
        </is>
      </c>
    </row>
    <row r="65" ht="12.75" customHeight="1" s="123">
      <c r="A65" s="85" t="n">
        <v>63</v>
      </c>
      <c r="B65" s="30" t="inlineStr">
        <is>
          <t>6010-2RST-C3</t>
        </is>
      </c>
      <c r="C65" s="38" t="n">
        <v>16</v>
      </c>
      <c r="D65" s="38" t="n">
        <v>0</v>
      </c>
      <c r="E65" s="38" t="n">
        <v>-120</v>
      </c>
      <c r="F65" s="38" t="n">
        <v>80</v>
      </c>
      <c r="G65" s="38" t="n">
        <v>0</v>
      </c>
      <c r="H65" s="38" t="n">
        <v>-13</v>
      </c>
      <c r="I65" s="38" t="n">
        <v>16</v>
      </c>
      <c r="J65" s="38" t="n">
        <v>0</v>
      </c>
      <c r="K65" s="38" t="n">
        <v>-120</v>
      </c>
      <c r="L65" s="38" t="n">
        <v>50</v>
      </c>
      <c r="M65" s="38" t="n">
        <v>0</v>
      </c>
      <c r="N65" s="38" t="n">
        <v>-12</v>
      </c>
      <c r="O65" s="38" t="inlineStr">
        <is>
          <t>C0</t>
        </is>
      </c>
      <c r="P65" s="38" t="n">
        <v>6</v>
      </c>
      <c r="Q65" s="38" t="n">
        <v>23</v>
      </c>
      <c r="R65" s="38" t="n"/>
      <c r="S65" s="38" t="n"/>
      <c r="T65" s="38" t="n"/>
      <c r="U65" s="38" t="n"/>
      <c r="V65" s="38" t="n"/>
      <c r="W65" s="38" t="n"/>
      <c r="X65" s="38" t="n"/>
      <c r="Y65" s="36" t="n"/>
      <c r="Z65" s="38" t="n"/>
      <c r="AA65" s="45" t="inlineStr">
        <is>
          <t>…………..</t>
        </is>
      </c>
      <c r="AB65" s="45" t="inlineStr">
        <is>
          <t>…………..</t>
        </is>
      </c>
      <c r="AC65" s="44" t="inlineStr">
        <is>
          <t>……………</t>
        </is>
      </c>
      <c r="AD65" s="57" t="inlineStr">
        <is>
          <t>………</t>
        </is>
      </c>
    </row>
    <row r="66" ht="12.75" customHeight="1" s="123">
      <c r="A66" s="85" t="n">
        <v>64</v>
      </c>
      <c r="B66" s="27" t="inlineStr">
        <is>
          <t>6011-2RS</t>
        </is>
      </c>
      <c r="C66" s="38" t="n">
        <v>18</v>
      </c>
      <c r="D66" s="38" t="n">
        <v>0</v>
      </c>
      <c r="E66" s="38" t="n">
        <v>-150</v>
      </c>
      <c r="F66" s="38" t="n">
        <v>90</v>
      </c>
      <c r="G66" s="38" t="n">
        <v>0</v>
      </c>
      <c r="H66" s="38" t="n">
        <v>-15</v>
      </c>
      <c r="I66" s="38" t="n">
        <v>18</v>
      </c>
      <c r="J66" s="38" t="n">
        <v>0</v>
      </c>
      <c r="K66" s="38" t="n">
        <v>-150</v>
      </c>
      <c r="L66" s="38" t="n">
        <v>55</v>
      </c>
      <c r="M66" s="38" t="n">
        <v>0</v>
      </c>
      <c r="N66" s="38" t="n">
        <v>-15</v>
      </c>
      <c r="O66" s="38" t="inlineStr">
        <is>
          <t>C0</t>
        </is>
      </c>
      <c r="P66" s="38" t="n">
        <v>8</v>
      </c>
      <c r="Q66" s="38" t="n">
        <v>28</v>
      </c>
      <c r="R66" s="38" t="n"/>
      <c r="S66" s="38" t="n"/>
      <c r="T66" s="38" t="n"/>
      <c r="U66" s="38" t="inlineStr">
        <is>
          <t>58 HRC</t>
        </is>
      </c>
      <c r="V66" s="38" t="inlineStr">
        <is>
          <t>65 HRC</t>
        </is>
      </c>
      <c r="W66" s="38" t="inlineStr">
        <is>
          <t>58 HRC</t>
        </is>
      </c>
      <c r="X66" s="38" t="inlineStr">
        <is>
          <t>65 HRC</t>
        </is>
      </c>
      <c r="Y66" s="36" t="n"/>
      <c r="Z66" s="38" t="n"/>
      <c r="AA66" s="45" t="inlineStr">
        <is>
          <t>…………..</t>
        </is>
      </c>
      <c r="AB66" s="45" t="inlineStr">
        <is>
          <t>…………..</t>
        </is>
      </c>
      <c r="AC66" s="44" t="inlineStr">
        <is>
          <t>……………</t>
        </is>
      </c>
      <c r="AD66" s="57" t="inlineStr">
        <is>
          <t>………</t>
        </is>
      </c>
    </row>
    <row r="67" ht="12.75" customHeight="1" s="123">
      <c r="A67" s="85" t="n">
        <v>65</v>
      </c>
      <c r="B67" s="27" t="inlineStr">
        <is>
          <t>6013-2RS</t>
        </is>
      </c>
      <c r="C67" s="38" t="n">
        <v>18</v>
      </c>
      <c r="D67" s="38" t="n">
        <v>0</v>
      </c>
      <c r="E67" s="38" t="n">
        <v>-150</v>
      </c>
      <c r="F67" s="38" t="n">
        <v>100</v>
      </c>
      <c r="G67" s="38" t="n">
        <v>0</v>
      </c>
      <c r="H67" s="38" t="n">
        <v>-15</v>
      </c>
      <c r="I67" s="38" t="n">
        <v>18</v>
      </c>
      <c r="J67" s="38" t="n">
        <v>0</v>
      </c>
      <c r="K67" s="38" t="n">
        <v>-150</v>
      </c>
      <c r="L67" s="38" t="n">
        <v>65</v>
      </c>
      <c r="M67" s="38" t="n">
        <v>0</v>
      </c>
      <c r="N67" s="38" t="n">
        <v>-15</v>
      </c>
      <c r="O67" s="38" t="inlineStr">
        <is>
          <t>C0</t>
        </is>
      </c>
      <c r="P67" s="38" t="n">
        <v>8</v>
      </c>
      <c r="Q67" s="38" t="n">
        <v>28</v>
      </c>
      <c r="R67" s="38" t="n"/>
      <c r="S67" s="38" t="n"/>
      <c r="T67" s="38" t="n"/>
      <c r="U67" s="38" t="inlineStr">
        <is>
          <t>58 HRC</t>
        </is>
      </c>
      <c r="V67" s="38" t="inlineStr">
        <is>
          <t>65 HRC</t>
        </is>
      </c>
      <c r="W67" s="38" t="inlineStr">
        <is>
          <t>58 HRC</t>
        </is>
      </c>
      <c r="X67" s="38" t="inlineStr">
        <is>
          <t>65 HRC</t>
        </is>
      </c>
      <c r="Y67" s="36" t="n"/>
      <c r="Z67" s="38" t="n"/>
      <c r="AA67" s="45" t="inlineStr">
        <is>
          <t>…………..</t>
        </is>
      </c>
      <c r="AB67" s="45" t="inlineStr">
        <is>
          <t>…………..</t>
        </is>
      </c>
      <c r="AC67" s="44" t="inlineStr">
        <is>
          <t>……………</t>
        </is>
      </c>
      <c r="AD67" s="57" t="inlineStr">
        <is>
          <t>………</t>
        </is>
      </c>
    </row>
    <row r="68" ht="12.75" customHeight="1" s="123">
      <c r="A68" s="85" t="n">
        <v>66</v>
      </c>
      <c r="B68" s="30" t="inlineStr">
        <is>
          <t>6013-2RS</t>
        </is>
      </c>
      <c r="C68" s="38" t="n">
        <v>18</v>
      </c>
      <c r="D68" s="38" t="n">
        <v>0</v>
      </c>
      <c r="E68" s="38" t="n">
        <v>-150</v>
      </c>
      <c r="F68" s="38" t="n">
        <v>100</v>
      </c>
      <c r="G68" s="38" t="n">
        <v>0</v>
      </c>
      <c r="H68" s="38" t="n">
        <v>-15</v>
      </c>
      <c r="I68" s="38" t="n">
        <v>18</v>
      </c>
      <c r="J68" s="38" t="n">
        <v>0</v>
      </c>
      <c r="K68" s="38" t="n">
        <v>-150</v>
      </c>
      <c r="L68" s="38" t="n">
        <v>65</v>
      </c>
      <c r="M68" s="38" t="n">
        <v>0</v>
      </c>
      <c r="N68" s="38" t="n">
        <v>-15</v>
      </c>
      <c r="O68" s="38" t="inlineStr">
        <is>
          <t>C3</t>
        </is>
      </c>
      <c r="P68" s="38" t="n">
        <v>23</v>
      </c>
      <c r="Q68" s="38" t="n">
        <v>43</v>
      </c>
      <c r="R68" s="38" t="n"/>
      <c r="S68" s="38" t="n"/>
      <c r="T68" s="38" t="n"/>
      <c r="U68" s="38" t="inlineStr">
        <is>
          <t>58 HRC</t>
        </is>
      </c>
      <c r="V68" s="38" t="inlineStr">
        <is>
          <t>65 HRC</t>
        </is>
      </c>
      <c r="W68" s="38" t="inlineStr">
        <is>
          <t>58 HRC</t>
        </is>
      </c>
      <c r="X68" s="38" t="inlineStr">
        <is>
          <t>65 HRC</t>
        </is>
      </c>
      <c r="Y68" s="36" t="n"/>
      <c r="Z68" s="38" t="n"/>
      <c r="AA68" s="45" t="inlineStr">
        <is>
          <t>…………..</t>
        </is>
      </c>
      <c r="AB68" s="45" t="inlineStr">
        <is>
          <t>…………..</t>
        </is>
      </c>
      <c r="AC68" s="44" t="inlineStr">
        <is>
          <t>……………</t>
        </is>
      </c>
      <c r="AD68" s="57" t="inlineStr">
        <is>
          <t>………</t>
        </is>
      </c>
    </row>
    <row r="69" ht="12.75" customHeight="1" s="123">
      <c r="A69" s="85" t="n">
        <v>67</v>
      </c>
      <c r="B69" s="30" t="inlineStr">
        <is>
          <t>6014-2RS</t>
        </is>
      </c>
      <c r="C69" s="38" t="n">
        <v>20</v>
      </c>
      <c r="D69" s="38" t="n">
        <v>0</v>
      </c>
      <c r="E69" s="38" t="n">
        <v>-150</v>
      </c>
      <c r="F69" s="38" t="n">
        <v>110</v>
      </c>
      <c r="G69" s="38" t="n">
        <v>0</v>
      </c>
      <c r="H69" s="38" t="n">
        <v>-15</v>
      </c>
      <c r="I69" s="38" t="n">
        <v>20</v>
      </c>
      <c r="J69" s="38" t="n">
        <v>0</v>
      </c>
      <c r="K69" s="38" t="n">
        <v>-150</v>
      </c>
      <c r="L69" s="38" t="n">
        <v>70</v>
      </c>
      <c r="M69" s="38" t="n">
        <v>0</v>
      </c>
      <c r="N69" s="38" t="n">
        <v>-15</v>
      </c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6" t="n"/>
      <c r="Z69" s="38" t="n"/>
      <c r="AA69" s="45" t="inlineStr">
        <is>
          <t>…………..</t>
        </is>
      </c>
      <c r="AB69" s="45" t="inlineStr">
        <is>
          <t>…………..</t>
        </is>
      </c>
      <c r="AC69" s="44" t="inlineStr">
        <is>
          <t>……………</t>
        </is>
      </c>
      <c r="AD69" s="57" t="inlineStr">
        <is>
          <t>………</t>
        </is>
      </c>
    </row>
    <row r="70" ht="12.75" customHeight="1" s="123">
      <c r="A70" s="85" t="n">
        <v>68</v>
      </c>
      <c r="B70" s="27" t="inlineStr">
        <is>
          <t>6015-2RS</t>
        </is>
      </c>
      <c r="C70" s="38" t="n">
        <v>20</v>
      </c>
      <c r="D70" s="38" t="n">
        <v>0</v>
      </c>
      <c r="E70" s="38" t="n">
        <v>-150</v>
      </c>
      <c r="F70" s="38" t="n">
        <v>115</v>
      </c>
      <c r="G70" s="38" t="n">
        <v>0</v>
      </c>
      <c r="H70" s="38" t="n">
        <v>-15</v>
      </c>
      <c r="I70" s="38" t="n">
        <v>20</v>
      </c>
      <c r="J70" s="38" t="n">
        <v>0</v>
      </c>
      <c r="K70" s="38" t="n">
        <v>-150</v>
      </c>
      <c r="L70" s="38" t="n">
        <v>75</v>
      </c>
      <c r="M70" s="38" t="n">
        <v>0</v>
      </c>
      <c r="N70" s="38" t="n">
        <v>-15</v>
      </c>
      <c r="O70" s="38" t="inlineStr">
        <is>
          <t>C0</t>
        </is>
      </c>
      <c r="P70" s="38" t="n">
        <v>10</v>
      </c>
      <c r="Q70" s="38" t="n">
        <v>30</v>
      </c>
      <c r="R70" s="38" t="n"/>
      <c r="S70" s="38" t="n"/>
      <c r="T70" s="38" t="n"/>
      <c r="U70" s="38" t="inlineStr">
        <is>
          <t>58 HRC</t>
        </is>
      </c>
      <c r="V70" s="38" t="inlineStr">
        <is>
          <t>65 HRC</t>
        </is>
      </c>
      <c r="W70" s="38" t="inlineStr">
        <is>
          <t>58 HRC</t>
        </is>
      </c>
      <c r="X70" s="38" t="inlineStr">
        <is>
          <t>65 HRC</t>
        </is>
      </c>
      <c r="Y70" s="36" t="n"/>
      <c r="Z70" s="38" t="n"/>
      <c r="AA70" s="45" t="inlineStr">
        <is>
          <t>…………..</t>
        </is>
      </c>
      <c r="AB70" s="45" t="inlineStr">
        <is>
          <t>…………..</t>
        </is>
      </c>
      <c r="AC70" s="44" t="inlineStr">
        <is>
          <t>……………</t>
        </is>
      </c>
      <c r="AD70" s="57" t="inlineStr">
        <is>
          <t>………</t>
        </is>
      </c>
    </row>
    <row r="71" ht="12.75" customHeight="1" s="123">
      <c r="A71" s="85" t="n">
        <v>69</v>
      </c>
      <c r="B71" s="30" t="inlineStr">
        <is>
          <t>6016-2RS</t>
        </is>
      </c>
      <c r="C71" s="38" t="n">
        <v>22</v>
      </c>
      <c r="D71" s="38" t="n">
        <v>0</v>
      </c>
      <c r="E71" s="38" t="n">
        <v>-150</v>
      </c>
      <c r="F71" s="38" t="n">
        <v>125</v>
      </c>
      <c r="G71" s="38" t="n">
        <v>0</v>
      </c>
      <c r="H71" s="38" t="n">
        <v>-18</v>
      </c>
      <c r="I71" s="38" t="n">
        <v>22</v>
      </c>
      <c r="J71" s="38" t="n">
        <v>0</v>
      </c>
      <c r="K71" s="38" t="n">
        <v>-150</v>
      </c>
      <c r="L71" s="38" t="n">
        <v>80</v>
      </c>
      <c r="M71" s="38" t="n">
        <v>0</v>
      </c>
      <c r="N71" s="38" t="n">
        <v>-15</v>
      </c>
      <c r="O71" s="38" t="inlineStr">
        <is>
          <t>C3</t>
        </is>
      </c>
      <c r="P71" s="38" t="n">
        <v>25</v>
      </c>
      <c r="Q71" s="38" t="n">
        <v>51</v>
      </c>
      <c r="R71" s="38" t="n"/>
      <c r="S71" s="38" t="n"/>
      <c r="T71" s="38" t="n"/>
      <c r="U71" s="38" t="n"/>
      <c r="V71" s="38" t="n"/>
      <c r="W71" s="38" t="n"/>
      <c r="X71" s="38" t="n"/>
      <c r="Y71" s="36" t="n"/>
      <c r="Z71" s="38" t="n"/>
      <c r="AA71" s="45" t="inlineStr">
        <is>
          <t>…………..</t>
        </is>
      </c>
      <c r="AB71" s="45" t="inlineStr">
        <is>
          <t>…………..</t>
        </is>
      </c>
      <c r="AC71" s="44" t="inlineStr">
        <is>
          <t>……………</t>
        </is>
      </c>
      <c r="AD71" s="57" t="inlineStr">
        <is>
          <t>………</t>
        </is>
      </c>
    </row>
    <row r="72" ht="12.75" customHeight="1" s="123">
      <c r="A72" s="85" t="n">
        <v>70</v>
      </c>
      <c r="B72" s="27" t="inlineStr">
        <is>
          <t>6018-2RS</t>
        </is>
      </c>
      <c r="C72" s="38" t="n">
        <v>24</v>
      </c>
      <c r="D72" s="38" t="n">
        <v>0</v>
      </c>
      <c r="E72" s="38" t="n">
        <v>-200</v>
      </c>
      <c r="F72" s="38" t="n">
        <v>140</v>
      </c>
      <c r="G72" s="38" t="n">
        <v>0</v>
      </c>
      <c r="H72" s="38" t="n">
        <v>-18</v>
      </c>
      <c r="I72" s="38" t="n">
        <v>24</v>
      </c>
      <c r="J72" s="38" t="n">
        <v>0</v>
      </c>
      <c r="K72" s="38" t="n">
        <v>-200</v>
      </c>
      <c r="L72" s="38" t="n">
        <v>90</v>
      </c>
      <c r="M72" s="38" t="n">
        <v>0</v>
      </c>
      <c r="N72" s="38" t="n">
        <v>-20</v>
      </c>
      <c r="O72" s="38" t="inlineStr">
        <is>
          <t>C0</t>
        </is>
      </c>
      <c r="P72" s="38" t="n">
        <v>12</v>
      </c>
      <c r="Q72" s="38" t="n">
        <v>36</v>
      </c>
      <c r="R72" s="38" t="n"/>
      <c r="S72" s="38" t="n"/>
      <c r="T72" s="38" t="n"/>
      <c r="U72" s="38" t="inlineStr">
        <is>
          <t>58 HRC</t>
        </is>
      </c>
      <c r="V72" s="38" t="inlineStr">
        <is>
          <t>65 HRC</t>
        </is>
      </c>
      <c r="W72" s="38" t="inlineStr">
        <is>
          <t>58 HRC</t>
        </is>
      </c>
      <c r="X72" s="38" t="inlineStr">
        <is>
          <t>65 HRC</t>
        </is>
      </c>
      <c r="Y72" s="36" t="n"/>
      <c r="Z72" s="38" t="n"/>
      <c r="AA72" s="45" t="inlineStr">
        <is>
          <t>…………..</t>
        </is>
      </c>
      <c r="AB72" s="45" t="inlineStr">
        <is>
          <t>…………..</t>
        </is>
      </c>
      <c r="AC72" s="44" t="inlineStr">
        <is>
          <t>……………</t>
        </is>
      </c>
      <c r="AD72" s="57" t="inlineStr">
        <is>
          <t>………</t>
        </is>
      </c>
    </row>
    <row r="73" ht="12.75" customHeight="1" s="123">
      <c r="A73" s="85" t="n">
        <v>71</v>
      </c>
      <c r="B73" s="27" t="inlineStr">
        <is>
          <t>6019-2RS</t>
        </is>
      </c>
      <c r="C73" s="38" t="n">
        <v>24</v>
      </c>
      <c r="D73" s="38" t="n">
        <v>0</v>
      </c>
      <c r="E73" s="38" t="n">
        <v>-200</v>
      </c>
      <c r="F73" s="38" t="n">
        <v>145</v>
      </c>
      <c r="G73" s="38" t="n">
        <v>0</v>
      </c>
      <c r="H73" s="38" t="n">
        <v>-18</v>
      </c>
      <c r="I73" s="38" t="n">
        <v>24</v>
      </c>
      <c r="J73" s="38" t="n">
        <v>0</v>
      </c>
      <c r="K73" s="38" t="n">
        <v>-200</v>
      </c>
      <c r="L73" s="38" t="n">
        <v>95</v>
      </c>
      <c r="M73" s="38" t="n">
        <v>0</v>
      </c>
      <c r="N73" s="38" t="n">
        <v>-20</v>
      </c>
      <c r="O73" s="38" t="inlineStr">
        <is>
          <t>C0</t>
        </is>
      </c>
      <c r="P73" s="38" t="n">
        <v>12</v>
      </c>
      <c r="Q73" s="38" t="n">
        <v>36</v>
      </c>
      <c r="R73" s="38" t="n"/>
      <c r="S73" s="38" t="n"/>
      <c r="T73" s="38" t="n"/>
      <c r="U73" s="38" t="inlineStr">
        <is>
          <t>58 HRC</t>
        </is>
      </c>
      <c r="V73" s="38" t="inlineStr">
        <is>
          <t>65 HRC</t>
        </is>
      </c>
      <c r="W73" s="38" t="inlineStr">
        <is>
          <t>58 HRC</t>
        </is>
      </c>
      <c r="X73" s="38" t="inlineStr">
        <is>
          <t>65 HRC</t>
        </is>
      </c>
      <c r="Y73" s="36" t="n"/>
      <c r="Z73" s="38" t="n"/>
      <c r="AA73" s="45" t="inlineStr">
        <is>
          <t>…………..</t>
        </is>
      </c>
      <c r="AB73" s="45" t="inlineStr">
        <is>
          <t>…………..</t>
        </is>
      </c>
      <c r="AC73" s="44" t="inlineStr">
        <is>
          <t>……………</t>
        </is>
      </c>
      <c r="AD73" s="57" t="inlineStr">
        <is>
          <t>………</t>
        </is>
      </c>
    </row>
    <row r="74" ht="12.75" customHeight="1" s="123">
      <c r="A74" s="85" t="n">
        <v>72</v>
      </c>
      <c r="B74" s="27" t="inlineStr">
        <is>
          <t>6020-2RS</t>
        </is>
      </c>
      <c r="C74" s="38" t="n">
        <v>24</v>
      </c>
      <c r="D74" s="38" t="n">
        <v>0</v>
      </c>
      <c r="E74" s="38" t="n">
        <v>-200</v>
      </c>
      <c r="F74" s="38" t="n">
        <v>150</v>
      </c>
      <c r="G74" s="38" t="n">
        <v>0</v>
      </c>
      <c r="H74" s="38" t="n">
        <v>-18</v>
      </c>
      <c r="I74" s="38" t="n">
        <v>24</v>
      </c>
      <c r="J74" s="38" t="n">
        <v>0</v>
      </c>
      <c r="K74" s="38" t="n">
        <v>-200</v>
      </c>
      <c r="L74" s="38" t="n">
        <v>100</v>
      </c>
      <c r="M74" s="38" t="n">
        <v>0</v>
      </c>
      <c r="N74" s="38" t="n">
        <v>-20</v>
      </c>
      <c r="O74" s="38" t="inlineStr">
        <is>
          <t>C0</t>
        </is>
      </c>
      <c r="P74" s="38" t="n">
        <v>12</v>
      </c>
      <c r="Q74" s="38" t="n">
        <v>36</v>
      </c>
      <c r="R74" s="38" t="n"/>
      <c r="S74" s="38" t="n"/>
      <c r="T74" s="38" t="n"/>
      <c r="U74" s="38" t="inlineStr">
        <is>
          <t>58 HRC</t>
        </is>
      </c>
      <c r="V74" s="38" t="inlineStr">
        <is>
          <t>65 HRC</t>
        </is>
      </c>
      <c r="W74" s="38" t="inlineStr">
        <is>
          <t>58 HRC</t>
        </is>
      </c>
      <c r="X74" s="38" t="inlineStr">
        <is>
          <t>65 HRC</t>
        </is>
      </c>
      <c r="Y74" s="36" t="n"/>
      <c r="Z74" s="38" t="n"/>
      <c r="AA74" s="45" t="inlineStr">
        <is>
          <t>…………..</t>
        </is>
      </c>
      <c r="AB74" s="45" t="inlineStr">
        <is>
          <t>…………..</t>
        </is>
      </c>
      <c r="AC74" s="44" t="inlineStr">
        <is>
          <t>……………</t>
        </is>
      </c>
      <c r="AD74" s="57" t="inlineStr">
        <is>
          <t>………</t>
        </is>
      </c>
    </row>
    <row r="75" ht="12.75" customHeight="1" s="123">
      <c r="A75" s="85" t="n">
        <v>73</v>
      </c>
      <c r="B75" s="30" t="inlineStr">
        <is>
          <t>6026-2RS</t>
        </is>
      </c>
      <c r="C75" s="38" t="n">
        <v>33</v>
      </c>
      <c r="D75" s="38" t="n">
        <v>0</v>
      </c>
      <c r="E75" s="38" t="n">
        <v>-250</v>
      </c>
      <c r="F75" s="38" t="n">
        <v>200</v>
      </c>
      <c r="G75" s="38" t="n">
        <v>0</v>
      </c>
      <c r="H75" s="38" t="n">
        <v>-30</v>
      </c>
      <c r="I75" s="38" t="n">
        <v>33</v>
      </c>
      <c r="J75" s="38" t="n">
        <v>0</v>
      </c>
      <c r="K75" s="38" t="n">
        <v>-250</v>
      </c>
      <c r="L75" s="38" t="n">
        <v>130</v>
      </c>
      <c r="M75" s="38" t="n">
        <v>0</v>
      </c>
      <c r="N75" s="38" t="n">
        <v>-25</v>
      </c>
      <c r="O75" s="38" t="inlineStr">
        <is>
          <t>C0</t>
        </is>
      </c>
      <c r="P75" s="38" t="n">
        <v>15</v>
      </c>
      <c r="Q75" s="38" t="n">
        <v>41</v>
      </c>
      <c r="R75" s="38" t="n"/>
      <c r="S75" s="38" t="n"/>
      <c r="T75" s="38" t="n"/>
      <c r="U75" s="38" t="n"/>
      <c r="V75" s="38" t="n"/>
      <c r="W75" s="38" t="n"/>
      <c r="X75" s="38" t="n"/>
      <c r="Y75" s="36" t="n"/>
      <c r="Z75" s="38" t="n"/>
      <c r="AA75" s="45" t="inlineStr">
        <is>
          <t>…………..</t>
        </is>
      </c>
      <c r="AB75" s="45" t="inlineStr">
        <is>
          <t>…………..</t>
        </is>
      </c>
      <c r="AC75" s="44" t="inlineStr">
        <is>
          <t>……………</t>
        </is>
      </c>
      <c r="AD75" s="57" t="inlineStr">
        <is>
          <t>………</t>
        </is>
      </c>
    </row>
    <row r="76" ht="12.75" customHeight="1" s="123">
      <c r="A76" s="85" t="n">
        <v>74</v>
      </c>
      <c r="B76" s="30" t="inlineStr">
        <is>
          <t>6026-2RS</t>
        </is>
      </c>
      <c r="C76" s="38" t="n">
        <v>33</v>
      </c>
      <c r="D76" s="38" t="n">
        <v>0</v>
      </c>
      <c r="E76" s="38" t="n">
        <v>-250</v>
      </c>
      <c r="F76" s="38" t="n">
        <v>200</v>
      </c>
      <c r="G76" s="38" t="n">
        <v>0</v>
      </c>
      <c r="H76" s="38" t="n">
        <v>-30</v>
      </c>
      <c r="I76" s="38" t="n">
        <v>33</v>
      </c>
      <c r="J76" s="38" t="n">
        <v>0</v>
      </c>
      <c r="K76" s="38" t="n">
        <v>-250</v>
      </c>
      <c r="L76" s="38" t="n">
        <v>130</v>
      </c>
      <c r="M76" s="38" t="n">
        <v>0</v>
      </c>
      <c r="N76" s="38" t="n">
        <v>-25</v>
      </c>
      <c r="O76" s="38" t="inlineStr">
        <is>
          <t>C3</t>
        </is>
      </c>
      <c r="P76" s="38" t="n">
        <v>41</v>
      </c>
      <c r="Q76" s="38" t="n">
        <v>81</v>
      </c>
      <c r="R76" s="38" t="inlineStr">
        <is>
          <t>NO</t>
        </is>
      </c>
      <c r="S76" s="38" t="inlineStr">
        <is>
          <t>NO</t>
        </is>
      </c>
      <c r="T76" s="38" t="inlineStr">
        <is>
          <t>NO</t>
        </is>
      </c>
      <c r="U76" s="38" t="n">
        <v>58</v>
      </c>
      <c r="V76" s="38" t="n">
        <v>62</v>
      </c>
      <c r="W76" s="38" t="n">
        <v>58</v>
      </c>
      <c r="X76" s="38" t="n">
        <v>62</v>
      </c>
      <c r="Y76" s="39" t="inlineStr">
        <is>
          <t>25 - 35%</t>
        </is>
      </c>
      <c r="Z76" s="38" t="inlineStr">
        <is>
          <t>Polyrex</t>
        </is>
      </c>
      <c r="AA76" s="45" t="inlineStr">
        <is>
          <t>…………..</t>
        </is>
      </c>
      <c r="AB76" s="45" t="inlineStr">
        <is>
          <t>…………..</t>
        </is>
      </c>
      <c r="AC76" s="44" t="inlineStr">
        <is>
          <t>……………</t>
        </is>
      </c>
      <c r="AD76" s="57" t="inlineStr">
        <is>
          <t>………</t>
        </is>
      </c>
    </row>
    <row r="77" ht="12.75" customHeight="1" s="123">
      <c r="A77" s="85" t="n">
        <v>75</v>
      </c>
      <c r="B77" s="30" t="inlineStr">
        <is>
          <t>607-RS</t>
        </is>
      </c>
      <c r="C77" s="38" t="n">
        <v>6</v>
      </c>
      <c r="D77" s="38" t="n">
        <v>0</v>
      </c>
      <c r="E77" s="38" t="n">
        <v>-120</v>
      </c>
      <c r="F77" s="38" t="n">
        <v>19</v>
      </c>
      <c r="G77" s="38" t="n">
        <v>0</v>
      </c>
      <c r="H77" s="38" t="n">
        <v>-9</v>
      </c>
      <c r="I77" s="38" t="n">
        <v>6</v>
      </c>
      <c r="J77" s="38" t="n">
        <v>0</v>
      </c>
      <c r="K77" s="38" t="n">
        <v>-120</v>
      </c>
      <c r="L77" s="38" t="n">
        <v>7</v>
      </c>
      <c r="M77" s="38" t="n">
        <v>0</v>
      </c>
      <c r="N77" s="38" t="n">
        <v>-8</v>
      </c>
      <c r="O77" s="45" t="inlineStr">
        <is>
          <t>C3</t>
        </is>
      </c>
      <c r="P77" s="38" t="n">
        <v>23</v>
      </c>
      <c r="Q77" s="38" t="n">
        <v>8</v>
      </c>
      <c r="R77" s="45" t="inlineStr">
        <is>
          <t>NO</t>
        </is>
      </c>
      <c r="S77" s="45" t="inlineStr">
        <is>
          <t>NO</t>
        </is>
      </c>
      <c r="T77" s="45" t="inlineStr">
        <is>
          <t>NO</t>
        </is>
      </c>
      <c r="U77" s="38" t="n">
        <v>64</v>
      </c>
      <c r="V77" s="38" t="n">
        <v>58</v>
      </c>
      <c r="W77" s="38" t="n">
        <v>64</v>
      </c>
      <c r="X77" s="38" t="n">
        <v>58</v>
      </c>
      <c r="Y77" s="43" t="inlineStr">
        <is>
          <t>25 - 35 %</t>
        </is>
      </c>
      <c r="Z77" s="45" t="inlineStr">
        <is>
          <t>Polyrex</t>
        </is>
      </c>
      <c r="AA77" s="45" t="inlineStr">
        <is>
          <t>standard</t>
        </is>
      </c>
      <c r="AB77" s="45" t="inlineStr">
        <is>
          <t>standard</t>
        </is>
      </c>
      <c r="AC77" s="52" t="n">
        <v>43076</v>
      </c>
      <c r="AD77" s="51" t="n">
        <v>0</v>
      </c>
    </row>
    <row r="78" ht="12.75" customHeight="1" s="123">
      <c r="A78" s="85" t="n">
        <v>76</v>
      </c>
      <c r="B78" s="30" t="inlineStr">
        <is>
          <t>607-ZZ</t>
        </is>
      </c>
      <c r="C78" s="38" t="n">
        <v>6</v>
      </c>
      <c r="D78" s="38" t="n">
        <v>0</v>
      </c>
      <c r="E78" s="38" t="n">
        <v>-120</v>
      </c>
      <c r="F78" s="38" t="n">
        <v>19</v>
      </c>
      <c r="G78" s="38" t="n">
        <v>0</v>
      </c>
      <c r="H78" s="38" t="n">
        <v>-9</v>
      </c>
      <c r="I78" s="38" t="n">
        <v>6</v>
      </c>
      <c r="J78" s="38" t="n">
        <v>0</v>
      </c>
      <c r="K78" s="38" t="n">
        <v>-120</v>
      </c>
      <c r="L78" s="38" t="n">
        <v>7</v>
      </c>
      <c r="M78" s="38" t="n">
        <v>0</v>
      </c>
      <c r="N78" s="38" t="n">
        <v>-8</v>
      </c>
      <c r="O78" s="38" t="inlineStr">
        <is>
          <t>C0</t>
        </is>
      </c>
      <c r="P78" s="38" t="n">
        <v>2</v>
      </c>
      <c r="Q78" s="38" t="n">
        <v>13</v>
      </c>
      <c r="R78" s="38" t="n"/>
      <c r="S78" s="38" t="n"/>
      <c r="T78" s="38" t="n"/>
      <c r="U78" s="38" t="n"/>
      <c r="V78" s="38" t="n"/>
      <c r="W78" s="38" t="n"/>
      <c r="X78" s="38" t="n"/>
      <c r="Y78" s="36" t="n"/>
      <c r="Z78" s="38" t="n"/>
      <c r="AA78" s="45" t="inlineStr">
        <is>
          <t>…………..</t>
        </is>
      </c>
      <c r="AB78" s="45" t="inlineStr">
        <is>
          <t>…………..</t>
        </is>
      </c>
      <c r="AC78" s="44" t="inlineStr">
        <is>
          <t>……………</t>
        </is>
      </c>
      <c r="AD78" s="57" t="inlineStr">
        <is>
          <t>………</t>
        </is>
      </c>
    </row>
    <row r="79" ht="12.75" customHeight="1" s="123">
      <c r="A79" s="85" t="n">
        <v>77</v>
      </c>
      <c r="B79" s="30" t="inlineStr">
        <is>
          <t>608-2RLD-C3</t>
        </is>
      </c>
      <c r="C79" s="38" t="n">
        <v>7</v>
      </c>
      <c r="D79" s="38" t="n">
        <v>0</v>
      </c>
      <c r="E79" s="38" t="n">
        <v>-120</v>
      </c>
      <c r="F79" s="38" t="n">
        <v>22</v>
      </c>
      <c r="G79" s="38" t="n">
        <v>0</v>
      </c>
      <c r="H79" s="38" t="n">
        <v>-9</v>
      </c>
      <c r="I79" s="38" t="n">
        <v>7</v>
      </c>
      <c r="J79" s="38" t="n">
        <v>0</v>
      </c>
      <c r="K79" s="38" t="n">
        <v>-120</v>
      </c>
      <c r="L79" s="38" t="n">
        <v>8</v>
      </c>
      <c r="M79" s="38" t="n">
        <v>0</v>
      </c>
      <c r="N79" s="38" t="n">
        <v>-8</v>
      </c>
      <c r="O79" s="38" t="inlineStr">
        <is>
          <t>C3</t>
        </is>
      </c>
      <c r="P79" s="38" t="n">
        <v>12</v>
      </c>
      <c r="Q79" s="38" t="n">
        <v>28</v>
      </c>
      <c r="R79" s="38" t="n"/>
      <c r="S79" s="38" t="n"/>
      <c r="T79" s="38" t="n"/>
      <c r="U79" s="38" t="n"/>
      <c r="V79" s="38" t="n"/>
      <c r="W79" s="38" t="n"/>
      <c r="X79" s="38" t="n"/>
      <c r="Y79" s="36" t="n"/>
      <c r="Z79" s="38" t="n"/>
      <c r="AA79" s="45" t="inlineStr">
        <is>
          <t>…………..</t>
        </is>
      </c>
      <c r="AB79" s="45" t="inlineStr">
        <is>
          <t>…………..</t>
        </is>
      </c>
      <c r="AC79" s="44" t="inlineStr">
        <is>
          <t>……………</t>
        </is>
      </c>
      <c r="AD79" s="57" t="inlineStr">
        <is>
          <t>………</t>
        </is>
      </c>
    </row>
    <row r="80" ht="12.75" customHeight="1" s="123">
      <c r="A80" s="85" t="n">
        <v>78</v>
      </c>
      <c r="B80" s="30" t="inlineStr">
        <is>
          <t>608-2RS</t>
        </is>
      </c>
      <c r="C80" s="38" t="n">
        <v>7</v>
      </c>
      <c r="D80" s="38" t="n">
        <v>0</v>
      </c>
      <c r="E80" s="38" t="n">
        <v>-120</v>
      </c>
      <c r="F80" s="38" t="n">
        <v>22</v>
      </c>
      <c r="G80" s="38" t="n">
        <v>0</v>
      </c>
      <c r="H80" s="38" t="n">
        <v>-9</v>
      </c>
      <c r="I80" s="38" t="n">
        <v>7</v>
      </c>
      <c r="J80" s="38" t="n">
        <v>0</v>
      </c>
      <c r="K80" s="38" t="n">
        <v>-120</v>
      </c>
      <c r="L80" s="38" t="n">
        <v>8</v>
      </c>
      <c r="M80" s="38" t="n">
        <v>0</v>
      </c>
      <c r="N80" s="38" t="n">
        <v>-8</v>
      </c>
      <c r="O80" s="38" t="inlineStr">
        <is>
          <t>C3</t>
        </is>
      </c>
      <c r="P80" s="38" t="n">
        <v>23</v>
      </c>
      <c r="Q80" s="38" t="n">
        <v>8</v>
      </c>
      <c r="R80" s="38" t="inlineStr">
        <is>
          <t>NO</t>
        </is>
      </c>
      <c r="S80" s="38" t="inlineStr">
        <is>
          <t>NO</t>
        </is>
      </c>
      <c r="T80" s="38" t="inlineStr">
        <is>
          <t>NO</t>
        </is>
      </c>
      <c r="U80" s="38" t="n">
        <v>64</v>
      </c>
      <c r="V80" s="38" t="n">
        <v>58</v>
      </c>
      <c r="W80" s="38" t="n">
        <v>64</v>
      </c>
      <c r="X80" s="38" t="n">
        <v>58</v>
      </c>
      <c r="Y80" s="43" t="inlineStr">
        <is>
          <t>25 - 35 %</t>
        </is>
      </c>
      <c r="Z80" s="38" t="inlineStr">
        <is>
          <t>Polyrex</t>
        </is>
      </c>
      <c r="AA80" s="45" t="inlineStr">
        <is>
          <t>NO</t>
        </is>
      </c>
      <c r="AB80" s="45" t="inlineStr">
        <is>
          <t>NO</t>
        </is>
      </c>
      <c r="AC80" s="44" t="n">
        <v>43076</v>
      </c>
      <c r="AD80" s="57" t="n">
        <v>0</v>
      </c>
    </row>
    <row r="81" ht="12.75" customHeight="1" s="123">
      <c r="A81" s="85" t="n">
        <v>79</v>
      </c>
      <c r="B81" s="30" t="inlineStr">
        <is>
          <t>608-ZZ</t>
        </is>
      </c>
      <c r="C81" s="38" t="n">
        <v>7</v>
      </c>
      <c r="D81" s="38" t="n">
        <v>0</v>
      </c>
      <c r="E81" s="38" t="n">
        <v>-120</v>
      </c>
      <c r="F81" s="38" t="n">
        <v>22</v>
      </c>
      <c r="G81" s="38" t="n">
        <v>0</v>
      </c>
      <c r="H81" s="38" t="n">
        <v>-9</v>
      </c>
      <c r="I81" s="38" t="n">
        <v>7</v>
      </c>
      <c r="J81" s="38" t="n">
        <v>0</v>
      </c>
      <c r="K81" s="38" t="n">
        <v>-120</v>
      </c>
      <c r="L81" s="38" t="n">
        <v>8</v>
      </c>
      <c r="M81" s="38" t="n">
        <v>0</v>
      </c>
      <c r="N81" s="38" t="n">
        <v>-8</v>
      </c>
      <c r="O81" s="38" t="inlineStr">
        <is>
          <t>C3</t>
        </is>
      </c>
      <c r="P81" s="38" t="n">
        <v>23</v>
      </c>
      <c r="Q81" s="38" t="n">
        <v>8</v>
      </c>
      <c r="R81" s="38" t="inlineStr">
        <is>
          <t>NO</t>
        </is>
      </c>
      <c r="S81" s="38" t="inlineStr">
        <is>
          <t>NO</t>
        </is>
      </c>
      <c r="T81" s="38" t="inlineStr">
        <is>
          <t>NO</t>
        </is>
      </c>
      <c r="U81" s="38" t="n">
        <v>64</v>
      </c>
      <c r="V81" s="38" t="n">
        <v>58</v>
      </c>
      <c r="W81" s="38" t="n">
        <v>64</v>
      </c>
      <c r="X81" s="38" t="n">
        <v>58</v>
      </c>
      <c r="Y81" s="43" t="inlineStr">
        <is>
          <t>25 - 35 %</t>
        </is>
      </c>
      <c r="Z81" s="38" t="inlineStr">
        <is>
          <t>Polyrex</t>
        </is>
      </c>
      <c r="AA81" s="45" t="inlineStr">
        <is>
          <t>NO</t>
        </is>
      </c>
      <c r="AB81" s="45" t="inlineStr">
        <is>
          <t>NO</t>
        </is>
      </c>
      <c r="AC81" s="44" t="n">
        <v>43076</v>
      </c>
      <c r="AD81" s="57" t="n">
        <v>0</v>
      </c>
    </row>
    <row r="82" ht="12.75" customHeight="1" s="123">
      <c r="A82" s="85" t="n">
        <v>80</v>
      </c>
      <c r="B82" s="30" t="inlineStr">
        <is>
          <t>609-2RLD</t>
        </is>
      </c>
      <c r="C82" s="38" t="n">
        <v>7</v>
      </c>
      <c r="D82" s="38" t="n">
        <v>0</v>
      </c>
      <c r="E82" s="38" t="n">
        <v>-120</v>
      </c>
      <c r="F82" s="38" t="n">
        <v>24</v>
      </c>
      <c r="G82" s="38" t="n">
        <v>0</v>
      </c>
      <c r="H82" s="38" t="n">
        <v>-9</v>
      </c>
      <c r="I82" s="38" t="n">
        <v>7</v>
      </c>
      <c r="J82" s="38" t="n">
        <v>0</v>
      </c>
      <c r="K82" s="38" t="n">
        <v>-120</v>
      </c>
      <c r="L82" s="38" t="n">
        <v>9</v>
      </c>
      <c r="M82" s="38" t="n">
        <v>0</v>
      </c>
      <c r="N82" s="38" t="n">
        <v>-8</v>
      </c>
      <c r="O82" s="38" t="inlineStr">
        <is>
          <t>C3</t>
        </is>
      </c>
      <c r="P82" s="38" t="n">
        <v>23</v>
      </c>
      <c r="Q82" s="38" t="n">
        <v>8</v>
      </c>
      <c r="R82" s="38" t="inlineStr">
        <is>
          <t>NO</t>
        </is>
      </c>
      <c r="S82" s="38" t="inlineStr">
        <is>
          <t>NO</t>
        </is>
      </c>
      <c r="T82" s="38" t="inlineStr">
        <is>
          <t>NO</t>
        </is>
      </c>
      <c r="U82" s="38" t="n">
        <v>64</v>
      </c>
      <c r="V82" s="38" t="n">
        <v>58</v>
      </c>
      <c r="W82" s="38" t="n">
        <v>64</v>
      </c>
      <c r="X82" s="38" t="n">
        <v>58</v>
      </c>
      <c r="Y82" s="45" t="inlineStr">
        <is>
          <t>25 - 35 %</t>
        </is>
      </c>
      <c r="Z82" s="38" t="inlineStr">
        <is>
          <t>Polyrex</t>
        </is>
      </c>
      <c r="AA82" s="45" t="n">
        <v>0.003</v>
      </c>
      <c r="AB82" s="38" t="n">
        <v>0.004</v>
      </c>
      <c r="AC82" s="44" t="n">
        <v>43076</v>
      </c>
      <c r="AD82" s="57" t="n">
        <v>0</v>
      </c>
    </row>
    <row r="83" ht="12.75" customHeight="1" s="123">
      <c r="A83" s="85" t="n">
        <v>81</v>
      </c>
      <c r="B83" s="30" t="inlineStr">
        <is>
          <t>609-ZZ</t>
        </is>
      </c>
      <c r="C83" s="38" t="n">
        <v>7</v>
      </c>
      <c r="D83" s="38" t="n">
        <v>0</v>
      </c>
      <c r="E83" s="38" t="n">
        <v>-120</v>
      </c>
      <c r="F83" s="38" t="n">
        <v>24</v>
      </c>
      <c r="G83" s="38" t="n">
        <v>0</v>
      </c>
      <c r="H83" s="38" t="n">
        <v>-9</v>
      </c>
      <c r="I83" s="38" t="n">
        <v>7</v>
      </c>
      <c r="J83" s="38" t="n">
        <v>0</v>
      </c>
      <c r="K83" s="38" t="n">
        <v>-120</v>
      </c>
      <c r="L83" s="38" t="n">
        <v>9</v>
      </c>
      <c r="M83" s="38" t="n">
        <v>0</v>
      </c>
      <c r="N83" s="38" t="n">
        <v>-8</v>
      </c>
      <c r="O83" s="38" t="inlineStr">
        <is>
          <t>C3</t>
        </is>
      </c>
      <c r="P83" s="38" t="n">
        <v>23</v>
      </c>
      <c r="Q83" s="38" t="n">
        <v>8</v>
      </c>
      <c r="R83" s="38" t="inlineStr">
        <is>
          <t>NO</t>
        </is>
      </c>
      <c r="S83" s="38" t="inlineStr">
        <is>
          <t>NO</t>
        </is>
      </c>
      <c r="T83" s="38" t="inlineStr">
        <is>
          <t>NO</t>
        </is>
      </c>
      <c r="U83" s="38" t="n">
        <v>64</v>
      </c>
      <c r="V83" s="38" t="n">
        <v>58</v>
      </c>
      <c r="W83" s="38" t="n">
        <v>64</v>
      </c>
      <c r="X83" s="38" t="n">
        <v>58</v>
      </c>
      <c r="Y83" s="45" t="inlineStr">
        <is>
          <t>25 - 35 %</t>
        </is>
      </c>
      <c r="Z83" s="38" t="inlineStr">
        <is>
          <t>Polyrex</t>
        </is>
      </c>
      <c r="AA83" s="45" t="inlineStr">
        <is>
          <t>NO</t>
        </is>
      </c>
      <c r="AB83" s="45" t="inlineStr">
        <is>
          <t>NO</t>
        </is>
      </c>
      <c r="AC83" s="44" t="n">
        <v>43076</v>
      </c>
      <c r="AD83" s="57" t="n">
        <v>0</v>
      </c>
    </row>
    <row r="84" ht="12.75" customHeight="1" s="123">
      <c r="A84" s="85" t="n">
        <v>82</v>
      </c>
      <c r="B84" s="30" t="inlineStr">
        <is>
          <t>6200-RLD-C3</t>
        </is>
      </c>
      <c r="C84" s="38" t="n">
        <v>9</v>
      </c>
      <c r="D84" s="38" t="n">
        <v>0</v>
      </c>
      <c r="E84" s="38" t="n">
        <v>-120</v>
      </c>
      <c r="F84" s="38" t="n">
        <v>30</v>
      </c>
      <c r="G84" s="38" t="n">
        <v>0</v>
      </c>
      <c r="H84" s="38" t="n">
        <v>-9</v>
      </c>
      <c r="I84" s="38" t="n">
        <v>9</v>
      </c>
      <c r="J84" s="38" t="n">
        <v>0</v>
      </c>
      <c r="K84" s="38" t="n">
        <v>-120</v>
      </c>
      <c r="L84" s="38" t="n">
        <v>10</v>
      </c>
      <c r="M84" s="38" t="n">
        <v>0</v>
      </c>
      <c r="N84" s="38" t="n">
        <v>-8</v>
      </c>
      <c r="O84" s="38" t="inlineStr">
        <is>
          <t>C3</t>
        </is>
      </c>
      <c r="P84" s="38" t="n">
        <v>9</v>
      </c>
      <c r="Q84" s="38" t="n">
        <v>22</v>
      </c>
      <c r="R84" s="38" t="n"/>
      <c r="S84" s="38" t="n"/>
      <c r="T84" s="38" t="n"/>
      <c r="U84" s="38" t="n"/>
      <c r="V84" s="38" t="n"/>
      <c r="W84" s="38" t="n"/>
      <c r="X84" s="38" t="n"/>
      <c r="Y84" s="36" t="n"/>
      <c r="Z84" s="38" t="n"/>
      <c r="AA84" s="45" t="inlineStr">
        <is>
          <t>…………..</t>
        </is>
      </c>
      <c r="AB84" s="45" t="inlineStr">
        <is>
          <t>…………..</t>
        </is>
      </c>
      <c r="AC84" s="44" t="inlineStr">
        <is>
          <t>……………</t>
        </is>
      </c>
      <c r="AD84" s="57" t="inlineStr">
        <is>
          <t>………</t>
        </is>
      </c>
    </row>
    <row r="85" ht="12.75" customHeight="1" s="123">
      <c r="A85" s="85" t="n">
        <v>83</v>
      </c>
      <c r="B85" s="27" t="inlineStr">
        <is>
          <t>6201-2RST</t>
        </is>
      </c>
      <c r="C85" s="38" t="n">
        <v>10</v>
      </c>
      <c r="D85" s="38" t="n">
        <v>0</v>
      </c>
      <c r="E85" s="38" t="n">
        <v>-120</v>
      </c>
      <c r="F85" s="38" t="n">
        <v>32</v>
      </c>
      <c r="G85" s="38" t="n">
        <v>0</v>
      </c>
      <c r="H85" s="38" t="n">
        <v>-11</v>
      </c>
      <c r="I85" s="38" t="n">
        <v>10</v>
      </c>
      <c r="J85" s="38" t="n">
        <v>0</v>
      </c>
      <c r="K85" s="38" t="n">
        <v>-120</v>
      </c>
      <c r="L85" s="38" t="n">
        <v>12</v>
      </c>
      <c r="M85" s="38" t="n">
        <v>0</v>
      </c>
      <c r="N85" s="38" t="n">
        <v>-8</v>
      </c>
      <c r="O85" s="38" t="inlineStr">
        <is>
          <t>C3</t>
        </is>
      </c>
      <c r="P85" s="38" t="n">
        <v>11</v>
      </c>
      <c r="Q85" s="38" t="n">
        <v>25</v>
      </c>
      <c r="R85" s="38" t="n"/>
      <c r="S85" s="38" t="n"/>
      <c r="T85" s="38" t="n"/>
      <c r="U85" s="38" t="inlineStr">
        <is>
          <t>58 HRC</t>
        </is>
      </c>
      <c r="V85" s="38" t="inlineStr">
        <is>
          <t>65 HRC</t>
        </is>
      </c>
      <c r="W85" s="38" t="inlineStr">
        <is>
          <t>58 HRC</t>
        </is>
      </c>
      <c r="X85" s="38" t="inlineStr">
        <is>
          <t>65 HRC</t>
        </is>
      </c>
      <c r="Y85" s="36" t="n"/>
      <c r="Z85" s="38" t="n"/>
      <c r="AA85" s="45" t="inlineStr">
        <is>
          <t>…………..</t>
        </is>
      </c>
      <c r="AB85" s="45" t="inlineStr">
        <is>
          <t>…………..</t>
        </is>
      </c>
      <c r="AC85" s="44" t="inlineStr">
        <is>
          <t>……………</t>
        </is>
      </c>
      <c r="AD85" s="57" t="inlineStr">
        <is>
          <t>………</t>
        </is>
      </c>
    </row>
    <row r="86" ht="12.75" customHeight="1" s="123">
      <c r="A86" s="85" t="n">
        <v>84</v>
      </c>
      <c r="B86" s="27" t="inlineStr">
        <is>
          <t>6202-2RST</t>
        </is>
      </c>
      <c r="C86" s="38" t="n">
        <v>11</v>
      </c>
      <c r="D86" s="38" t="n">
        <v>0</v>
      </c>
      <c r="E86" s="38" t="n">
        <v>-120</v>
      </c>
      <c r="F86" s="38" t="n">
        <v>35</v>
      </c>
      <c r="G86" s="38" t="n">
        <v>0</v>
      </c>
      <c r="H86" s="38" t="n">
        <v>-11</v>
      </c>
      <c r="I86" s="38" t="n">
        <v>11</v>
      </c>
      <c r="J86" s="38" t="n">
        <v>0</v>
      </c>
      <c r="K86" s="38" t="n">
        <v>-120</v>
      </c>
      <c r="L86" s="38" t="n">
        <v>15</v>
      </c>
      <c r="M86" s="38" t="n">
        <v>0</v>
      </c>
      <c r="N86" s="38" t="n">
        <v>-8</v>
      </c>
      <c r="O86" s="38" t="inlineStr">
        <is>
          <t>C3</t>
        </is>
      </c>
      <c r="P86" s="38" t="n">
        <v>11</v>
      </c>
      <c r="Q86" s="38" t="n">
        <v>25</v>
      </c>
      <c r="R86" s="38" t="n"/>
      <c r="S86" s="38" t="n"/>
      <c r="T86" s="38" t="n"/>
      <c r="U86" s="38" t="inlineStr">
        <is>
          <t>58 HRC</t>
        </is>
      </c>
      <c r="V86" s="38" t="inlineStr">
        <is>
          <t>65 HRC</t>
        </is>
      </c>
      <c r="W86" s="38" t="inlineStr">
        <is>
          <t>58 HRC</t>
        </is>
      </c>
      <c r="X86" s="38" t="inlineStr">
        <is>
          <t>65 HRC</t>
        </is>
      </c>
      <c r="Y86" s="36" t="n"/>
      <c r="Z86" s="38" t="n"/>
      <c r="AA86" s="45" t="inlineStr">
        <is>
          <t>…………..</t>
        </is>
      </c>
      <c r="AB86" s="45" t="inlineStr">
        <is>
          <t>…………..</t>
        </is>
      </c>
      <c r="AC86" s="44" t="inlineStr">
        <is>
          <t>……………</t>
        </is>
      </c>
      <c r="AD86" s="57" t="inlineStr">
        <is>
          <t>………</t>
        </is>
      </c>
    </row>
    <row r="87" ht="12.75" customHeight="1" s="123">
      <c r="A87" s="85" t="n">
        <v>85</v>
      </c>
      <c r="B87" s="30" t="inlineStr">
        <is>
          <t>6203-2RLD</t>
        </is>
      </c>
      <c r="C87" s="38" t="n">
        <v>12</v>
      </c>
      <c r="D87" s="38" t="n">
        <v>0</v>
      </c>
      <c r="E87" s="38" t="n">
        <v>-120</v>
      </c>
      <c r="F87" s="38" t="n">
        <v>40</v>
      </c>
      <c r="G87" s="38" t="n">
        <v>0</v>
      </c>
      <c r="H87" s="38" t="n">
        <v>-11</v>
      </c>
      <c r="I87" s="38" t="n">
        <v>12</v>
      </c>
      <c r="J87" s="38" t="n">
        <v>0</v>
      </c>
      <c r="K87" s="38" t="n">
        <v>-120</v>
      </c>
      <c r="L87" s="38" t="n">
        <v>17</v>
      </c>
      <c r="M87" s="38" t="n">
        <v>0</v>
      </c>
      <c r="N87" s="38" t="n">
        <v>-10</v>
      </c>
      <c r="O87" s="38" t="inlineStr">
        <is>
          <t>C3</t>
        </is>
      </c>
      <c r="P87" s="38" t="n">
        <v>11</v>
      </c>
      <c r="Q87" s="38" t="n">
        <v>25</v>
      </c>
      <c r="R87" s="38" t="n"/>
      <c r="S87" s="38" t="n"/>
      <c r="T87" s="38" t="n"/>
      <c r="U87" s="38" t="n"/>
      <c r="V87" s="38" t="n"/>
      <c r="W87" s="38" t="n"/>
      <c r="X87" s="38" t="n"/>
      <c r="Y87" s="36" t="n"/>
      <c r="Z87" s="38" t="n"/>
      <c r="AA87" s="45" t="inlineStr">
        <is>
          <t>…………..</t>
        </is>
      </c>
      <c r="AB87" s="45" t="inlineStr">
        <is>
          <t>…………..</t>
        </is>
      </c>
      <c r="AC87" s="44" t="inlineStr">
        <is>
          <t>……………</t>
        </is>
      </c>
      <c r="AD87" s="57" t="inlineStr">
        <is>
          <t>………</t>
        </is>
      </c>
    </row>
    <row r="88" ht="12.75" customHeight="1" s="123">
      <c r="A88" s="85" t="n">
        <v>86</v>
      </c>
      <c r="B88" s="30" t="inlineStr">
        <is>
          <t>6203-2RST</t>
        </is>
      </c>
      <c r="C88" s="38" t="n">
        <v>12</v>
      </c>
      <c r="D88" s="38" t="n">
        <v>0</v>
      </c>
      <c r="E88" s="38" t="n">
        <v>-120</v>
      </c>
      <c r="F88" s="38" t="n">
        <v>40</v>
      </c>
      <c r="G88" s="38" t="n">
        <v>0</v>
      </c>
      <c r="H88" s="38" t="n">
        <v>-11</v>
      </c>
      <c r="I88" s="38" t="n">
        <v>12</v>
      </c>
      <c r="J88" s="38" t="n">
        <v>0</v>
      </c>
      <c r="K88" s="38" t="n">
        <v>-120</v>
      </c>
      <c r="L88" s="38" t="n">
        <v>17</v>
      </c>
      <c r="M88" s="38" t="n">
        <v>0</v>
      </c>
      <c r="N88" s="38" t="n">
        <v>-10</v>
      </c>
      <c r="O88" s="38" t="inlineStr">
        <is>
          <t>C3</t>
        </is>
      </c>
      <c r="P88" s="38" t="n">
        <v>11</v>
      </c>
      <c r="Q88" s="38" t="n">
        <v>25</v>
      </c>
      <c r="R88" s="38" t="n"/>
      <c r="S88" s="38" t="n"/>
      <c r="T88" s="38" t="n"/>
      <c r="U88" s="38" t="n"/>
      <c r="V88" s="38" t="n"/>
      <c r="W88" s="38" t="n"/>
      <c r="X88" s="38" t="n"/>
      <c r="Y88" s="36" t="n"/>
      <c r="Z88" s="38" t="n"/>
      <c r="AA88" s="45" t="inlineStr">
        <is>
          <t>…………..</t>
        </is>
      </c>
      <c r="AB88" s="45" t="inlineStr">
        <is>
          <t>…………..</t>
        </is>
      </c>
      <c r="AC88" s="44" t="inlineStr">
        <is>
          <t>……………</t>
        </is>
      </c>
      <c r="AD88" s="57" t="inlineStr">
        <is>
          <t>………</t>
        </is>
      </c>
    </row>
    <row r="89" ht="12.75" customHeight="1" s="123">
      <c r="A89" s="85" t="n">
        <v>87</v>
      </c>
      <c r="B89" s="27" t="inlineStr">
        <is>
          <t>6204-2RST</t>
        </is>
      </c>
      <c r="C89" s="38" t="n">
        <v>14</v>
      </c>
      <c r="D89" s="38" t="n">
        <v>0</v>
      </c>
      <c r="E89" s="38" t="n">
        <v>-120</v>
      </c>
      <c r="F89" s="38" t="n">
        <v>47</v>
      </c>
      <c r="G89" s="38" t="n">
        <v>0</v>
      </c>
      <c r="H89" s="38" t="n">
        <v>-11</v>
      </c>
      <c r="I89" s="38" t="n">
        <v>14</v>
      </c>
      <c r="J89" s="38" t="n">
        <v>0</v>
      </c>
      <c r="K89" s="38" t="n">
        <v>-120</v>
      </c>
      <c r="L89" s="38" t="n">
        <v>20</v>
      </c>
      <c r="M89" s="38" t="n">
        <v>0</v>
      </c>
      <c r="N89" s="38" t="n">
        <v>-10</v>
      </c>
      <c r="O89" s="38" t="inlineStr">
        <is>
          <t>C3</t>
        </is>
      </c>
      <c r="P89" s="38" t="n">
        <v>13</v>
      </c>
      <c r="Q89" s="38" t="n">
        <v>28</v>
      </c>
      <c r="R89" s="38" t="n"/>
      <c r="S89" s="38" t="n"/>
      <c r="T89" s="38" t="n"/>
      <c r="U89" s="38" t="inlineStr">
        <is>
          <t>58 HRC</t>
        </is>
      </c>
      <c r="V89" s="38" t="inlineStr">
        <is>
          <t>65 HRC</t>
        </is>
      </c>
      <c r="W89" s="38" t="inlineStr">
        <is>
          <t>58 HRC</t>
        </is>
      </c>
      <c r="X89" s="38" t="inlineStr">
        <is>
          <t>65 HRC</t>
        </is>
      </c>
      <c r="Y89" s="36" t="n"/>
      <c r="Z89" s="38" t="n"/>
      <c r="AA89" s="45" t="inlineStr">
        <is>
          <t>…………..</t>
        </is>
      </c>
      <c r="AB89" s="45" t="inlineStr">
        <is>
          <t>…………..</t>
        </is>
      </c>
      <c r="AC89" s="44" t="inlineStr">
        <is>
          <t>……………</t>
        </is>
      </c>
      <c r="AD89" s="57" t="inlineStr">
        <is>
          <t>………</t>
        </is>
      </c>
    </row>
    <row r="90" ht="12.75" customHeight="1" s="123">
      <c r="A90" s="85" t="n">
        <v>88</v>
      </c>
      <c r="B90" s="27" t="inlineStr">
        <is>
          <t>6204-RLD</t>
        </is>
      </c>
      <c r="C90" s="38" t="n">
        <v>14</v>
      </c>
      <c r="D90" s="38" t="n">
        <v>0</v>
      </c>
      <c r="E90" s="38" t="n">
        <v>-120</v>
      </c>
      <c r="F90" s="38" t="n">
        <v>47</v>
      </c>
      <c r="G90" s="38" t="n">
        <v>0</v>
      </c>
      <c r="H90" s="38" t="n">
        <v>-11</v>
      </c>
      <c r="I90" s="38" t="n">
        <v>14</v>
      </c>
      <c r="J90" s="38" t="n">
        <v>0</v>
      </c>
      <c r="K90" s="38" t="n">
        <v>-120</v>
      </c>
      <c r="L90" s="38" t="n">
        <v>20</v>
      </c>
      <c r="M90" s="38" t="n">
        <v>0</v>
      </c>
      <c r="N90" s="38" t="n">
        <v>-10</v>
      </c>
      <c r="O90" s="38" t="inlineStr">
        <is>
          <t>C3</t>
        </is>
      </c>
      <c r="P90" s="38" t="n">
        <v>13</v>
      </c>
      <c r="Q90" s="38" t="n">
        <v>28</v>
      </c>
      <c r="R90" s="38" t="n"/>
      <c r="S90" s="38" t="n"/>
      <c r="T90" s="38" t="n"/>
      <c r="U90" s="38" t="inlineStr">
        <is>
          <t>58 HRC</t>
        </is>
      </c>
      <c r="V90" s="38" t="inlineStr">
        <is>
          <t>65 HRC</t>
        </is>
      </c>
      <c r="W90" s="38" t="inlineStr">
        <is>
          <t>58 HRC</t>
        </is>
      </c>
      <c r="X90" s="38" t="inlineStr">
        <is>
          <t>65 HRC</t>
        </is>
      </c>
      <c r="Y90" s="36" t="n"/>
      <c r="Z90" s="38" t="n"/>
      <c r="AA90" s="45" t="inlineStr">
        <is>
          <t>…………..</t>
        </is>
      </c>
      <c r="AB90" s="45" t="inlineStr">
        <is>
          <t>…………..</t>
        </is>
      </c>
      <c r="AC90" s="44" t="inlineStr">
        <is>
          <t>……………</t>
        </is>
      </c>
      <c r="AD90" s="57" t="inlineStr">
        <is>
          <t>………</t>
        </is>
      </c>
    </row>
    <row r="91" ht="12.75" customHeight="1" s="123">
      <c r="A91" s="85" t="n">
        <v>89</v>
      </c>
      <c r="B91" s="27" t="inlineStr">
        <is>
          <t>6205-2RST</t>
        </is>
      </c>
      <c r="C91" s="38" t="n">
        <v>15</v>
      </c>
      <c r="D91" s="38" t="n">
        <v>0</v>
      </c>
      <c r="E91" s="38" t="n">
        <v>-120</v>
      </c>
      <c r="F91" s="38" t="n">
        <v>52</v>
      </c>
      <c r="G91" s="38" t="n">
        <v>0</v>
      </c>
      <c r="H91" s="38" t="n">
        <v>-13</v>
      </c>
      <c r="I91" s="38" t="n">
        <v>15</v>
      </c>
      <c r="J91" s="38" t="n">
        <v>0</v>
      </c>
      <c r="K91" s="38" t="n">
        <v>-120</v>
      </c>
      <c r="L91" s="38" t="n">
        <v>25</v>
      </c>
      <c r="M91" s="38" t="n">
        <v>0</v>
      </c>
      <c r="N91" s="38" t="n">
        <v>-10</v>
      </c>
      <c r="O91" s="38" t="inlineStr">
        <is>
          <t>C3</t>
        </is>
      </c>
      <c r="P91" s="38" t="n">
        <v>13</v>
      </c>
      <c r="Q91" s="38" t="n">
        <v>28</v>
      </c>
      <c r="R91" s="38" t="n"/>
      <c r="S91" s="38" t="n"/>
      <c r="T91" s="38" t="n"/>
      <c r="U91" s="38" t="inlineStr">
        <is>
          <t>58 HRC</t>
        </is>
      </c>
      <c r="V91" s="38" t="inlineStr">
        <is>
          <t>65 HRC</t>
        </is>
      </c>
      <c r="W91" s="38" t="inlineStr">
        <is>
          <t>58 HRC</t>
        </is>
      </c>
      <c r="X91" s="38" t="inlineStr">
        <is>
          <t>65 HRC</t>
        </is>
      </c>
      <c r="Y91" s="36" t="n"/>
      <c r="Z91" s="38" t="n"/>
      <c r="AA91" s="45" t="inlineStr">
        <is>
          <t>…………..</t>
        </is>
      </c>
      <c r="AB91" s="45" t="inlineStr">
        <is>
          <t>…………..</t>
        </is>
      </c>
      <c r="AC91" s="44" t="inlineStr">
        <is>
          <t>……………</t>
        </is>
      </c>
      <c r="AD91" s="57" t="inlineStr">
        <is>
          <t>………</t>
        </is>
      </c>
    </row>
    <row r="92" ht="12.75" customHeight="1" s="123">
      <c r="A92" s="85" t="n">
        <v>90</v>
      </c>
      <c r="B92" s="30" t="inlineStr">
        <is>
          <t>6206-2RLD</t>
        </is>
      </c>
      <c r="C92" s="38" t="n">
        <v>16</v>
      </c>
      <c r="D92" s="38" t="n">
        <v>0</v>
      </c>
      <c r="E92" s="38" t="n">
        <v>-120</v>
      </c>
      <c r="F92" s="38" t="n">
        <v>62</v>
      </c>
      <c r="G92" s="38" t="n">
        <v>0</v>
      </c>
      <c r="H92" s="38" t="n">
        <v>-13</v>
      </c>
      <c r="I92" s="38" t="n">
        <v>16</v>
      </c>
      <c r="J92" s="38" t="n">
        <v>0</v>
      </c>
      <c r="K92" s="38" t="n">
        <v>-120</v>
      </c>
      <c r="L92" s="38" t="n">
        <v>30</v>
      </c>
      <c r="M92" s="38" t="n">
        <v>0</v>
      </c>
      <c r="N92" s="38" t="n">
        <v>-10</v>
      </c>
      <c r="O92" s="38" t="inlineStr">
        <is>
          <t>C3</t>
        </is>
      </c>
      <c r="P92" s="38" t="n">
        <v>13</v>
      </c>
      <c r="Q92" s="38" t="n">
        <v>28</v>
      </c>
      <c r="R92" s="38" t="n"/>
      <c r="S92" s="38" t="n"/>
      <c r="T92" s="38" t="n"/>
      <c r="U92" s="38" t="n"/>
      <c r="V92" s="38" t="n"/>
      <c r="W92" s="38" t="n"/>
      <c r="X92" s="38" t="n"/>
      <c r="Y92" s="36" t="n"/>
      <c r="Z92" s="38" t="n"/>
      <c r="AA92" s="45" t="inlineStr">
        <is>
          <t>…………..</t>
        </is>
      </c>
      <c r="AB92" s="45" t="inlineStr">
        <is>
          <t>…………..</t>
        </is>
      </c>
      <c r="AC92" s="44" t="inlineStr">
        <is>
          <t>……………</t>
        </is>
      </c>
      <c r="AD92" s="57" t="inlineStr">
        <is>
          <t>………</t>
        </is>
      </c>
    </row>
    <row r="93" ht="12.75" customHeight="1" s="123">
      <c r="A93" s="85" t="n">
        <v>91</v>
      </c>
      <c r="B93" s="30" t="inlineStr">
        <is>
          <t>6206-2RST</t>
        </is>
      </c>
      <c r="C93" s="38" t="n">
        <v>16</v>
      </c>
      <c r="D93" s="38" t="n">
        <v>0</v>
      </c>
      <c r="E93" s="38" t="n">
        <v>-120</v>
      </c>
      <c r="F93" s="38" t="n">
        <v>62</v>
      </c>
      <c r="G93" s="38" t="n">
        <v>0</v>
      </c>
      <c r="H93" s="38" t="n">
        <v>-13</v>
      </c>
      <c r="I93" s="38" t="n">
        <v>16</v>
      </c>
      <c r="J93" s="38" t="n">
        <v>0</v>
      </c>
      <c r="K93" s="38" t="n">
        <v>-120</v>
      </c>
      <c r="L93" s="38" t="n">
        <v>30</v>
      </c>
      <c r="M93" s="38" t="n">
        <v>0</v>
      </c>
      <c r="N93" s="38" t="n">
        <v>-10</v>
      </c>
      <c r="O93" s="38" t="inlineStr">
        <is>
          <t>C3</t>
        </is>
      </c>
      <c r="P93" s="38" t="n">
        <v>13</v>
      </c>
      <c r="Q93" s="38" t="n">
        <v>28</v>
      </c>
      <c r="R93" s="38" t="n"/>
      <c r="S93" s="38" t="n"/>
      <c r="T93" s="38" t="n"/>
      <c r="U93" s="38" t="n"/>
      <c r="V93" s="38" t="n"/>
      <c r="W93" s="38" t="n"/>
      <c r="X93" s="38" t="n"/>
      <c r="Y93" s="36" t="n"/>
      <c r="Z93" s="38" t="n"/>
      <c r="AA93" s="45" t="inlineStr">
        <is>
          <t>…………..</t>
        </is>
      </c>
      <c r="AB93" s="45" t="inlineStr">
        <is>
          <t>…………..</t>
        </is>
      </c>
      <c r="AC93" s="44" t="inlineStr">
        <is>
          <t>……………</t>
        </is>
      </c>
      <c r="AD93" s="57" t="inlineStr">
        <is>
          <t>………</t>
        </is>
      </c>
    </row>
    <row r="94" ht="12.75" customHeight="1" s="123">
      <c r="A94" s="85" t="n">
        <v>92</v>
      </c>
      <c r="B94" s="27" t="inlineStr">
        <is>
          <t>6207-2RST</t>
        </is>
      </c>
      <c r="C94" s="38" t="n">
        <v>17</v>
      </c>
      <c r="D94" s="38" t="n">
        <v>0</v>
      </c>
      <c r="E94" s="38" t="n">
        <v>-120</v>
      </c>
      <c r="F94" s="38" t="n">
        <v>72</v>
      </c>
      <c r="G94" s="38" t="n">
        <v>0</v>
      </c>
      <c r="H94" s="38" t="n">
        <v>-13</v>
      </c>
      <c r="I94" s="38" t="n">
        <v>17</v>
      </c>
      <c r="J94" s="38" t="n">
        <v>0</v>
      </c>
      <c r="K94" s="38" t="n">
        <v>-120</v>
      </c>
      <c r="L94" s="38" t="n">
        <v>35</v>
      </c>
      <c r="M94" s="38" t="n">
        <v>0</v>
      </c>
      <c r="N94" s="38" t="n">
        <v>-12</v>
      </c>
      <c r="O94" s="38" t="inlineStr">
        <is>
          <t>C3</t>
        </is>
      </c>
      <c r="P94" s="38" t="n">
        <v>15</v>
      </c>
      <c r="Q94" s="38" t="n">
        <v>33</v>
      </c>
      <c r="R94" s="38" t="n"/>
      <c r="S94" s="38" t="n"/>
      <c r="T94" s="38" t="n"/>
      <c r="U94" s="38" t="inlineStr">
        <is>
          <t>58 HRC</t>
        </is>
      </c>
      <c r="V94" s="38" t="inlineStr">
        <is>
          <t>65 HRC</t>
        </is>
      </c>
      <c r="W94" s="38" t="inlineStr">
        <is>
          <t>58 HRC</t>
        </is>
      </c>
      <c r="X94" s="38" t="inlineStr">
        <is>
          <t>65 HRC</t>
        </is>
      </c>
      <c r="Y94" s="36" t="n"/>
      <c r="Z94" s="38" t="n"/>
      <c r="AA94" s="45" t="inlineStr">
        <is>
          <t>…………..</t>
        </is>
      </c>
      <c r="AB94" s="45" t="inlineStr">
        <is>
          <t>…………..</t>
        </is>
      </c>
      <c r="AC94" s="44" t="inlineStr">
        <is>
          <t>……………</t>
        </is>
      </c>
      <c r="AD94" s="57" t="inlineStr">
        <is>
          <t>………</t>
        </is>
      </c>
    </row>
    <row r="95" ht="12.75" customHeight="1" s="123">
      <c r="A95" s="85" t="n">
        <v>93</v>
      </c>
      <c r="B95" s="30" t="inlineStr">
        <is>
          <t>6207-2RST</t>
        </is>
      </c>
      <c r="C95" s="38" t="n">
        <v>17</v>
      </c>
      <c r="D95" s="38" t="n">
        <v>0</v>
      </c>
      <c r="E95" s="38" t="n">
        <v>-120</v>
      </c>
      <c r="F95" s="38" t="n">
        <v>72</v>
      </c>
      <c r="G95" s="38" t="n">
        <v>0</v>
      </c>
      <c r="H95" s="38" t="n">
        <v>-13</v>
      </c>
      <c r="I95" s="38" t="n">
        <v>17</v>
      </c>
      <c r="J95" s="38" t="n">
        <v>0</v>
      </c>
      <c r="K95" s="38" t="n">
        <v>-120</v>
      </c>
      <c r="L95" s="38" t="n">
        <v>35</v>
      </c>
      <c r="M95" s="38" t="n">
        <v>0</v>
      </c>
      <c r="N95" s="38" t="n">
        <v>-12</v>
      </c>
      <c r="O95" s="38" t="inlineStr">
        <is>
          <t>C3</t>
        </is>
      </c>
      <c r="P95" s="38" t="n">
        <v>15</v>
      </c>
      <c r="Q95" s="38" t="n">
        <v>33</v>
      </c>
      <c r="R95" s="38" t="inlineStr">
        <is>
          <t>NO</t>
        </is>
      </c>
      <c r="S95" s="38" t="inlineStr">
        <is>
          <t>NO</t>
        </is>
      </c>
      <c r="T95" s="38" t="inlineStr">
        <is>
          <t>NO</t>
        </is>
      </c>
      <c r="U95" s="38" t="n">
        <v>58</v>
      </c>
      <c r="V95" s="38" t="n">
        <v>62</v>
      </c>
      <c r="W95" s="38" t="n">
        <v>58</v>
      </c>
      <c r="X95" s="38" t="n">
        <v>62</v>
      </c>
      <c r="Y95" s="36" t="inlineStr">
        <is>
          <t>75±5</t>
        </is>
      </c>
      <c r="Z95" s="38" t="inlineStr">
        <is>
          <t>Polyrex</t>
        </is>
      </c>
      <c r="AA95" s="45" t="inlineStr">
        <is>
          <t>…………..</t>
        </is>
      </c>
      <c r="AB95" s="45" t="inlineStr">
        <is>
          <t>…………..</t>
        </is>
      </c>
      <c r="AC95" s="44" t="inlineStr">
        <is>
          <t>……………</t>
        </is>
      </c>
      <c r="AD95" s="57" t="inlineStr">
        <is>
          <t>………</t>
        </is>
      </c>
    </row>
    <row r="96" ht="12.75" customHeight="1" s="123">
      <c r="A96" s="85" t="n">
        <v>94</v>
      </c>
      <c r="B96" s="30" t="inlineStr">
        <is>
          <t>6208-2RST</t>
        </is>
      </c>
      <c r="C96" s="38" t="n">
        <v>18</v>
      </c>
      <c r="D96" s="38" t="n">
        <v>5</v>
      </c>
      <c r="E96" s="38" t="n">
        <v>-100</v>
      </c>
      <c r="F96" s="38" t="n">
        <v>80</v>
      </c>
      <c r="G96" s="38" t="n">
        <v>5</v>
      </c>
      <c r="H96" s="38" t="n">
        <v>-12</v>
      </c>
      <c r="I96" s="38" t="n">
        <v>18</v>
      </c>
      <c r="J96" s="38" t="n">
        <v>5</v>
      </c>
      <c r="K96" s="38" t="n">
        <v>-100</v>
      </c>
      <c r="L96" s="38" t="n">
        <v>40</v>
      </c>
      <c r="M96" s="38" t="n">
        <v>0</v>
      </c>
      <c r="N96" s="38" t="n">
        <v>-12</v>
      </c>
      <c r="O96" s="38" t="inlineStr">
        <is>
          <t>C3</t>
        </is>
      </c>
      <c r="P96" s="38" t="n">
        <v>15</v>
      </c>
      <c r="Q96" s="38" t="n">
        <v>33</v>
      </c>
      <c r="R96" s="38" t="n"/>
      <c r="S96" s="38" t="n"/>
      <c r="T96" s="38" t="n"/>
      <c r="U96" s="38" t="inlineStr">
        <is>
          <t>58 HRC</t>
        </is>
      </c>
      <c r="V96" s="38" t="inlineStr">
        <is>
          <t>65 HRC</t>
        </is>
      </c>
      <c r="W96" s="38" t="inlineStr">
        <is>
          <t>58 HRC</t>
        </is>
      </c>
      <c r="X96" s="38" t="inlineStr">
        <is>
          <t>65 HRC</t>
        </is>
      </c>
      <c r="Y96" s="36" t="n"/>
      <c r="Z96" s="38" t="n"/>
      <c r="AA96" s="45" t="inlineStr">
        <is>
          <t>…………..</t>
        </is>
      </c>
      <c r="AB96" s="45" t="inlineStr">
        <is>
          <t>…………..</t>
        </is>
      </c>
      <c r="AC96" s="44" t="inlineStr">
        <is>
          <t>……………</t>
        </is>
      </c>
      <c r="AD96" s="57" t="inlineStr">
        <is>
          <t>………</t>
        </is>
      </c>
    </row>
    <row r="97" ht="12.75" customHeight="1" s="123">
      <c r="A97" s="85" t="n">
        <v>95</v>
      </c>
      <c r="B97" s="30" t="inlineStr">
        <is>
          <t>6208-D</t>
        </is>
      </c>
      <c r="C97" s="38" t="n">
        <v>18</v>
      </c>
      <c r="D97" s="38" t="n">
        <v>0</v>
      </c>
      <c r="E97" s="38" t="n">
        <v>-120</v>
      </c>
      <c r="F97" s="38" t="n">
        <v>80</v>
      </c>
      <c r="G97" s="38" t="n">
        <v>0</v>
      </c>
      <c r="H97" s="38" t="n">
        <v>-13</v>
      </c>
      <c r="I97" s="38" t="n">
        <v>18</v>
      </c>
      <c r="J97" s="38" t="n">
        <v>0</v>
      </c>
      <c r="K97" s="38" t="n">
        <v>-120</v>
      </c>
      <c r="L97" s="38" t="n">
        <v>40</v>
      </c>
      <c r="M97" s="38" t="n">
        <v>0</v>
      </c>
      <c r="N97" s="38" t="n">
        <v>-12</v>
      </c>
      <c r="O97" s="38" t="inlineStr">
        <is>
          <t>C3</t>
        </is>
      </c>
      <c r="P97" s="38" t="n">
        <v>33</v>
      </c>
      <c r="Q97" s="38" t="n">
        <v>15</v>
      </c>
      <c r="R97" s="45" t="inlineStr">
        <is>
          <t>NO</t>
        </is>
      </c>
      <c r="S97" s="45" t="inlineStr">
        <is>
          <t>NO</t>
        </is>
      </c>
      <c r="T97" s="45" t="inlineStr">
        <is>
          <t>NO</t>
        </is>
      </c>
      <c r="U97" s="45" t="n">
        <v>64</v>
      </c>
      <c r="V97" s="38" t="n">
        <v>58</v>
      </c>
      <c r="W97" s="38" t="n">
        <v>64</v>
      </c>
      <c r="X97" s="38" t="n">
        <v>58</v>
      </c>
      <c r="Y97" s="45" t="inlineStr">
        <is>
          <t>NO</t>
        </is>
      </c>
      <c r="Z97" s="45" t="inlineStr">
        <is>
          <t>NO</t>
        </is>
      </c>
      <c r="AA97" s="45" t="inlineStr">
        <is>
          <t>NO</t>
        </is>
      </c>
      <c r="AB97" s="45" t="inlineStr">
        <is>
          <t>NO</t>
        </is>
      </c>
      <c r="AC97" s="45" t="inlineStr">
        <is>
          <t>SD</t>
        </is>
      </c>
      <c r="AD97" s="57" t="inlineStr">
        <is>
          <t>SD</t>
        </is>
      </c>
    </row>
    <row r="98" ht="12.75" customHeight="1" s="123">
      <c r="A98" s="85" t="n">
        <v>96</v>
      </c>
      <c r="B98" s="30" t="inlineStr">
        <is>
          <t>6208-RS</t>
        </is>
      </c>
      <c r="C98" s="38" t="n">
        <v>18</v>
      </c>
      <c r="D98" s="38" t="n">
        <v>0</v>
      </c>
      <c r="E98" s="38" t="n">
        <v>-120</v>
      </c>
      <c r="F98" s="38" t="n">
        <v>80</v>
      </c>
      <c r="G98" s="38" t="n">
        <v>0</v>
      </c>
      <c r="H98" s="38" t="n">
        <v>-13</v>
      </c>
      <c r="I98" s="38" t="n">
        <v>18</v>
      </c>
      <c r="J98" s="38" t="n">
        <v>0</v>
      </c>
      <c r="K98" s="38" t="n">
        <v>-120</v>
      </c>
      <c r="L98" s="38" t="n">
        <v>40</v>
      </c>
      <c r="M98" s="38" t="n">
        <v>0</v>
      </c>
      <c r="N98" s="38" t="n">
        <v>-12</v>
      </c>
      <c r="O98" s="38" t="inlineStr">
        <is>
          <t>C3</t>
        </is>
      </c>
      <c r="P98" s="38" t="n">
        <v>15</v>
      </c>
      <c r="Q98" s="38" t="n">
        <v>33</v>
      </c>
      <c r="R98" s="38" t="inlineStr">
        <is>
          <t>NO</t>
        </is>
      </c>
      <c r="S98" s="38" t="inlineStr">
        <is>
          <t>NO</t>
        </is>
      </c>
      <c r="T98" s="38" t="inlineStr">
        <is>
          <t>NO</t>
        </is>
      </c>
      <c r="U98" s="38" t="n">
        <v>64</v>
      </c>
      <c r="V98" s="38" t="n">
        <v>58</v>
      </c>
      <c r="W98" s="38" t="n">
        <v>64</v>
      </c>
      <c r="X98" s="38" t="n">
        <v>58</v>
      </c>
      <c r="Y98" s="38" t="inlineStr">
        <is>
          <t>25 - 35%</t>
        </is>
      </c>
      <c r="Z98" s="38" t="inlineStr">
        <is>
          <t>Polyrex</t>
        </is>
      </c>
      <c r="AA98" s="45" t="inlineStr">
        <is>
          <t>…………..</t>
        </is>
      </c>
      <c r="AB98" s="45" t="inlineStr">
        <is>
          <t>…………..</t>
        </is>
      </c>
      <c r="AC98" s="44" t="n">
        <v>39632</v>
      </c>
      <c r="AD98" s="57" t="n">
        <v>0</v>
      </c>
    </row>
    <row r="99" ht="12.75" customHeight="1" s="123">
      <c r="A99" s="85" t="n">
        <v>97</v>
      </c>
      <c r="B99" s="30" t="inlineStr">
        <is>
          <t>6209-2RS</t>
        </is>
      </c>
      <c r="C99" s="38" t="n">
        <v>19</v>
      </c>
      <c r="D99" s="38" t="n">
        <v>0</v>
      </c>
      <c r="E99" s="38" t="n">
        <v>-120</v>
      </c>
      <c r="F99" s="38" t="n">
        <v>85</v>
      </c>
      <c r="G99" s="38" t="n">
        <v>0</v>
      </c>
      <c r="H99" s="38" t="n">
        <v>-15</v>
      </c>
      <c r="I99" s="38" t="n">
        <v>19</v>
      </c>
      <c r="J99" s="38" t="n">
        <v>0</v>
      </c>
      <c r="K99" s="38" t="n">
        <v>-120</v>
      </c>
      <c r="L99" s="38" t="n">
        <v>45</v>
      </c>
      <c r="M99" s="38" t="n">
        <v>0</v>
      </c>
      <c r="N99" s="38" t="n">
        <v>-12</v>
      </c>
      <c r="O99" s="38" t="inlineStr">
        <is>
          <t>C3</t>
        </is>
      </c>
      <c r="P99" s="38" t="n">
        <v>18</v>
      </c>
      <c r="Q99" s="38" t="n">
        <v>36</v>
      </c>
      <c r="R99" s="38" t="inlineStr">
        <is>
          <t>NO</t>
        </is>
      </c>
      <c r="S99" s="38" t="inlineStr">
        <is>
          <t>NO</t>
        </is>
      </c>
      <c r="T99" s="38" t="inlineStr">
        <is>
          <t>NO</t>
        </is>
      </c>
      <c r="U99" s="38" t="n">
        <v>64</v>
      </c>
      <c r="V99" s="38" t="n">
        <v>58</v>
      </c>
      <c r="W99" s="38" t="n">
        <v>64</v>
      </c>
      <c r="X99" s="38" t="n">
        <v>58</v>
      </c>
      <c r="Y99" s="36" t="inlineStr">
        <is>
          <t>4,64 - 6,5</t>
        </is>
      </c>
      <c r="Z99" s="38" t="inlineStr">
        <is>
          <t>Polyrex</t>
        </is>
      </c>
      <c r="AA99" s="45" t="inlineStr">
        <is>
          <t>…………..</t>
        </is>
      </c>
      <c r="AB99" s="45" t="inlineStr">
        <is>
          <t>…………..</t>
        </is>
      </c>
      <c r="AC99" s="44" t="inlineStr">
        <is>
          <t>……………</t>
        </is>
      </c>
      <c r="AD99" s="57" t="inlineStr">
        <is>
          <t>………</t>
        </is>
      </c>
    </row>
    <row r="100" ht="12.75" customHeight="1" s="123">
      <c r="A100" s="85" t="n">
        <v>98</v>
      </c>
      <c r="B100" s="30" t="inlineStr">
        <is>
          <t>6209-2RSTK-C3</t>
        </is>
      </c>
      <c r="C100" s="38" t="n">
        <v>19</v>
      </c>
      <c r="D100" s="38" t="n">
        <v>-5</v>
      </c>
      <c r="E100" s="38" t="n">
        <v>-100</v>
      </c>
      <c r="F100" s="38" t="n">
        <v>85</v>
      </c>
      <c r="G100" s="38" t="n">
        <v>-5</v>
      </c>
      <c r="H100" s="38" t="n">
        <v>-12</v>
      </c>
      <c r="I100" s="38" t="n">
        <v>19</v>
      </c>
      <c r="J100" s="38" t="n">
        <v>-5</v>
      </c>
      <c r="K100" s="38" t="n">
        <v>-100</v>
      </c>
      <c r="L100" s="38" t="n">
        <v>45</v>
      </c>
      <c r="M100" s="38" t="n">
        <v>25</v>
      </c>
      <c r="N100" s="38" t="n">
        <v>0</v>
      </c>
      <c r="O100" s="38" t="inlineStr">
        <is>
          <t>C3</t>
        </is>
      </c>
      <c r="P100" s="38" t="n">
        <v>18</v>
      </c>
      <c r="Q100" s="38" t="n">
        <v>36</v>
      </c>
      <c r="R100" s="38" t="inlineStr">
        <is>
          <t>NO</t>
        </is>
      </c>
      <c r="S100" s="38" t="inlineStr">
        <is>
          <t>NO</t>
        </is>
      </c>
      <c r="T100" s="38" t="inlineStr">
        <is>
          <t>NO</t>
        </is>
      </c>
      <c r="U100" s="38" t="inlineStr">
        <is>
          <t>NO</t>
        </is>
      </c>
      <c r="V100" s="38" t="inlineStr">
        <is>
          <t>NO</t>
        </is>
      </c>
      <c r="W100" s="38" t="inlineStr">
        <is>
          <t>NO</t>
        </is>
      </c>
      <c r="X100" s="38" t="inlineStr">
        <is>
          <t>NO</t>
        </is>
      </c>
      <c r="Y100" s="36" t="inlineStr">
        <is>
          <t>75±5</t>
        </is>
      </c>
      <c r="Z100" s="38" t="inlineStr">
        <is>
          <t>Polyrex</t>
        </is>
      </c>
      <c r="AA100" s="45" t="inlineStr">
        <is>
          <t>…………..</t>
        </is>
      </c>
      <c r="AB100" s="45" t="inlineStr">
        <is>
          <t>…………..</t>
        </is>
      </c>
      <c r="AC100" s="44" t="inlineStr">
        <is>
          <t>……………</t>
        </is>
      </c>
      <c r="AD100" s="57" t="inlineStr">
        <is>
          <t>………</t>
        </is>
      </c>
    </row>
    <row r="101" ht="12.75" customHeight="1" s="123">
      <c r="A101" s="85" t="n">
        <v>99</v>
      </c>
      <c r="B101" s="30" t="inlineStr">
        <is>
          <t>6212-2RS</t>
        </is>
      </c>
      <c r="C101" s="38" t="n">
        <v>22</v>
      </c>
      <c r="D101" s="38" t="n">
        <v>0</v>
      </c>
      <c r="E101" s="38" t="n">
        <v>-150</v>
      </c>
      <c r="F101" s="38" t="n">
        <v>110</v>
      </c>
      <c r="G101" s="38" t="n">
        <v>0</v>
      </c>
      <c r="H101" s="38" t="n">
        <v>-15</v>
      </c>
      <c r="I101" s="38" t="n">
        <v>22</v>
      </c>
      <c r="J101" s="38" t="n">
        <v>0</v>
      </c>
      <c r="K101" s="38" t="n">
        <v>-150</v>
      </c>
      <c r="L101" s="38" t="n">
        <v>60</v>
      </c>
      <c r="M101" s="38" t="n">
        <v>0</v>
      </c>
      <c r="N101" s="38" t="n">
        <v>-15</v>
      </c>
      <c r="O101" s="38" t="inlineStr">
        <is>
          <t>C3</t>
        </is>
      </c>
      <c r="P101" s="38" t="n">
        <v>43</v>
      </c>
      <c r="Q101" s="38" t="n">
        <v>23</v>
      </c>
      <c r="R101" s="38" t="inlineStr">
        <is>
          <t>NO</t>
        </is>
      </c>
      <c r="S101" s="38" t="inlineStr">
        <is>
          <t>NO</t>
        </is>
      </c>
      <c r="T101" s="38" t="inlineStr">
        <is>
          <t>NO</t>
        </is>
      </c>
      <c r="U101" s="38" t="n">
        <v>64</v>
      </c>
      <c r="V101" s="38" t="n">
        <v>58</v>
      </c>
      <c r="W101" s="38" t="n">
        <v>64</v>
      </c>
      <c r="X101" s="38" t="n">
        <v>58</v>
      </c>
      <c r="Y101" s="38" t="inlineStr">
        <is>
          <t>25 - 35%</t>
        </is>
      </c>
      <c r="Z101" s="38" t="inlineStr">
        <is>
          <t>Polyrex</t>
        </is>
      </c>
      <c r="AA101" s="45" t="inlineStr">
        <is>
          <t>38cNm / 0,38Nm</t>
        </is>
      </c>
      <c r="AB101" s="45" t="inlineStr">
        <is>
          <t>30cNm / 0,30Nm</t>
        </is>
      </c>
      <c r="AC101" s="44" t="n">
        <v>42613</v>
      </c>
      <c r="AD101" s="57" t="n">
        <v>0</v>
      </c>
    </row>
    <row r="102" ht="12.75" customHeight="1" s="123">
      <c r="A102" s="85" t="n">
        <v>100</v>
      </c>
      <c r="B102" s="30" t="inlineStr">
        <is>
          <t>62201-RS</t>
        </is>
      </c>
      <c r="C102" s="38" t="n">
        <v>14</v>
      </c>
      <c r="D102" s="38" t="n">
        <v>0</v>
      </c>
      <c r="E102" s="38" t="n">
        <v>-120</v>
      </c>
      <c r="F102" s="38" t="n">
        <v>32</v>
      </c>
      <c r="G102" s="38" t="n">
        <v>0</v>
      </c>
      <c r="H102" s="38" t="n">
        <v>-11</v>
      </c>
      <c r="I102" s="38" t="n">
        <v>14</v>
      </c>
      <c r="J102" s="38" t="n">
        <v>0</v>
      </c>
      <c r="K102" s="38" t="n">
        <v>-120</v>
      </c>
      <c r="L102" s="38" t="n">
        <v>12</v>
      </c>
      <c r="M102" s="38" t="n">
        <v>0</v>
      </c>
      <c r="N102" s="38" t="n">
        <v>-8</v>
      </c>
      <c r="O102" s="38" t="inlineStr">
        <is>
          <t>C3</t>
        </is>
      </c>
      <c r="P102" s="38" t="n">
        <v>25</v>
      </c>
      <c r="Q102" s="38" t="n">
        <v>11</v>
      </c>
      <c r="R102" s="38" t="inlineStr">
        <is>
          <t>NO</t>
        </is>
      </c>
      <c r="S102" s="38" t="inlineStr">
        <is>
          <t>NO</t>
        </is>
      </c>
      <c r="T102" s="38" t="inlineStr">
        <is>
          <t>NO</t>
        </is>
      </c>
      <c r="U102" s="38" t="n">
        <v>64</v>
      </c>
      <c r="V102" s="38" t="n">
        <v>58</v>
      </c>
      <c r="W102" s="38" t="n">
        <v>64</v>
      </c>
      <c r="X102" s="38" t="n">
        <v>58</v>
      </c>
      <c r="Y102" s="36" t="inlineStr">
        <is>
          <t>NO</t>
        </is>
      </c>
      <c r="Z102" s="38" t="inlineStr">
        <is>
          <t>Polyrex</t>
        </is>
      </c>
      <c r="AA102" s="45" t="inlineStr">
        <is>
          <t>NO</t>
        </is>
      </c>
      <c r="AB102" s="45" t="inlineStr">
        <is>
          <t>NO</t>
        </is>
      </c>
      <c r="AC102" s="44" t="inlineStr">
        <is>
          <t>……………</t>
        </is>
      </c>
      <c r="AD102" s="57" t="inlineStr">
        <is>
          <t>………</t>
        </is>
      </c>
    </row>
    <row r="103" ht="12.75" customHeight="1" s="123">
      <c r="A103" s="85" t="n">
        <v>101</v>
      </c>
      <c r="B103" s="30" t="inlineStr">
        <is>
          <t>62205-2RS</t>
        </is>
      </c>
      <c r="C103" s="38" t="n">
        <v>18</v>
      </c>
      <c r="D103" s="38" t="n">
        <v>0</v>
      </c>
      <c r="E103" s="38" t="n">
        <v>-120</v>
      </c>
      <c r="F103" s="38" t="n">
        <v>52</v>
      </c>
      <c r="G103" s="38" t="n">
        <v>0</v>
      </c>
      <c r="H103" s="38" t="n">
        <v>-13</v>
      </c>
      <c r="I103" s="38" t="n">
        <v>18</v>
      </c>
      <c r="J103" s="38" t="n">
        <v>0</v>
      </c>
      <c r="K103" s="38" t="n">
        <v>-120</v>
      </c>
      <c r="L103" s="38" t="n">
        <v>25</v>
      </c>
      <c r="M103" s="38" t="n">
        <v>0</v>
      </c>
      <c r="N103" s="38" t="n">
        <v>-10</v>
      </c>
      <c r="O103" s="38" t="inlineStr">
        <is>
          <t>C0</t>
        </is>
      </c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38" t="n"/>
      <c r="Y103" s="36" t="n"/>
      <c r="Z103" s="38" t="n"/>
      <c r="AA103" s="45" t="inlineStr">
        <is>
          <t>…………..</t>
        </is>
      </c>
      <c r="AB103" s="45" t="inlineStr">
        <is>
          <t>…………..</t>
        </is>
      </c>
      <c r="AC103" s="44" t="inlineStr">
        <is>
          <t>……………</t>
        </is>
      </c>
      <c r="AD103" s="57" t="inlineStr">
        <is>
          <t>………</t>
        </is>
      </c>
    </row>
    <row r="104" ht="12.75" customHeight="1" s="123">
      <c r="A104" s="85" t="n">
        <v>102</v>
      </c>
      <c r="B104" s="30" t="inlineStr">
        <is>
          <t>62206-2RS</t>
        </is>
      </c>
      <c r="C104" s="38" t="n">
        <v>20</v>
      </c>
      <c r="D104" s="38" t="n">
        <v>0</v>
      </c>
      <c r="E104" s="38" t="n">
        <v>-120</v>
      </c>
      <c r="F104" s="38" t="n">
        <v>62</v>
      </c>
      <c r="G104" s="38" t="n">
        <v>0</v>
      </c>
      <c r="H104" s="38" t="n">
        <v>-13</v>
      </c>
      <c r="I104" s="38" t="n">
        <v>20</v>
      </c>
      <c r="J104" s="38" t="n">
        <v>0</v>
      </c>
      <c r="K104" s="38" t="n">
        <v>-120</v>
      </c>
      <c r="L104" s="38" t="n">
        <v>30</v>
      </c>
      <c r="M104" s="38" t="n">
        <v>0</v>
      </c>
      <c r="N104" s="38" t="n">
        <v>-10</v>
      </c>
      <c r="O104" s="38" t="inlineStr">
        <is>
          <t>C0</t>
        </is>
      </c>
      <c r="P104" s="38" t="n"/>
      <c r="Q104" s="38" t="n"/>
      <c r="R104" s="38" t="n"/>
      <c r="S104" s="38" t="n"/>
      <c r="T104" s="38" t="n"/>
      <c r="U104" s="38" t="n"/>
      <c r="V104" s="38" t="n"/>
      <c r="W104" s="38" t="n"/>
      <c r="X104" s="38" t="n"/>
      <c r="Y104" s="36" t="n"/>
      <c r="Z104" s="38" t="n"/>
      <c r="AA104" s="45" t="inlineStr">
        <is>
          <t>…………..</t>
        </is>
      </c>
      <c r="AB104" s="45" t="inlineStr">
        <is>
          <t>…………..</t>
        </is>
      </c>
      <c r="AC104" s="44" t="inlineStr">
        <is>
          <t>……………</t>
        </is>
      </c>
      <c r="AD104" s="57" t="inlineStr">
        <is>
          <t>………</t>
        </is>
      </c>
    </row>
    <row r="105" ht="12.75" customHeight="1" s="123">
      <c r="A105" s="85" t="n">
        <v>103</v>
      </c>
      <c r="B105" s="30" t="inlineStr">
        <is>
          <t>62207-2RS</t>
        </is>
      </c>
      <c r="C105" s="38" t="n">
        <v>23</v>
      </c>
      <c r="D105" s="38" t="n">
        <v>0</v>
      </c>
      <c r="E105" s="38" t="n">
        <v>-120</v>
      </c>
      <c r="F105" s="38" t="n">
        <v>72</v>
      </c>
      <c r="G105" s="38" t="n">
        <v>0</v>
      </c>
      <c r="H105" s="38" t="n">
        <v>-13</v>
      </c>
      <c r="I105" s="38" t="n">
        <v>23</v>
      </c>
      <c r="J105" s="38" t="n">
        <v>0</v>
      </c>
      <c r="K105" s="38" t="n">
        <v>-120</v>
      </c>
      <c r="L105" s="38" t="n">
        <v>35</v>
      </c>
      <c r="M105" s="38" t="n">
        <v>0</v>
      </c>
      <c r="N105" s="38" t="n">
        <v>-12</v>
      </c>
      <c r="O105" s="38" t="inlineStr">
        <is>
          <t>C0</t>
        </is>
      </c>
      <c r="P105" s="38" t="n"/>
      <c r="Q105" s="38" t="n"/>
      <c r="R105" s="38" t="n"/>
      <c r="S105" s="38" t="n"/>
      <c r="T105" s="38" t="n"/>
      <c r="U105" s="38" t="n"/>
      <c r="V105" s="38" t="n"/>
      <c r="W105" s="38" t="n"/>
      <c r="X105" s="38" t="n"/>
      <c r="Y105" s="36" t="n"/>
      <c r="Z105" s="38" t="n"/>
      <c r="AA105" s="45" t="inlineStr">
        <is>
          <t>…………..</t>
        </is>
      </c>
      <c r="AB105" s="45" t="inlineStr">
        <is>
          <t>…………..</t>
        </is>
      </c>
      <c r="AC105" s="44" t="inlineStr">
        <is>
          <t>……………</t>
        </is>
      </c>
      <c r="AD105" s="57" t="inlineStr">
        <is>
          <t>………</t>
        </is>
      </c>
    </row>
    <row r="106" ht="12.75" customHeight="1" s="123">
      <c r="A106" s="85" t="n">
        <v>104</v>
      </c>
      <c r="B106" s="30" t="inlineStr">
        <is>
          <t>62208-2RS</t>
        </is>
      </c>
      <c r="C106" s="38" t="n">
        <v>23</v>
      </c>
      <c r="D106" s="38" t="n">
        <v>0</v>
      </c>
      <c r="E106" s="38" t="n">
        <v>-120</v>
      </c>
      <c r="F106" s="38" t="n">
        <v>80</v>
      </c>
      <c r="G106" s="38" t="n">
        <v>0</v>
      </c>
      <c r="H106" s="38" t="n">
        <v>-13</v>
      </c>
      <c r="I106" s="38" t="n">
        <v>23</v>
      </c>
      <c r="J106" s="38" t="n">
        <v>0</v>
      </c>
      <c r="K106" s="38" t="n">
        <v>-120</v>
      </c>
      <c r="L106" s="38" t="n">
        <v>40</v>
      </c>
      <c r="M106" s="38" t="n">
        <v>0</v>
      </c>
      <c r="N106" s="38" t="n">
        <v>-12</v>
      </c>
      <c r="O106" s="38" t="inlineStr">
        <is>
          <t>C0</t>
        </is>
      </c>
      <c r="P106" s="38" t="n"/>
      <c r="Q106" s="38" t="n"/>
      <c r="R106" s="38" t="n"/>
      <c r="S106" s="38" t="n"/>
      <c r="T106" s="38" t="n"/>
      <c r="U106" s="38" t="n"/>
      <c r="V106" s="38" t="n"/>
      <c r="W106" s="38" t="n"/>
      <c r="X106" s="38" t="n"/>
      <c r="Y106" s="36" t="n"/>
      <c r="Z106" s="38" t="n"/>
      <c r="AA106" s="45" t="inlineStr">
        <is>
          <t>…………..</t>
        </is>
      </c>
      <c r="AB106" s="45" t="inlineStr">
        <is>
          <t>…………..</t>
        </is>
      </c>
      <c r="AC106" s="44" t="inlineStr">
        <is>
          <t>……………</t>
        </is>
      </c>
      <c r="AD106" s="57" t="inlineStr">
        <is>
          <t>………</t>
        </is>
      </c>
    </row>
    <row r="107" ht="12.75" customHeight="1" s="123">
      <c r="A107" s="85" t="n">
        <v>105</v>
      </c>
      <c r="B107" s="30" t="inlineStr">
        <is>
          <t>62309-2RLD-C3</t>
        </is>
      </c>
      <c r="C107" s="38" t="n">
        <v>36</v>
      </c>
      <c r="D107" s="38" t="n">
        <v>0</v>
      </c>
      <c r="E107" s="38" t="n">
        <v>-120</v>
      </c>
      <c r="F107" s="38" t="n">
        <v>100</v>
      </c>
      <c r="G107" s="38" t="n">
        <v>0</v>
      </c>
      <c r="H107" s="38" t="n">
        <v>-15</v>
      </c>
      <c r="I107" s="38" t="n">
        <v>36</v>
      </c>
      <c r="J107" s="38" t="n">
        <v>0</v>
      </c>
      <c r="K107" s="38" t="n">
        <v>-120</v>
      </c>
      <c r="L107" s="38" t="n">
        <v>45</v>
      </c>
      <c r="M107" s="38" t="n">
        <v>0</v>
      </c>
      <c r="N107" s="38" t="n">
        <v>-12</v>
      </c>
      <c r="O107" s="38" t="inlineStr">
        <is>
          <t>C3</t>
        </is>
      </c>
      <c r="P107" s="38" t="n"/>
      <c r="Q107" s="38" t="n"/>
      <c r="R107" s="38" t="n"/>
      <c r="S107" s="38" t="n"/>
      <c r="T107" s="38" t="n"/>
      <c r="U107" s="38" t="n"/>
      <c r="V107" s="38" t="n"/>
      <c r="W107" s="38" t="n"/>
      <c r="X107" s="38" t="n"/>
      <c r="Y107" s="36" t="n"/>
      <c r="Z107" s="38" t="n"/>
      <c r="AA107" s="45" t="inlineStr">
        <is>
          <t>…………..</t>
        </is>
      </c>
      <c r="AB107" s="45" t="inlineStr">
        <is>
          <t>…………..</t>
        </is>
      </c>
      <c r="AC107" s="44" t="inlineStr">
        <is>
          <t>……………</t>
        </is>
      </c>
      <c r="AD107" s="57" t="inlineStr">
        <is>
          <t>………</t>
        </is>
      </c>
    </row>
    <row r="108" ht="12.75" customHeight="1" s="123">
      <c r="A108" s="85" t="n">
        <v>106</v>
      </c>
      <c r="B108" s="27" t="inlineStr">
        <is>
          <t>627-ZZ</t>
        </is>
      </c>
      <c r="C108" s="38" t="n">
        <v>7</v>
      </c>
      <c r="D108" s="38" t="n">
        <v>0</v>
      </c>
      <c r="E108" s="38" t="n">
        <v>-120</v>
      </c>
      <c r="F108" s="38" t="n">
        <v>22</v>
      </c>
      <c r="G108" s="38" t="n">
        <v>0</v>
      </c>
      <c r="H108" s="38" t="n">
        <v>-9</v>
      </c>
      <c r="I108" s="38" t="n">
        <v>7</v>
      </c>
      <c r="J108" s="38" t="n">
        <v>0</v>
      </c>
      <c r="K108" s="38" t="n">
        <v>-120</v>
      </c>
      <c r="L108" s="38" t="n">
        <v>7</v>
      </c>
      <c r="M108" s="38" t="n">
        <v>0</v>
      </c>
      <c r="N108" s="38" t="n">
        <v>-8</v>
      </c>
      <c r="O108" s="38" t="inlineStr">
        <is>
          <t>C3</t>
        </is>
      </c>
      <c r="P108" s="38" t="n">
        <v>23</v>
      </c>
      <c r="Q108" s="38" t="n">
        <v>8</v>
      </c>
      <c r="R108" s="38" t="inlineStr">
        <is>
          <t>NO</t>
        </is>
      </c>
      <c r="S108" s="38" t="inlineStr">
        <is>
          <t>NO</t>
        </is>
      </c>
      <c r="T108" s="38" t="inlineStr">
        <is>
          <t>NO</t>
        </is>
      </c>
      <c r="U108" s="38" t="n">
        <v>64</v>
      </c>
      <c r="V108" s="38" t="n">
        <v>58</v>
      </c>
      <c r="W108" s="38" t="n">
        <v>64</v>
      </c>
      <c r="X108" s="38" t="n">
        <v>58</v>
      </c>
      <c r="Y108" s="36" t="inlineStr">
        <is>
          <t>25-30%</t>
        </is>
      </c>
      <c r="Z108" s="38" t="inlineStr">
        <is>
          <t>Polyrex</t>
        </is>
      </c>
      <c r="AA108" s="45" t="inlineStr">
        <is>
          <t>No</t>
        </is>
      </c>
      <c r="AB108" s="45" t="inlineStr">
        <is>
          <t>No</t>
        </is>
      </c>
      <c r="AC108" s="44" t="inlineStr">
        <is>
          <t>……………</t>
        </is>
      </c>
      <c r="AD108" s="57" t="inlineStr">
        <is>
          <t>………</t>
        </is>
      </c>
    </row>
    <row r="109" ht="12.75" customHeight="1" s="123">
      <c r="A109" s="85" t="n">
        <v>107</v>
      </c>
      <c r="B109" s="30" t="inlineStr">
        <is>
          <t>628-ZZ</t>
        </is>
      </c>
      <c r="C109" s="38" t="n">
        <v>8</v>
      </c>
      <c r="D109" s="38" t="n">
        <v>0</v>
      </c>
      <c r="E109" s="38" t="n">
        <v>-120</v>
      </c>
      <c r="F109" s="38" t="n">
        <v>24</v>
      </c>
      <c r="G109" s="38" t="n">
        <v>0</v>
      </c>
      <c r="H109" s="38" t="n">
        <v>-8</v>
      </c>
      <c r="I109" s="38" t="n">
        <v>8</v>
      </c>
      <c r="J109" s="38" t="n">
        <v>0</v>
      </c>
      <c r="K109" s="38" t="n">
        <v>-120</v>
      </c>
      <c r="L109" s="38" t="n">
        <v>8</v>
      </c>
      <c r="M109" s="38" t="n">
        <v>0</v>
      </c>
      <c r="N109" s="38" t="n">
        <v>-8</v>
      </c>
      <c r="O109" s="38" t="inlineStr">
        <is>
          <t>C3</t>
        </is>
      </c>
      <c r="P109" s="38" t="n">
        <v>25</v>
      </c>
      <c r="Q109" s="38" t="n">
        <v>11</v>
      </c>
      <c r="R109" s="38" t="inlineStr">
        <is>
          <t>NO</t>
        </is>
      </c>
      <c r="S109" s="38" t="inlineStr">
        <is>
          <t>NO</t>
        </is>
      </c>
      <c r="T109" s="38" t="inlineStr">
        <is>
          <t>NO</t>
        </is>
      </c>
      <c r="U109" s="38" t="n">
        <v>64</v>
      </c>
      <c r="V109" s="38" t="n">
        <v>58</v>
      </c>
      <c r="W109" s="38" t="n">
        <v>64</v>
      </c>
      <c r="X109" s="38" t="n">
        <v>58</v>
      </c>
      <c r="Y109" s="38" t="n"/>
      <c r="Z109" s="38" t="n"/>
      <c r="AA109" s="45" t="n"/>
      <c r="AB109" s="38" t="n"/>
      <c r="AC109" s="44" t="n">
        <v>39890</v>
      </c>
      <c r="AD109" s="57" t="n">
        <v>0</v>
      </c>
    </row>
    <row r="110" ht="12.75" customHeight="1" s="123">
      <c r="A110" s="85" t="n">
        <v>108</v>
      </c>
      <c r="B110" s="31" t="inlineStr">
        <is>
          <t>B&amp;P-041-629-2RLD-YS</t>
        </is>
      </c>
      <c r="C110" s="40" t="n">
        <v>8</v>
      </c>
      <c r="D110" s="40" t="n">
        <v>0</v>
      </c>
      <c r="E110" s="40" t="n">
        <v>-120</v>
      </c>
      <c r="F110" s="40" t="n">
        <v>26</v>
      </c>
      <c r="G110" s="40" t="n">
        <v>0</v>
      </c>
      <c r="H110" s="40" t="n">
        <v>-9</v>
      </c>
      <c r="I110" s="40" t="n">
        <v>8</v>
      </c>
      <c r="J110" s="40" t="n">
        <v>0</v>
      </c>
      <c r="K110" s="40" t="n">
        <v>-120</v>
      </c>
      <c r="L110" s="40" t="n">
        <v>9</v>
      </c>
      <c r="M110" s="40" t="n">
        <v>0</v>
      </c>
      <c r="N110" s="40" t="n">
        <v>-8</v>
      </c>
      <c r="O110" s="50" t="inlineStr">
        <is>
          <t>C3</t>
        </is>
      </c>
      <c r="P110" s="38" t="n">
        <v>23</v>
      </c>
      <c r="Q110" s="38" t="n">
        <v>8</v>
      </c>
      <c r="R110" s="40" t="inlineStr">
        <is>
          <t>NO</t>
        </is>
      </c>
      <c r="S110" s="38" t="inlineStr">
        <is>
          <t>NO</t>
        </is>
      </c>
      <c r="T110" s="38" t="inlineStr">
        <is>
          <t>NO</t>
        </is>
      </c>
      <c r="U110" s="38" t="inlineStr">
        <is>
          <t>64HRC</t>
        </is>
      </c>
      <c r="V110" s="38" t="inlineStr">
        <is>
          <t>58HRC</t>
        </is>
      </c>
      <c r="W110" s="38" t="inlineStr">
        <is>
          <t>64HRC</t>
        </is>
      </c>
      <c r="X110" s="38" t="inlineStr">
        <is>
          <t>58HRC</t>
        </is>
      </c>
      <c r="Y110" s="36" t="inlineStr">
        <is>
          <t>25-35%</t>
        </is>
      </c>
      <c r="Z110" s="38" t="inlineStr">
        <is>
          <t>Polyrex</t>
        </is>
      </c>
      <c r="AA110" s="45" t="inlineStr">
        <is>
          <t>standard</t>
        </is>
      </c>
      <c r="AB110" s="45" t="inlineStr">
        <is>
          <t>standard</t>
        </is>
      </c>
      <c r="AC110" s="44" t="n">
        <v>45415</v>
      </c>
      <c r="AD110" s="57" t="inlineStr">
        <is>
          <t>A</t>
        </is>
      </c>
    </row>
    <row r="111" ht="12.75" customHeight="1" s="123">
      <c r="A111" s="85" t="n">
        <v>109</v>
      </c>
      <c r="B111" s="27" t="inlineStr">
        <is>
          <t>63002-2RS</t>
        </is>
      </c>
      <c r="C111" s="38" t="n">
        <v>13</v>
      </c>
      <c r="D111" s="38" t="n">
        <v>0</v>
      </c>
      <c r="E111" s="38" t="n">
        <v>-120</v>
      </c>
      <c r="F111" s="38" t="n">
        <v>32</v>
      </c>
      <c r="G111" s="38" t="n">
        <v>0</v>
      </c>
      <c r="H111" s="38" t="n">
        <v>-11</v>
      </c>
      <c r="I111" s="38" t="n">
        <v>13</v>
      </c>
      <c r="J111" s="38" t="n">
        <v>0</v>
      </c>
      <c r="K111" s="38" t="n">
        <v>-120</v>
      </c>
      <c r="L111" s="38" t="n">
        <v>15</v>
      </c>
      <c r="M111" s="38" t="n">
        <v>0</v>
      </c>
      <c r="N111" s="38" t="n">
        <v>-8</v>
      </c>
      <c r="O111" s="50" t="inlineStr">
        <is>
          <t>C3</t>
        </is>
      </c>
      <c r="P111" s="50" t="n">
        <v>11</v>
      </c>
      <c r="Q111" s="50" t="n">
        <v>25</v>
      </c>
      <c r="R111" s="38" t="inlineStr">
        <is>
          <t>NO</t>
        </is>
      </c>
      <c r="S111" s="38" t="inlineStr">
        <is>
          <t>NO</t>
        </is>
      </c>
      <c r="T111" s="38" t="inlineStr">
        <is>
          <t>NO</t>
        </is>
      </c>
      <c r="U111" s="38" t="n">
        <v>64</v>
      </c>
      <c r="V111" s="38" t="n">
        <v>58</v>
      </c>
      <c r="W111" s="38" t="n">
        <v>64</v>
      </c>
      <c r="X111" s="38" t="n">
        <v>58</v>
      </c>
      <c r="Y111" s="38" t="inlineStr">
        <is>
          <t>NO</t>
        </is>
      </c>
      <c r="Z111" s="38" t="inlineStr">
        <is>
          <t>NO</t>
        </is>
      </c>
      <c r="AA111" s="45" t="inlineStr">
        <is>
          <t>…………..</t>
        </is>
      </c>
      <c r="AB111" s="45" t="inlineStr">
        <is>
          <t>…………..</t>
        </is>
      </c>
      <c r="AC111" s="44" t="inlineStr">
        <is>
          <t>SD</t>
        </is>
      </c>
      <c r="AD111" s="57" t="inlineStr">
        <is>
          <t>SD</t>
        </is>
      </c>
    </row>
    <row r="112" ht="12.75" customHeight="1" s="123">
      <c r="A112" s="85" t="n">
        <v>110</v>
      </c>
      <c r="B112" s="27" t="inlineStr">
        <is>
          <t>6303-2RLD-C3</t>
        </is>
      </c>
      <c r="C112" s="38" t="n">
        <v>14</v>
      </c>
      <c r="D112" s="38" t="n">
        <v>0</v>
      </c>
      <c r="E112" s="38" t="n">
        <v>-120</v>
      </c>
      <c r="F112" s="38" t="n">
        <v>47</v>
      </c>
      <c r="G112" s="38" t="n">
        <v>0</v>
      </c>
      <c r="H112" s="38" t="n">
        <v>-11</v>
      </c>
      <c r="I112" s="38" t="n">
        <v>14</v>
      </c>
      <c r="J112" s="38" t="n">
        <v>0</v>
      </c>
      <c r="K112" s="38" t="n">
        <v>-120</v>
      </c>
      <c r="L112" s="38" t="n">
        <v>17</v>
      </c>
      <c r="M112" s="38" t="n">
        <v>0</v>
      </c>
      <c r="N112" s="38" t="n">
        <v>-80</v>
      </c>
      <c r="O112" s="38" t="inlineStr">
        <is>
          <t>C3</t>
        </is>
      </c>
      <c r="P112" s="38" t="n">
        <v>11</v>
      </c>
      <c r="Q112" s="38" t="n">
        <v>25</v>
      </c>
      <c r="R112" s="38" t="n"/>
      <c r="S112" s="38" t="n"/>
      <c r="T112" s="38" t="n"/>
      <c r="U112" s="38" t="inlineStr">
        <is>
          <t>58 HRC</t>
        </is>
      </c>
      <c r="V112" s="38" t="inlineStr">
        <is>
          <t>65 HRC</t>
        </is>
      </c>
      <c r="W112" s="38" t="inlineStr">
        <is>
          <t>58 HRC</t>
        </is>
      </c>
      <c r="X112" s="38" t="inlineStr">
        <is>
          <t>65 HRC</t>
        </is>
      </c>
      <c r="Y112" s="36" t="n"/>
      <c r="Z112" s="38" t="n"/>
      <c r="AA112" s="45" t="inlineStr">
        <is>
          <t>…………..</t>
        </is>
      </c>
      <c r="AB112" s="45" t="inlineStr">
        <is>
          <t>…………..</t>
        </is>
      </c>
      <c r="AC112" s="44" t="inlineStr">
        <is>
          <t>……………</t>
        </is>
      </c>
      <c r="AD112" s="57" t="inlineStr">
        <is>
          <t>………</t>
        </is>
      </c>
    </row>
    <row r="113" ht="12.75" customHeight="1" s="123">
      <c r="A113" s="85" t="n">
        <v>111</v>
      </c>
      <c r="B113" s="27" t="inlineStr">
        <is>
          <t>6303-2RST-C3</t>
        </is>
      </c>
      <c r="C113" s="38" t="n">
        <v>14</v>
      </c>
      <c r="D113" s="38" t="n">
        <v>0</v>
      </c>
      <c r="E113" s="38" t="n">
        <v>-120</v>
      </c>
      <c r="F113" s="38" t="n">
        <v>47</v>
      </c>
      <c r="G113" s="38" t="n">
        <v>0</v>
      </c>
      <c r="H113" s="38" t="n">
        <v>-11</v>
      </c>
      <c r="I113" s="38" t="n">
        <v>14</v>
      </c>
      <c r="J113" s="38" t="n">
        <v>0</v>
      </c>
      <c r="K113" s="38" t="n">
        <v>-120</v>
      </c>
      <c r="L113" s="38" t="n">
        <v>17</v>
      </c>
      <c r="M113" s="38" t="n">
        <v>0</v>
      </c>
      <c r="N113" s="38" t="n">
        <v>-80</v>
      </c>
      <c r="O113" s="38" t="inlineStr">
        <is>
          <t>C3</t>
        </is>
      </c>
      <c r="P113" s="38" t="n">
        <v>11</v>
      </c>
      <c r="Q113" s="38" t="n">
        <v>25</v>
      </c>
      <c r="R113" s="38" t="n"/>
      <c r="S113" s="38" t="n"/>
      <c r="T113" s="38" t="n"/>
      <c r="U113" s="38" t="inlineStr">
        <is>
          <t>58 HRC</t>
        </is>
      </c>
      <c r="V113" s="38" t="inlineStr">
        <is>
          <t>65 HRC</t>
        </is>
      </c>
      <c r="W113" s="38" t="inlineStr">
        <is>
          <t>58 HRC</t>
        </is>
      </c>
      <c r="X113" s="38" t="inlineStr">
        <is>
          <t>65 HRC</t>
        </is>
      </c>
      <c r="Y113" s="36" t="n"/>
      <c r="Z113" s="38" t="n"/>
      <c r="AA113" s="45" t="inlineStr">
        <is>
          <t>…………..</t>
        </is>
      </c>
      <c r="AB113" s="45" t="inlineStr">
        <is>
          <t>…………..</t>
        </is>
      </c>
      <c r="AC113" s="44" t="inlineStr">
        <is>
          <t>……………</t>
        </is>
      </c>
      <c r="AD113" s="57" t="inlineStr">
        <is>
          <t>………</t>
        </is>
      </c>
    </row>
    <row r="114" ht="12.75" customHeight="1" s="123">
      <c r="A114" s="85" t="n">
        <v>112</v>
      </c>
      <c r="B114" s="30" t="inlineStr">
        <is>
          <t>6305-2RST</t>
        </is>
      </c>
      <c r="C114" s="38" t="n">
        <v>17</v>
      </c>
      <c r="D114" s="38" t="n">
        <v>0</v>
      </c>
      <c r="E114" s="38" t="n">
        <v>-120</v>
      </c>
      <c r="F114" s="38" t="n">
        <v>62</v>
      </c>
      <c r="G114" s="38" t="n">
        <v>0</v>
      </c>
      <c r="H114" s="38" t="n">
        <v>-13</v>
      </c>
      <c r="I114" s="38" t="n">
        <v>17</v>
      </c>
      <c r="J114" s="38" t="n">
        <v>0</v>
      </c>
      <c r="K114" s="38" t="n">
        <v>-120</v>
      </c>
      <c r="L114" s="38" t="n">
        <v>25</v>
      </c>
      <c r="M114" s="38" t="n">
        <v>0</v>
      </c>
      <c r="N114" s="38" t="n">
        <v>-10</v>
      </c>
      <c r="O114" s="38" t="inlineStr">
        <is>
          <t>C3</t>
        </is>
      </c>
      <c r="P114" s="38" t="n">
        <v>28</v>
      </c>
      <c r="Q114" s="38" t="n">
        <v>13</v>
      </c>
      <c r="R114" s="38" t="inlineStr">
        <is>
          <t>NO</t>
        </is>
      </c>
      <c r="S114" s="38" t="inlineStr">
        <is>
          <t>NO</t>
        </is>
      </c>
      <c r="T114" s="38" t="inlineStr">
        <is>
          <t>NO</t>
        </is>
      </c>
      <c r="U114" s="38" t="n">
        <v>64</v>
      </c>
      <c r="V114" s="38" t="n">
        <v>58</v>
      </c>
      <c r="W114" s="38" t="n">
        <v>64</v>
      </c>
      <c r="X114" s="38" t="n">
        <v>58</v>
      </c>
      <c r="Y114" s="38" t="inlineStr">
        <is>
          <t>…….</t>
        </is>
      </c>
      <c r="Z114" s="38" t="inlineStr">
        <is>
          <t>Polyrex</t>
        </is>
      </c>
      <c r="AA114" s="45" t="inlineStr">
        <is>
          <t>………</t>
        </is>
      </c>
      <c r="AB114" s="38" t="inlineStr">
        <is>
          <t>……</t>
        </is>
      </c>
      <c r="AC114" s="44" t="inlineStr">
        <is>
          <t>……………</t>
        </is>
      </c>
      <c r="AD114" s="57" t="inlineStr">
        <is>
          <t>………</t>
        </is>
      </c>
    </row>
    <row r="115" ht="12.75" customHeight="1" s="123">
      <c r="A115" s="85" t="n">
        <v>113</v>
      </c>
      <c r="B115" s="30" t="inlineStr">
        <is>
          <t>6306-2RLD</t>
        </is>
      </c>
      <c r="C115" s="38" t="n">
        <v>19</v>
      </c>
      <c r="D115" s="38" t="n">
        <v>0</v>
      </c>
      <c r="E115" s="38" t="n">
        <v>-120</v>
      </c>
      <c r="F115" s="38" t="n">
        <v>72</v>
      </c>
      <c r="G115" s="38" t="n">
        <v>0</v>
      </c>
      <c r="H115" s="38" t="n">
        <v>-13</v>
      </c>
      <c r="I115" s="38" t="n">
        <v>19</v>
      </c>
      <c r="J115" s="38" t="n">
        <v>0</v>
      </c>
      <c r="K115" s="38" t="n">
        <v>-120</v>
      </c>
      <c r="L115" s="38" t="n">
        <v>30</v>
      </c>
      <c r="M115" s="38" t="n">
        <v>0</v>
      </c>
      <c r="N115" s="38" t="n">
        <v>-10</v>
      </c>
      <c r="O115" s="38" t="inlineStr">
        <is>
          <t>C3</t>
        </is>
      </c>
      <c r="P115" s="38" t="n">
        <v>28</v>
      </c>
      <c r="Q115" s="38" t="n">
        <v>13</v>
      </c>
      <c r="R115" s="38" t="inlineStr">
        <is>
          <t>NO</t>
        </is>
      </c>
      <c r="S115" s="38" t="inlineStr">
        <is>
          <t>NO</t>
        </is>
      </c>
      <c r="T115" s="38" t="inlineStr">
        <is>
          <t>NO</t>
        </is>
      </c>
      <c r="U115" s="38" t="n">
        <v>64</v>
      </c>
      <c r="V115" s="38" t="n">
        <v>58</v>
      </c>
      <c r="W115" s="38" t="n">
        <v>64</v>
      </c>
      <c r="X115" s="38" t="n">
        <v>58</v>
      </c>
      <c r="Y115" s="38" t="inlineStr">
        <is>
          <t>3,5-5</t>
        </is>
      </c>
      <c r="Z115" s="38" t="inlineStr">
        <is>
          <t>Polyrex</t>
        </is>
      </c>
      <c r="AA115" s="45" t="inlineStr">
        <is>
          <t>5cNm / 0,05Nm</t>
        </is>
      </c>
      <c r="AB115" s="45" t="inlineStr">
        <is>
          <t>2,5cNm / 0,025Nm</t>
        </is>
      </c>
      <c r="AC115" s="44" t="inlineStr">
        <is>
          <t>……………</t>
        </is>
      </c>
      <c r="AD115" s="57" t="inlineStr">
        <is>
          <t>………</t>
        </is>
      </c>
    </row>
    <row r="116" ht="12.75" customHeight="1" s="123">
      <c r="A116" s="85" t="n">
        <v>114</v>
      </c>
      <c r="B116" s="30" t="inlineStr">
        <is>
          <t>6306-2RS</t>
        </is>
      </c>
      <c r="C116" s="38" t="n">
        <v>19</v>
      </c>
      <c r="D116" s="38" t="n">
        <v>0</v>
      </c>
      <c r="E116" s="38" t="n">
        <v>-120</v>
      </c>
      <c r="F116" s="38" t="n">
        <v>72</v>
      </c>
      <c r="G116" s="38" t="n">
        <v>0</v>
      </c>
      <c r="H116" s="38" t="n">
        <v>-13</v>
      </c>
      <c r="I116" s="38" t="n">
        <v>19</v>
      </c>
      <c r="J116" s="38" t="n">
        <v>0</v>
      </c>
      <c r="K116" s="38" t="n">
        <v>-120</v>
      </c>
      <c r="L116" s="38" t="n">
        <v>30</v>
      </c>
      <c r="M116" s="38" t="n">
        <v>0</v>
      </c>
      <c r="N116" s="38" t="n">
        <v>-10</v>
      </c>
      <c r="O116" s="38" t="inlineStr">
        <is>
          <t>C3</t>
        </is>
      </c>
      <c r="P116" s="38" t="n">
        <v>28</v>
      </c>
      <c r="Q116" s="38" t="n">
        <v>13</v>
      </c>
      <c r="R116" s="38" t="inlineStr">
        <is>
          <t>NO</t>
        </is>
      </c>
      <c r="S116" s="38" t="inlineStr">
        <is>
          <t>NO</t>
        </is>
      </c>
      <c r="T116" s="38" t="inlineStr">
        <is>
          <t>NO</t>
        </is>
      </c>
      <c r="U116" s="38" t="n">
        <v>64</v>
      </c>
      <c r="V116" s="38" t="n">
        <v>58</v>
      </c>
      <c r="W116" s="38" t="n">
        <v>64</v>
      </c>
      <c r="X116" s="38" t="n">
        <v>58</v>
      </c>
      <c r="Y116" s="38" t="inlineStr">
        <is>
          <t>3,5-5</t>
        </is>
      </c>
      <c r="Z116" s="38" t="inlineStr">
        <is>
          <t>Polyrex</t>
        </is>
      </c>
      <c r="AA116" s="45" t="inlineStr">
        <is>
          <t>5cNm / 0,05Nm</t>
        </is>
      </c>
      <c r="AB116" s="45" t="inlineStr">
        <is>
          <t>2,5cNm / 0,025Nm</t>
        </is>
      </c>
      <c r="AC116" s="44" t="inlineStr">
        <is>
          <t>SD</t>
        </is>
      </c>
      <c r="AD116" s="57" t="inlineStr">
        <is>
          <t>SD</t>
        </is>
      </c>
    </row>
    <row r="117" ht="12.75" customHeight="1" s="123">
      <c r="A117" s="85" t="n">
        <v>115</v>
      </c>
      <c r="B117" s="30" t="inlineStr">
        <is>
          <t>6307-2RS</t>
        </is>
      </c>
      <c r="C117" s="38" t="n">
        <v>21</v>
      </c>
      <c r="D117" s="38" t="n">
        <v>0</v>
      </c>
      <c r="E117" s="38" t="n">
        <v>-120</v>
      </c>
      <c r="F117" s="38" t="n">
        <v>80</v>
      </c>
      <c r="G117" s="38" t="n">
        <v>0</v>
      </c>
      <c r="H117" s="38" t="n">
        <v>-13</v>
      </c>
      <c r="I117" s="38" t="n">
        <v>21</v>
      </c>
      <c r="J117" s="38" t="n">
        <v>0</v>
      </c>
      <c r="K117" s="38" t="n">
        <v>-120</v>
      </c>
      <c r="L117" s="38" t="n">
        <v>35</v>
      </c>
      <c r="M117" s="38" t="n">
        <v>0</v>
      </c>
      <c r="N117" s="38" t="n">
        <v>-12</v>
      </c>
      <c r="O117" s="38" t="inlineStr">
        <is>
          <t>C3</t>
        </is>
      </c>
      <c r="P117" s="38" t="n">
        <v>33</v>
      </c>
      <c r="Q117" s="38" t="n">
        <v>15</v>
      </c>
      <c r="R117" s="38" t="inlineStr">
        <is>
          <t>NO</t>
        </is>
      </c>
      <c r="S117" s="38" t="inlineStr">
        <is>
          <t>NO</t>
        </is>
      </c>
      <c r="T117" s="38" t="inlineStr">
        <is>
          <t>NO</t>
        </is>
      </c>
      <c r="U117" s="38" t="n">
        <v>64</v>
      </c>
      <c r="V117" s="38" t="n">
        <v>58</v>
      </c>
      <c r="W117" s="38" t="n">
        <v>64</v>
      </c>
      <c r="X117" s="38" t="n">
        <v>58</v>
      </c>
      <c r="Y117" s="36" t="inlineStr">
        <is>
          <t>25%-35%</t>
        </is>
      </c>
      <c r="Z117" s="38" t="inlineStr">
        <is>
          <t>Polyrex</t>
        </is>
      </c>
      <c r="AA117" s="45" t="inlineStr">
        <is>
          <t>NO</t>
        </is>
      </c>
      <c r="AB117" s="45" t="inlineStr">
        <is>
          <t>NO</t>
        </is>
      </c>
      <c r="AC117" s="44" t="n">
        <v>42914</v>
      </c>
      <c r="AD117" s="57" t="n">
        <v>0</v>
      </c>
    </row>
    <row r="118" ht="12.75" customHeight="1" s="123">
      <c r="A118" s="85" t="n">
        <v>116</v>
      </c>
      <c r="B118" s="27" t="inlineStr">
        <is>
          <t>6307-2RST</t>
        </is>
      </c>
      <c r="C118" s="38" t="n">
        <v>21</v>
      </c>
      <c r="D118" s="38" t="n">
        <v>0</v>
      </c>
      <c r="E118" s="38" t="n">
        <v>-120</v>
      </c>
      <c r="F118" s="38" t="n">
        <v>80</v>
      </c>
      <c r="G118" s="38" t="n">
        <v>0</v>
      </c>
      <c r="H118" s="38" t="n">
        <v>-13</v>
      </c>
      <c r="I118" s="38" t="n">
        <v>21</v>
      </c>
      <c r="J118" s="38" t="n">
        <v>0</v>
      </c>
      <c r="K118" s="38" t="n">
        <v>-120</v>
      </c>
      <c r="L118" s="38" t="n">
        <v>35</v>
      </c>
      <c r="M118" s="38" t="n">
        <v>0</v>
      </c>
      <c r="N118" s="38" t="n">
        <v>-12</v>
      </c>
      <c r="O118" s="38" t="inlineStr">
        <is>
          <t>C0</t>
        </is>
      </c>
      <c r="P118" s="38" t="n">
        <v>6</v>
      </c>
      <c r="Q118" s="38" t="n">
        <v>20</v>
      </c>
      <c r="R118" s="38" t="n"/>
      <c r="S118" s="38" t="n"/>
      <c r="T118" s="38" t="n"/>
      <c r="U118" s="38" t="inlineStr">
        <is>
          <t>58 HRC</t>
        </is>
      </c>
      <c r="V118" s="38" t="inlineStr">
        <is>
          <t>65 HRC</t>
        </is>
      </c>
      <c r="W118" s="38" t="inlineStr">
        <is>
          <t>58 HRC</t>
        </is>
      </c>
      <c r="X118" s="38" t="inlineStr">
        <is>
          <t>65 HRC</t>
        </is>
      </c>
      <c r="Y118" s="36" t="n"/>
      <c r="Z118" s="38" t="n"/>
      <c r="AA118" s="45" t="inlineStr">
        <is>
          <t>…………..</t>
        </is>
      </c>
      <c r="AB118" s="45" t="inlineStr">
        <is>
          <t>…………..</t>
        </is>
      </c>
      <c r="AC118" s="44" t="inlineStr">
        <is>
          <t>……………</t>
        </is>
      </c>
      <c r="AD118" s="57" t="inlineStr">
        <is>
          <t>………</t>
        </is>
      </c>
    </row>
    <row r="119" ht="12.75" customHeight="1" s="123">
      <c r="A119" s="85" t="n">
        <v>117</v>
      </c>
      <c r="B119" s="27" t="inlineStr">
        <is>
          <t>6307-2RST</t>
        </is>
      </c>
      <c r="C119" s="38" t="n">
        <v>21</v>
      </c>
      <c r="D119" s="38" t="n">
        <v>0</v>
      </c>
      <c r="E119" s="38" t="n">
        <v>-120</v>
      </c>
      <c r="F119" s="38" t="n">
        <v>80</v>
      </c>
      <c r="G119" s="38" t="n">
        <v>0</v>
      </c>
      <c r="H119" s="38" t="n">
        <v>-13</v>
      </c>
      <c r="I119" s="38" t="n">
        <v>21</v>
      </c>
      <c r="J119" s="38" t="n">
        <v>0</v>
      </c>
      <c r="K119" s="38" t="n">
        <v>-120</v>
      </c>
      <c r="L119" s="38" t="n">
        <v>35</v>
      </c>
      <c r="M119" s="38" t="n">
        <v>0</v>
      </c>
      <c r="N119" s="38" t="n">
        <v>-12</v>
      </c>
      <c r="O119" s="38" t="inlineStr">
        <is>
          <t>C3</t>
        </is>
      </c>
      <c r="P119" s="38" t="n">
        <v>15</v>
      </c>
      <c r="Q119" s="38" t="n">
        <v>33</v>
      </c>
      <c r="R119" s="38" t="n"/>
      <c r="S119" s="38" t="n"/>
      <c r="T119" s="38" t="n"/>
      <c r="U119" s="38" t="inlineStr">
        <is>
          <t>58HRC</t>
        </is>
      </c>
      <c r="V119" s="38" t="inlineStr">
        <is>
          <t>62HRC</t>
        </is>
      </c>
      <c r="W119" s="38" t="inlineStr">
        <is>
          <t>56HRC</t>
        </is>
      </c>
      <c r="X119" s="38" t="inlineStr">
        <is>
          <t>62HRC</t>
        </is>
      </c>
      <c r="Y119" s="36" t="inlineStr">
        <is>
          <t>75±5</t>
        </is>
      </c>
      <c r="Z119" s="38" t="inlineStr">
        <is>
          <t>Polyrex</t>
        </is>
      </c>
      <c r="AA119" s="45" t="inlineStr">
        <is>
          <t>…………..</t>
        </is>
      </c>
      <c r="AB119" s="45" t="inlineStr">
        <is>
          <t>…………..</t>
        </is>
      </c>
      <c r="AC119" s="44" t="inlineStr">
        <is>
          <t>……………</t>
        </is>
      </c>
      <c r="AD119" s="57" t="inlineStr">
        <is>
          <t>………</t>
        </is>
      </c>
    </row>
    <row r="120" ht="12.75" customHeight="1" s="123">
      <c r="A120" s="85" t="n">
        <v>118</v>
      </c>
      <c r="B120" s="30" t="inlineStr">
        <is>
          <t>6308-2RLD</t>
        </is>
      </c>
      <c r="C120" s="38" t="n">
        <v>23</v>
      </c>
      <c r="D120" s="38" t="n">
        <v>0</v>
      </c>
      <c r="E120" s="38" t="n">
        <v>-120</v>
      </c>
      <c r="F120" s="38" t="n">
        <v>90</v>
      </c>
      <c r="G120" s="38" t="n">
        <v>0</v>
      </c>
      <c r="H120" s="38" t="n">
        <v>-15</v>
      </c>
      <c r="I120" s="38" t="n">
        <v>23</v>
      </c>
      <c r="J120" s="38" t="n">
        <v>0</v>
      </c>
      <c r="K120" s="38" t="n">
        <v>-120</v>
      </c>
      <c r="L120" s="38" t="n">
        <v>40</v>
      </c>
      <c r="M120" s="38" t="n">
        <v>0</v>
      </c>
      <c r="N120" s="38" t="n">
        <v>-12</v>
      </c>
      <c r="O120" s="38" t="inlineStr">
        <is>
          <t>C3</t>
        </is>
      </c>
      <c r="P120" s="38" t="n">
        <v>33</v>
      </c>
      <c r="Q120" s="38" t="n">
        <v>15</v>
      </c>
      <c r="R120" s="38" t="inlineStr">
        <is>
          <t>NO</t>
        </is>
      </c>
      <c r="S120" s="38" t="inlineStr">
        <is>
          <t>NO</t>
        </is>
      </c>
      <c r="T120" s="38" t="inlineStr">
        <is>
          <t>NO</t>
        </is>
      </c>
      <c r="U120" s="38" t="n">
        <v>64</v>
      </c>
      <c r="V120" s="38" t="n">
        <v>58</v>
      </c>
      <c r="W120" s="38" t="n">
        <v>64</v>
      </c>
      <c r="X120" s="38" t="n">
        <v>58</v>
      </c>
      <c r="Y120" s="36" t="inlineStr">
        <is>
          <t>25%-35%</t>
        </is>
      </c>
      <c r="Z120" s="38" t="inlineStr">
        <is>
          <t>Polyrex</t>
        </is>
      </c>
      <c r="AA120" s="45" t="inlineStr">
        <is>
          <t>NO</t>
        </is>
      </c>
      <c r="AB120" s="45" t="inlineStr">
        <is>
          <t>NO</t>
        </is>
      </c>
      <c r="AC120" s="44" t="n">
        <v>42913</v>
      </c>
      <c r="AD120" s="57" t="n">
        <v>0</v>
      </c>
    </row>
    <row r="121" ht="12.75" customHeight="1" s="123">
      <c r="A121" s="85" t="n">
        <v>119</v>
      </c>
      <c r="B121" s="30" t="inlineStr">
        <is>
          <t>6308-2RST</t>
        </is>
      </c>
      <c r="C121" s="38" t="n">
        <v>23</v>
      </c>
      <c r="D121" s="38" t="n">
        <v>0</v>
      </c>
      <c r="E121" s="38" t="n">
        <v>-120</v>
      </c>
      <c r="F121" s="38" t="n">
        <v>90</v>
      </c>
      <c r="G121" s="38" t="n">
        <v>0</v>
      </c>
      <c r="H121" s="38" t="n">
        <v>-15</v>
      </c>
      <c r="I121" s="38" t="n">
        <v>23</v>
      </c>
      <c r="J121" s="38" t="n">
        <v>0</v>
      </c>
      <c r="K121" s="38" t="n">
        <v>-120</v>
      </c>
      <c r="L121" s="38" t="n">
        <v>40</v>
      </c>
      <c r="M121" s="38" t="n">
        <v>0</v>
      </c>
      <c r="N121" s="38" t="n">
        <v>-12</v>
      </c>
      <c r="O121" s="38" t="inlineStr">
        <is>
          <t>C3</t>
        </is>
      </c>
      <c r="P121" s="38" t="n">
        <v>15</v>
      </c>
      <c r="Q121" s="38" t="n">
        <v>33</v>
      </c>
      <c r="R121" s="38" t="n"/>
      <c r="S121" s="38" t="n"/>
      <c r="T121" s="38" t="n"/>
      <c r="U121" s="38" t="inlineStr">
        <is>
          <t>64HRc</t>
        </is>
      </c>
      <c r="V121" s="38" t="inlineStr">
        <is>
          <t>58HRc</t>
        </is>
      </c>
      <c r="W121" s="38" t="inlineStr">
        <is>
          <t>64HRc</t>
        </is>
      </c>
      <c r="X121" s="38" t="inlineStr">
        <is>
          <t>58HRc</t>
        </is>
      </c>
      <c r="Y121" s="36" t="inlineStr">
        <is>
          <t>75±5</t>
        </is>
      </c>
      <c r="Z121" s="38" t="inlineStr">
        <is>
          <t>Polyrex</t>
        </is>
      </c>
      <c r="AA121" s="45" t="inlineStr">
        <is>
          <t>…………..</t>
        </is>
      </c>
      <c r="AB121" s="45" t="inlineStr">
        <is>
          <t>…………..</t>
        </is>
      </c>
      <c r="AC121" s="44" t="n">
        <v>42656</v>
      </c>
      <c r="AD121" s="57" t="n">
        <v>0</v>
      </c>
    </row>
    <row r="122" ht="12.75" customHeight="1" s="123">
      <c r="A122" s="85" t="n">
        <v>120</v>
      </c>
      <c r="B122" s="30" t="inlineStr">
        <is>
          <t>6312-2RS</t>
        </is>
      </c>
      <c r="C122" s="38" t="n">
        <v>31</v>
      </c>
      <c r="D122" s="38" t="n">
        <v>0</v>
      </c>
      <c r="E122" s="38" t="n">
        <v>-150</v>
      </c>
      <c r="F122" s="38" t="n">
        <v>130</v>
      </c>
      <c r="G122" s="38" t="n">
        <v>0</v>
      </c>
      <c r="H122" s="38" t="n">
        <v>-18</v>
      </c>
      <c r="I122" s="38" t="n">
        <v>31</v>
      </c>
      <c r="J122" s="38" t="n">
        <v>0</v>
      </c>
      <c r="K122" s="38" t="n">
        <v>-150</v>
      </c>
      <c r="L122" s="38" t="n">
        <v>60</v>
      </c>
      <c r="M122" s="38" t="n">
        <v>0</v>
      </c>
      <c r="N122" s="38" t="n">
        <v>-15</v>
      </c>
      <c r="O122" s="38" t="inlineStr">
        <is>
          <t>C0</t>
        </is>
      </c>
      <c r="P122" s="38" t="n">
        <v>8</v>
      </c>
      <c r="Q122" s="38" t="n">
        <v>28</v>
      </c>
      <c r="R122" s="38" t="n"/>
      <c r="S122" s="38" t="n"/>
      <c r="T122" s="38" t="n"/>
      <c r="U122" s="38" t="n"/>
      <c r="V122" s="38" t="n"/>
      <c r="W122" s="38" t="n"/>
      <c r="X122" s="38" t="n"/>
      <c r="Y122" s="36" t="n"/>
      <c r="Z122" s="38" t="n"/>
      <c r="AA122" s="45" t="inlineStr">
        <is>
          <t>…………..</t>
        </is>
      </c>
      <c r="AB122" s="45" t="inlineStr">
        <is>
          <t>…………..</t>
        </is>
      </c>
      <c r="AC122" s="44" t="inlineStr">
        <is>
          <t>……………</t>
        </is>
      </c>
      <c r="AD122" s="57" t="inlineStr">
        <is>
          <t>………</t>
        </is>
      </c>
    </row>
    <row r="123" ht="12.75" customHeight="1" s="123">
      <c r="A123" s="85" t="n">
        <v>121</v>
      </c>
      <c r="B123" s="30" t="inlineStr">
        <is>
          <t xml:space="preserve">6805-2RLD </t>
        </is>
      </c>
      <c r="C123" s="38" t="n">
        <v>7</v>
      </c>
      <c r="D123" s="38" t="n">
        <v>0</v>
      </c>
      <c r="E123" s="38" t="n">
        <v>-120</v>
      </c>
      <c r="F123" s="38" t="n">
        <v>37</v>
      </c>
      <c r="G123" s="38" t="n">
        <v>0</v>
      </c>
      <c r="H123" s="38" t="n">
        <v>-11</v>
      </c>
      <c r="I123" s="38" t="n">
        <v>7</v>
      </c>
      <c r="J123" s="38" t="n">
        <v>0</v>
      </c>
      <c r="K123" s="38" t="n">
        <v>-120</v>
      </c>
      <c r="L123" s="38" t="n">
        <v>25</v>
      </c>
      <c r="M123" s="38" t="n">
        <v>0</v>
      </c>
      <c r="N123" s="38" t="n">
        <v>-10</v>
      </c>
      <c r="O123" s="38" t="inlineStr">
        <is>
          <t>C3</t>
        </is>
      </c>
      <c r="P123" s="38" t="n">
        <v>13</v>
      </c>
      <c r="Q123" s="38" t="n">
        <v>28</v>
      </c>
      <c r="R123" s="38" t="n"/>
      <c r="S123" s="38" t="n"/>
      <c r="T123" s="38" t="n"/>
      <c r="U123" s="38" t="n"/>
      <c r="V123" s="38" t="n"/>
      <c r="W123" s="38" t="n"/>
      <c r="X123" s="38" t="n"/>
      <c r="Y123" s="36" t="n"/>
      <c r="Z123" s="38" t="n"/>
      <c r="AA123" s="45" t="inlineStr">
        <is>
          <t>…………..</t>
        </is>
      </c>
      <c r="AB123" s="45" t="inlineStr">
        <is>
          <t>…………..</t>
        </is>
      </c>
      <c r="AC123" s="44" t="inlineStr">
        <is>
          <t>……………</t>
        </is>
      </c>
      <c r="AD123" s="57" t="inlineStr">
        <is>
          <t>………</t>
        </is>
      </c>
    </row>
    <row r="124" ht="12.75" customHeight="1" s="123">
      <c r="A124" s="85" t="n">
        <v>122</v>
      </c>
      <c r="B124" s="30" t="inlineStr">
        <is>
          <t>6900-2RS</t>
        </is>
      </c>
      <c r="C124" s="38" t="n">
        <v>6</v>
      </c>
      <c r="D124" s="38" t="n">
        <v>0</v>
      </c>
      <c r="E124" s="38" t="n">
        <v>-120</v>
      </c>
      <c r="F124" s="38" t="n">
        <v>22</v>
      </c>
      <c r="G124" s="38" t="n">
        <v>0</v>
      </c>
      <c r="H124" s="38" t="n">
        <v>-9</v>
      </c>
      <c r="I124" s="38" t="n">
        <v>6</v>
      </c>
      <c r="J124" s="38" t="n">
        <v>0</v>
      </c>
      <c r="K124" s="38" t="n">
        <v>-120</v>
      </c>
      <c r="L124" s="38" t="n">
        <v>10</v>
      </c>
      <c r="M124" s="38" t="n">
        <v>0</v>
      </c>
      <c r="N124" s="38" t="n">
        <v>-10</v>
      </c>
      <c r="O124" s="38" t="inlineStr">
        <is>
          <t>C3</t>
        </is>
      </c>
      <c r="P124" s="38" t="n">
        <v>8</v>
      </c>
      <c r="Q124" s="38" t="n">
        <v>23</v>
      </c>
      <c r="R124" s="38" t="n"/>
      <c r="S124" s="38" t="n"/>
      <c r="T124" s="38" t="n"/>
      <c r="U124" s="38" t="inlineStr">
        <is>
          <t>58HRc</t>
        </is>
      </c>
      <c r="V124" s="38" t="inlineStr">
        <is>
          <t>62HRc</t>
        </is>
      </c>
      <c r="W124" s="38" t="inlineStr">
        <is>
          <t>58HRc</t>
        </is>
      </c>
      <c r="X124" s="38" t="inlineStr">
        <is>
          <t>62HRc</t>
        </is>
      </c>
      <c r="Y124" s="36" t="n"/>
      <c r="Z124" s="38" t="n"/>
      <c r="AA124" s="45" t="inlineStr">
        <is>
          <t>…………..</t>
        </is>
      </c>
      <c r="AB124" s="45" t="inlineStr">
        <is>
          <t>…………..</t>
        </is>
      </c>
      <c r="AC124" s="44" t="inlineStr">
        <is>
          <t>……………</t>
        </is>
      </c>
      <c r="AD124" s="57" t="inlineStr">
        <is>
          <t>………</t>
        </is>
      </c>
    </row>
    <row r="125" ht="12.75" customHeight="1" s="123">
      <c r="A125" s="85" t="n">
        <v>123</v>
      </c>
      <c r="B125" s="30" t="inlineStr">
        <is>
          <t>6904-2RLD-C3</t>
        </is>
      </c>
      <c r="C125" s="38" t="n">
        <v>9</v>
      </c>
      <c r="D125" s="38" t="n">
        <v>0</v>
      </c>
      <c r="E125" s="38" t="n">
        <v>-120</v>
      </c>
      <c r="F125" s="38" t="n">
        <v>37</v>
      </c>
      <c r="G125" s="38" t="n">
        <v>0</v>
      </c>
      <c r="H125" s="38" t="n">
        <v>-11</v>
      </c>
      <c r="I125" s="38" t="n">
        <v>9</v>
      </c>
      <c r="J125" s="38" t="n">
        <v>0</v>
      </c>
      <c r="K125" s="38" t="n">
        <v>-120</v>
      </c>
      <c r="L125" s="38" t="n">
        <v>20</v>
      </c>
      <c r="M125" s="38" t="n">
        <v>0</v>
      </c>
      <c r="N125" s="38" t="n">
        <v>-10</v>
      </c>
      <c r="O125" s="38" t="inlineStr">
        <is>
          <t>C3</t>
        </is>
      </c>
      <c r="P125" s="38" t="n">
        <v>13</v>
      </c>
      <c r="Q125" s="38" t="n">
        <v>28</v>
      </c>
      <c r="R125" s="38" t="inlineStr">
        <is>
          <t>NO</t>
        </is>
      </c>
      <c r="S125" s="38" t="inlineStr">
        <is>
          <t>NO</t>
        </is>
      </c>
      <c r="T125" s="38" t="inlineStr">
        <is>
          <t>NO</t>
        </is>
      </c>
      <c r="U125" s="38" t="inlineStr">
        <is>
          <t>NO</t>
        </is>
      </c>
      <c r="V125" s="38" t="inlineStr">
        <is>
          <t>NO</t>
        </is>
      </c>
      <c r="W125" s="38" t="inlineStr">
        <is>
          <t>NO</t>
        </is>
      </c>
      <c r="X125" s="38" t="inlineStr">
        <is>
          <t>NO</t>
        </is>
      </c>
      <c r="Y125" s="36" t="inlineStr">
        <is>
          <t>,,,,,,,,,,,,,,,,</t>
        </is>
      </c>
      <c r="Z125" s="38" t="inlineStr">
        <is>
          <t>,,,,,,,,,,,,,,,</t>
        </is>
      </c>
      <c r="AA125" s="45" t="inlineStr">
        <is>
          <t>…………..</t>
        </is>
      </c>
      <c r="AB125" s="45" t="inlineStr">
        <is>
          <t>…………..</t>
        </is>
      </c>
      <c r="AC125" s="44" t="inlineStr">
        <is>
          <t>……………</t>
        </is>
      </c>
      <c r="AD125" s="57" t="inlineStr">
        <is>
          <t>………</t>
        </is>
      </c>
    </row>
    <row r="126" ht="12.75" customHeight="1" s="123">
      <c r="A126" s="85" t="n">
        <v>124</v>
      </c>
      <c r="B126" s="30" t="inlineStr">
        <is>
          <t>6905-2HLCDC3</t>
        </is>
      </c>
      <c r="C126" s="38" t="n">
        <v>9</v>
      </c>
      <c r="D126" s="38" t="n">
        <v>0</v>
      </c>
      <c r="E126" s="38" t="n">
        <v>-120</v>
      </c>
      <c r="F126" s="38" t="n">
        <v>42</v>
      </c>
      <c r="G126" s="38" t="n">
        <v>0</v>
      </c>
      <c r="H126" s="38" t="n">
        <v>-11</v>
      </c>
      <c r="I126" s="38" t="n">
        <v>9</v>
      </c>
      <c r="J126" s="38" t="n">
        <v>0</v>
      </c>
      <c r="K126" s="38" t="n">
        <v>-120</v>
      </c>
      <c r="L126" s="38" t="n">
        <v>25</v>
      </c>
      <c r="M126" s="38" t="n">
        <v>0</v>
      </c>
      <c r="N126" s="38" t="n">
        <v>-10</v>
      </c>
      <c r="O126" s="38" t="inlineStr">
        <is>
          <t>C3</t>
        </is>
      </c>
      <c r="P126" s="38" t="n">
        <v>13</v>
      </c>
      <c r="Q126" s="38" t="n">
        <v>28</v>
      </c>
      <c r="R126" s="38" t="n"/>
      <c r="S126" s="38" t="n"/>
      <c r="T126" s="38" t="n"/>
      <c r="U126" s="38" t="n"/>
      <c r="V126" s="38" t="n"/>
      <c r="W126" s="38" t="n"/>
      <c r="X126" s="38" t="n"/>
      <c r="Y126" s="36" t="inlineStr">
        <is>
          <t>25 - 35 %</t>
        </is>
      </c>
      <c r="Z126" s="38" t="inlineStr">
        <is>
          <t>Polyrex</t>
        </is>
      </c>
      <c r="AA126" s="45" t="n">
        <v>0.03</v>
      </c>
      <c r="AB126" s="45" t="n">
        <v>0.005</v>
      </c>
      <c r="AC126" s="44" t="n">
        <v>41920</v>
      </c>
      <c r="AD126" s="57" t="inlineStr">
        <is>
          <t>E</t>
        </is>
      </c>
    </row>
    <row r="127" ht="12.75" customHeight="1" s="123">
      <c r="A127" s="85" t="n">
        <v>125</v>
      </c>
      <c r="B127" s="30" t="inlineStr">
        <is>
          <t>6905-2HLCDC3-A21</t>
        </is>
      </c>
      <c r="C127" s="38" t="n">
        <v>9</v>
      </c>
      <c r="D127" s="38" t="n">
        <v>0</v>
      </c>
      <c r="E127" s="38" t="n">
        <v>-120</v>
      </c>
      <c r="F127" s="38" t="n">
        <v>42</v>
      </c>
      <c r="G127" s="38" t="n">
        <v>0</v>
      </c>
      <c r="H127" s="38" t="n">
        <v>-11</v>
      </c>
      <c r="I127" s="38" t="n">
        <v>9</v>
      </c>
      <c r="J127" s="38" t="n">
        <v>0</v>
      </c>
      <c r="K127" s="38" t="n">
        <v>-120</v>
      </c>
      <c r="L127" s="38" t="n">
        <v>25</v>
      </c>
      <c r="M127" s="38" t="n">
        <v>0</v>
      </c>
      <c r="N127" s="38" t="n">
        <v>-10</v>
      </c>
      <c r="O127" s="38" t="inlineStr">
        <is>
          <t>C3</t>
        </is>
      </c>
      <c r="P127" s="38" t="n">
        <v>13</v>
      </c>
      <c r="Q127" s="38" t="n">
        <v>28</v>
      </c>
      <c r="R127" s="38" t="n"/>
      <c r="S127" s="38" t="n"/>
      <c r="T127" s="38" t="n"/>
      <c r="U127" s="38" t="n"/>
      <c r="V127" s="38" t="n"/>
      <c r="W127" s="38" t="n"/>
      <c r="X127" s="38" t="n"/>
      <c r="Y127" s="36" t="n"/>
      <c r="Z127" s="38" t="n"/>
      <c r="AA127" s="45" t="inlineStr">
        <is>
          <t>…………..</t>
        </is>
      </c>
      <c r="AB127" s="45" t="inlineStr">
        <is>
          <t>…………..</t>
        </is>
      </c>
      <c r="AC127" s="44" t="inlineStr">
        <is>
          <t>……………</t>
        </is>
      </c>
      <c r="AD127" s="57" t="inlineStr">
        <is>
          <t>………</t>
        </is>
      </c>
    </row>
    <row r="128" ht="12.75" customHeight="1" s="123">
      <c r="A128" s="85" t="n">
        <v>126</v>
      </c>
      <c r="B128" s="30" t="inlineStr">
        <is>
          <t>6905-2RLD</t>
        </is>
      </c>
      <c r="C128" s="38" t="n">
        <v>9</v>
      </c>
      <c r="D128" s="38" t="n">
        <v>0</v>
      </c>
      <c r="E128" s="38" t="n">
        <v>-120</v>
      </c>
      <c r="F128" s="38" t="n">
        <v>42</v>
      </c>
      <c r="G128" s="38" t="n">
        <v>0</v>
      </c>
      <c r="H128" s="38" t="n">
        <v>-11</v>
      </c>
      <c r="I128" s="38" t="n">
        <v>9</v>
      </c>
      <c r="J128" s="38" t="n">
        <v>0</v>
      </c>
      <c r="K128" s="38" t="n">
        <v>-120</v>
      </c>
      <c r="L128" s="38" t="n">
        <v>25</v>
      </c>
      <c r="M128" s="38" t="n">
        <v>0</v>
      </c>
      <c r="N128" s="38" t="n">
        <v>-10</v>
      </c>
      <c r="O128" s="38" t="inlineStr">
        <is>
          <t>C3</t>
        </is>
      </c>
      <c r="P128" s="38" t="n">
        <v>13</v>
      </c>
      <c r="Q128" s="38" t="n">
        <v>28</v>
      </c>
      <c r="R128" s="38" t="n"/>
      <c r="S128" s="38" t="n"/>
      <c r="T128" s="38" t="n"/>
      <c r="U128" s="38" t="n"/>
      <c r="V128" s="38" t="n"/>
      <c r="W128" s="38" t="n"/>
      <c r="X128" s="38" t="n"/>
      <c r="Y128" s="36" t="n"/>
      <c r="Z128" s="38" t="n"/>
      <c r="AA128" s="45" t="inlineStr">
        <is>
          <t>…………..</t>
        </is>
      </c>
      <c r="AB128" s="45" t="inlineStr">
        <is>
          <t>…………..</t>
        </is>
      </c>
      <c r="AC128" s="44" t="inlineStr">
        <is>
          <t>……………</t>
        </is>
      </c>
      <c r="AD128" s="57" t="inlineStr">
        <is>
          <t>………</t>
        </is>
      </c>
    </row>
    <row r="129" ht="12.75" customHeight="1" s="123">
      <c r="A129" s="85" t="n">
        <v>127</v>
      </c>
      <c r="B129" s="30" t="inlineStr">
        <is>
          <t>7207-B</t>
        </is>
      </c>
      <c r="C129" s="38" t="n">
        <v>17</v>
      </c>
      <c r="D129" s="38" t="n">
        <v>0</v>
      </c>
      <c r="E129" s="38" t="n">
        <v>-120</v>
      </c>
      <c r="F129" s="38" t="n">
        <v>72</v>
      </c>
      <c r="G129" s="38" t="n">
        <v>0</v>
      </c>
      <c r="H129" s="38" t="n">
        <v>-11</v>
      </c>
      <c r="I129" s="38" t="n">
        <v>17</v>
      </c>
      <c r="J129" s="38" t="n">
        <v>0</v>
      </c>
      <c r="K129" s="38" t="n">
        <v>-120</v>
      </c>
      <c r="L129" s="38" t="n">
        <v>35</v>
      </c>
      <c r="M129" s="38" t="n">
        <v>0</v>
      </c>
      <c r="N129" s="38" t="n">
        <v>-10</v>
      </c>
      <c r="O129" s="38" t="inlineStr">
        <is>
          <t>NO</t>
        </is>
      </c>
      <c r="P129" s="38" t="inlineStr">
        <is>
          <t>NO</t>
        </is>
      </c>
      <c r="Q129" s="38" t="inlineStr">
        <is>
          <t>NO</t>
        </is>
      </c>
      <c r="R129" s="38" t="inlineStr">
        <is>
          <t xml:space="preserve">Axial </t>
        </is>
      </c>
      <c r="S129" s="38" t="n">
        <v>26</v>
      </c>
      <c r="T129" s="38" t="n">
        <v>12</v>
      </c>
      <c r="U129" s="38" t="n">
        <v>64</v>
      </c>
      <c r="V129" s="38" t="n">
        <v>58</v>
      </c>
      <c r="W129" s="38" t="n">
        <v>64</v>
      </c>
      <c r="X129" s="38" t="n">
        <v>58</v>
      </c>
      <c r="Y129" s="38" t="inlineStr">
        <is>
          <t>NO</t>
        </is>
      </c>
      <c r="Z129" s="38" t="inlineStr">
        <is>
          <t>NO</t>
        </is>
      </c>
      <c r="AA129" s="45" t="inlineStr">
        <is>
          <t>NO</t>
        </is>
      </c>
      <c r="AB129" s="38" t="inlineStr">
        <is>
          <t>NO</t>
        </is>
      </c>
      <c r="AC129" s="44" t="n">
        <v>42950</v>
      </c>
      <c r="AD129" s="57" t="n">
        <v>0</v>
      </c>
    </row>
    <row r="130" ht="12.75" customHeight="1" s="123">
      <c r="A130" s="85" t="n">
        <v>128</v>
      </c>
      <c r="B130" s="30" t="inlineStr">
        <is>
          <t>7209-B</t>
        </is>
      </c>
      <c r="C130" s="38" t="n">
        <v>19</v>
      </c>
      <c r="D130" s="38" t="n">
        <v>0</v>
      </c>
      <c r="E130" s="38" t="n">
        <v>-120</v>
      </c>
      <c r="F130" s="38" t="n">
        <v>85</v>
      </c>
      <c r="G130" s="38" t="n">
        <v>0</v>
      </c>
      <c r="H130" s="38" t="n">
        <v>-15</v>
      </c>
      <c r="I130" s="38" t="n">
        <v>19</v>
      </c>
      <c r="J130" s="38" t="n">
        <v>0</v>
      </c>
      <c r="K130" s="38" t="n">
        <v>-120</v>
      </c>
      <c r="L130" s="38" t="n">
        <v>45</v>
      </c>
      <c r="M130" s="38" t="n">
        <v>0</v>
      </c>
      <c r="N130" s="38" t="n">
        <v>-12</v>
      </c>
      <c r="O130" s="38" t="inlineStr">
        <is>
          <t>NO</t>
        </is>
      </c>
      <c r="P130" s="38" t="inlineStr">
        <is>
          <t>NO</t>
        </is>
      </c>
      <c r="Q130" s="38" t="inlineStr">
        <is>
          <t>NO</t>
        </is>
      </c>
      <c r="R130" s="38" t="inlineStr">
        <is>
          <t>NO</t>
        </is>
      </c>
      <c r="S130" s="38" t="inlineStr">
        <is>
          <t>NO</t>
        </is>
      </c>
      <c r="T130" s="38" t="inlineStr">
        <is>
          <t>NO</t>
        </is>
      </c>
      <c r="U130" s="38" t="n">
        <v>64</v>
      </c>
      <c r="V130" s="38" t="n">
        <v>58</v>
      </c>
      <c r="W130" s="38" t="n">
        <v>64</v>
      </c>
      <c r="X130" s="38" t="n">
        <v>58</v>
      </c>
      <c r="Y130" s="38" t="inlineStr">
        <is>
          <t>NO</t>
        </is>
      </c>
      <c r="Z130" s="38" t="inlineStr">
        <is>
          <t>NO</t>
        </is>
      </c>
      <c r="AA130" s="45" t="inlineStr">
        <is>
          <t>NO</t>
        </is>
      </c>
      <c r="AB130" s="38" t="inlineStr">
        <is>
          <t>NO</t>
        </is>
      </c>
      <c r="AC130" s="44" t="n">
        <v>42892</v>
      </c>
      <c r="AD130" s="57" t="n">
        <v>0</v>
      </c>
    </row>
    <row r="131" ht="12.75" customHeight="1" s="123">
      <c r="A131" s="85" t="n">
        <v>129</v>
      </c>
      <c r="B131" s="30" t="inlineStr">
        <is>
          <t>88128-R</t>
        </is>
      </c>
      <c r="C131" s="38" t="n">
        <v>21</v>
      </c>
      <c r="D131" s="38" t="n">
        <v>0</v>
      </c>
      <c r="E131" s="38" t="n">
        <v>-120</v>
      </c>
      <c r="F131" s="38" t="n">
        <v>80</v>
      </c>
      <c r="G131" s="38" t="n">
        <v>0</v>
      </c>
      <c r="H131" s="38" t="n">
        <v>-13</v>
      </c>
      <c r="I131" s="38" t="n">
        <v>27.5</v>
      </c>
      <c r="J131" s="38" t="n">
        <v>0</v>
      </c>
      <c r="K131" s="38" t="n">
        <v>-120</v>
      </c>
      <c r="L131" s="38" t="n">
        <v>38.894</v>
      </c>
      <c r="M131" s="38" t="n">
        <v>0</v>
      </c>
      <c r="N131" s="38" t="n">
        <v>-12</v>
      </c>
      <c r="O131" s="50" t="inlineStr">
        <is>
          <t>NO</t>
        </is>
      </c>
      <c r="P131" s="50" t="n">
        <v>20</v>
      </c>
      <c r="Q131" s="50" t="n">
        <v>60</v>
      </c>
      <c r="R131" s="38" t="inlineStr">
        <is>
          <t>NO</t>
        </is>
      </c>
      <c r="S131" s="38" t="inlineStr">
        <is>
          <t>NO</t>
        </is>
      </c>
      <c r="T131" s="38" t="inlineStr">
        <is>
          <t>NO</t>
        </is>
      </c>
      <c r="U131" s="38" t="inlineStr">
        <is>
          <t>NO</t>
        </is>
      </c>
      <c r="V131" s="38" t="inlineStr">
        <is>
          <t>NO</t>
        </is>
      </c>
      <c r="W131" s="38" t="inlineStr">
        <is>
          <t>NO</t>
        </is>
      </c>
      <c r="X131" s="38" t="inlineStr">
        <is>
          <t>NO</t>
        </is>
      </c>
      <c r="Y131" s="36" t="inlineStr">
        <is>
          <t>25 - 35%</t>
        </is>
      </c>
      <c r="Z131" s="38" t="inlineStr">
        <is>
          <t>Polyrex</t>
        </is>
      </c>
      <c r="AA131" s="45" t="inlineStr">
        <is>
          <t>…………..</t>
        </is>
      </c>
      <c r="AB131" s="45" t="inlineStr">
        <is>
          <t>…………..</t>
        </is>
      </c>
      <c r="AC131" s="44" t="inlineStr">
        <is>
          <t>……………</t>
        </is>
      </c>
      <c r="AD131" s="57" t="inlineStr">
        <is>
          <t>………</t>
        </is>
      </c>
    </row>
    <row r="132" ht="12.75" customHeight="1" s="123">
      <c r="A132" s="85" t="n">
        <v>130</v>
      </c>
      <c r="B132" s="30" t="inlineStr">
        <is>
          <t>99502-H</t>
        </is>
      </c>
      <c r="C132" s="38" t="n">
        <v>11</v>
      </c>
      <c r="D132" s="38" t="n">
        <v>0</v>
      </c>
      <c r="E132" s="38" t="n">
        <v>-120</v>
      </c>
      <c r="F132" s="38" t="n">
        <v>34.925</v>
      </c>
      <c r="G132" s="38" t="n">
        <v>0</v>
      </c>
      <c r="H132" s="38" t="n">
        <v>-11</v>
      </c>
      <c r="I132" s="38" t="n">
        <v>11</v>
      </c>
      <c r="J132" s="38" t="n">
        <v>0</v>
      </c>
      <c r="K132" s="38" t="n">
        <v>-120</v>
      </c>
      <c r="L132" s="38" t="n">
        <v>15.875</v>
      </c>
      <c r="M132" s="38" t="n">
        <v>0</v>
      </c>
      <c r="N132" s="38" t="n">
        <v>-8</v>
      </c>
      <c r="O132" s="38" t="inlineStr">
        <is>
          <t>C0</t>
        </is>
      </c>
      <c r="P132" s="38" t="n">
        <v>3</v>
      </c>
      <c r="Q132" s="38" t="n">
        <v>18</v>
      </c>
      <c r="R132" s="38" t="inlineStr">
        <is>
          <t>NO</t>
        </is>
      </c>
      <c r="S132" s="38" t="inlineStr">
        <is>
          <t>NO</t>
        </is>
      </c>
      <c r="T132" s="38" t="inlineStr">
        <is>
          <t>NO</t>
        </is>
      </c>
      <c r="U132" s="38" t="inlineStr">
        <is>
          <t>NO</t>
        </is>
      </c>
      <c r="V132" s="38" t="inlineStr">
        <is>
          <t>NO</t>
        </is>
      </c>
      <c r="W132" s="38" t="inlineStr">
        <is>
          <t>NO</t>
        </is>
      </c>
      <c r="X132" s="38" t="inlineStr">
        <is>
          <t>NO</t>
        </is>
      </c>
      <c r="Y132" s="36" t="inlineStr">
        <is>
          <t>25-30%</t>
        </is>
      </c>
      <c r="Z132" s="38" t="inlineStr">
        <is>
          <t>Polyrex</t>
        </is>
      </c>
      <c r="AA132" s="45" t="inlineStr">
        <is>
          <t>…………..</t>
        </is>
      </c>
      <c r="AB132" s="45" t="inlineStr">
        <is>
          <t>…………..</t>
        </is>
      </c>
      <c r="AC132" s="44" t="inlineStr">
        <is>
          <t>……………</t>
        </is>
      </c>
      <c r="AD132" s="57" t="inlineStr">
        <is>
          <t>………</t>
        </is>
      </c>
    </row>
    <row r="133" ht="12.75" customHeight="1" s="123">
      <c r="A133" s="85" t="n">
        <v>131</v>
      </c>
      <c r="B133" s="30" t="inlineStr">
        <is>
          <t>B&amp;P-001-LS06-D - YS</t>
        </is>
      </c>
      <c r="C133" s="38" t="n">
        <v>13</v>
      </c>
      <c r="D133" s="38" t="n">
        <v>0</v>
      </c>
      <c r="E133" s="38" t="n">
        <v>-120</v>
      </c>
      <c r="F133" s="38" t="n">
        <v>55</v>
      </c>
      <c r="G133" s="38" t="n">
        <v>0</v>
      </c>
      <c r="H133" s="38" t="n">
        <v>-13</v>
      </c>
      <c r="I133" s="38" t="inlineStr">
        <is>
          <t>NO</t>
        </is>
      </c>
      <c r="J133" s="38" t="inlineStr">
        <is>
          <t>NO</t>
        </is>
      </c>
      <c r="K133" s="38" t="inlineStr">
        <is>
          <t>NO</t>
        </is>
      </c>
      <c r="L133" s="38" t="inlineStr">
        <is>
          <t>NO</t>
        </is>
      </c>
      <c r="M133" s="38" t="inlineStr">
        <is>
          <t>NO</t>
        </is>
      </c>
      <c r="N133" s="38" t="inlineStr">
        <is>
          <t>NO</t>
        </is>
      </c>
      <c r="O133" s="38" t="inlineStr">
        <is>
          <t>NO</t>
        </is>
      </c>
      <c r="P133" s="38" t="inlineStr">
        <is>
          <t>NO</t>
        </is>
      </c>
      <c r="Q133" s="38" t="inlineStr">
        <is>
          <t>NO</t>
        </is>
      </c>
      <c r="R133" s="38" t="inlineStr">
        <is>
          <t>NO</t>
        </is>
      </c>
      <c r="S133" s="38" t="inlineStr">
        <is>
          <t>NO</t>
        </is>
      </c>
      <c r="T133" s="38" t="inlineStr">
        <is>
          <t>NO</t>
        </is>
      </c>
      <c r="U133" s="38" t="n">
        <v>64</v>
      </c>
      <c r="V133" s="38" t="n">
        <v>58</v>
      </c>
      <c r="W133" s="38" t="n">
        <v>64</v>
      </c>
      <c r="X133" s="38" t="n">
        <v>58</v>
      </c>
      <c r="Y133" s="38" t="inlineStr">
        <is>
          <t>NO</t>
        </is>
      </c>
      <c r="Z133" s="38" t="inlineStr">
        <is>
          <t>NO</t>
        </is>
      </c>
      <c r="AA133" s="45" t="inlineStr">
        <is>
          <t>NO</t>
        </is>
      </c>
      <c r="AB133" s="38" t="inlineStr">
        <is>
          <t>NO</t>
        </is>
      </c>
      <c r="AC133" s="52" t="n">
        <v>42389</v>
      </c>
      <c r="AD133" s="51" t="inlineStr">
        <is>
          <t>C</t>
        </is>
      </c>
    </row>
    <row r="134" ht="12.75" customHeight="1" s="123">
      <c r="A134" s="85" t="n">
        <v>132</v>
      </c>
      <c r="B134" s="30" t="inlineStr">
        <is>
          <t>B&amp;P-001-MS04-D - YS</t>
        </is>
      </c>
      <c r="C134" s="38" t="n">
        <v>14</v>
      </c>
      <c r="D134" s="38" t="n">
        <v>0</v>
      </c>
      <c r="E134" s="38" t="n">
        <v>-120</v>
      </c>
      <c r="F134" s="38" t="n">
        <v>47</v>
      </c>
      <c r="G134" s="38" t="n">
        <v>0</v>
      </c>
      <c r="H134" s="38" t="n">
        <v>-11</v>
      </c>
      <c r="I134" s="38" t="inlineStr">
        <is>
          <t>NO</t>
        </is>
      </c>
      <c r="J134" s="38" t="inlineStr">
        <is>
          <t>NO</t>
        </is>
      </c>
      <c r="K134" s="38" t="inlineStr">
        <is>
          <t>NO</t>
        </is>
      </c>
      <c r="L134" s="38" t="inlineStr">
        <is>
          <t>NO</t>
        </is>
      </c>
      <c r="M134" s="38" t="inlineStr">
        <is>
          <t>NO</t>
        </is>
      </c>
      <c r="N134" s="38" t="inlineStr">
        <is>
          <t>NO</t>
        </is>
      </c>
      <c r="O134" s="38" t="inlineStr">
        <is>
          <t>NO</t>
        </is>
      </c>
      <c r="P134" s="38" t="inlineStr">
        <is>
          <t>NO</t>
        </is>
      </c>
      <c r="Q134" s="38" t="inlineStr">
        <is>
          <t>NO</t>
        </is>
      </c>
      <c r="R134" s="38" t="inlineStr">
        <is>
          <t>NO</t>
        </is>
      </c>
      <c r="S134" s="38" t="inlineStr">
        <is>
          <t>NO</t>
        </is>
      </c>
      <c r="T134" s="38" t="inlineStr">
        <is>
          <t>NO</t>
        </is>
      </c>
      <c r="U134" s="38" t="n">
        <v>64</v>
      </c>
      <c r="V134" s="38" t="n">
        <v>58</v>
      </c>
      <c r="W134" s="38" t="n">
        <v>64</v>
      </c>
      <c r="X134" s="38" t="n">
        <v>58</v>
      </c>
      <c r="Y134" s="38" t="inlineStr">
        <is>
          <t>NO</t>
        </is>
      </c>
      <c r="Z134" s="38" t="inlineStr">
        <is>
          <t>NO</t>
        </is>
      </c>
      <c r="AA134" s="45" t="inlineStr">
        <is>
          <t>NO</t>
        </is>
      </c>
      <c r="AB134" s="38" t="inlineStr">
        <is>
          <t>NO</t>
        </is>
      </c>
      <c r="AC134" s="52" t="n">
        <v>42389</v>
      </c>
      <c r="AD134" s="51" t="inlineStr">
        <is>
          <t>C</t>
        </is>
      </c>
    </row>
    <row r="135" ht="12.75" customHeight="1" s="123">
      <c r="A135" s="85" t="n">
        <v>133</v>
      </c>
      <c r="B135" s="30" t="inlineStr">
        <is>
          <t>B&amp;P-001-MS05-D - YS</t>
        </is>
      </c>
      <c r="C135" s="38" t="n">
        <v>15</v>
      </c>
      <c r="D135" s="38" t="n">
        <v>0</v>
      </c>
      <c r="E135" s="38" t="n">
        <v>-120</v>
      </c>
      <c r="F135" s="38" t="n">
        <v>52</v>
      </c>
      <c r="G135" s="38" t="n">
        <v>0</v>
      </c>
      <c r="H135" s="38" t="n">
        <v>-13</v>
      </c>
      <c r="I135" s="38" t="inlineStr">
        <is>
          <t>NO</t>
        </is>
      </c>
      <c r="J135" s="38" t="inlineStr">
        <is>
          <t>NO</t>
        </is>
      </c>
      <c r="K135" s="38" t="inlineStr">
        <is>
          <t>NO</t>
        </is>
      </c>
      <c r="L135" s="38" t="inlineStr">
        <is>
          <t>NO</t>
        </is>
      </c>
      <c r="M135" s="38" t="inlineStr">
        <is>
          <t>NO</t>
        </is>
      </c>
      <c r="N135" s="38" t="inlineStr">
        <is>
          <t>NO</t>
        </is>
      </c>
      <c r="O135" s="38" t="inlineStr">
        <is>
          <t>NO</t>
        </is>
      </c>
      <c r="P135" s="38" t="inlineStr">
        <is>
          <t>NO</t>
        </is>
      </c>
      <c r="Q135" s="38" t="inlineStr">
        <is>
          <t>NO</t>
        </is>
      </c>
      <c r="R135" s="38" t="inlineStr">
        <is>
          <t>NO</t>
        </is>
      </c>
      <c r="S135" s="38" t="inlineStr">
        <is>
          <t>NO</t>
        </is>
      </c>
      <c r="T135" s="38" t="inlineStr">
        <is>
          <t>NO</t>
        </is>
      </c>
      <c r="U135" s="38" t="n">
        <v>64</v>
      </c>
      <c r="V135" s="38" t="n">
        <v>58</v>
      </c>
      <c r="W135" s="38" t="n">
        <v>64</v>
      </c>
      <c r="X135" s="38" t="n">
        <v>58</v>
      </c>
      <c r="Y135" s="38" t="inlineStr">
        <is>
          <t>NO</t>
        </is>
      </c>
      <c r="Z135" s="38" t="inlineStr">
        <is>
          <t>NO</t>
        </is>
      </c>
      <c r="AA135" s="45" t="inlineStr">
        <is>
          <t>NO</t>
        </is>
      </c>
      <c r="AB135" s="38" t="inlineStr">
        <is>
          <t>NO</t>
        </is>
      </c>
      <c r="AC135" s="52" t="n">
        <v>42389</v>
      </c>
      <c r="AD135" s="51" t="inlineStr">
        <is>
          <t>A</t>
        </is>
      </c>
    </row>
    <row r="136" ht="12.75" customHeight="1" s="123">
      <c r="A136" s="85" t="n">
        <v>134</v>
      </c>
      <c r="B136" s="30" t="inlineStr">
        <is>
          <t>B&amp;P-002-LS06-D - YS</t>
        </is>
      </c>
      <c r="C136" s="38" t="inlineStr">
        <is>
          <t>NO</t>
        </is>
      </c>
      <c r="D136" s="38" t="inlineStr">
        <is>
          <t>NO</t>
        </is>
      </c>
      <c r="E136" s="38" t="inlineStr">
        <is>
          <t>NO</t>
        </is>
      </c>
      <c r="F136" s="38" t="inlineStr">
        <is>
          <t>NO</t>
        </is>
      </c>
      <c r="G136" s="38" t="inlineStr">
        <is>
          <t>NO</t>
        </is>
      </c>
      <c r="H136" s="38" t="inlineStr">
        <is>
          <t>NO</t>
        </is>
      </c>
      <c r="I136" s="38" t="n">
        <v>13</v>
      </c>
      <c r="J136" s="38" t="n">
        <v>0</v>
      </c>
      <c r="K136" s="38" t="n">
        <v>-120</v>
      </c>
      <c r="L136" s="38" t="n">
        <v>30</v>
      </c>
      <c r="M136" s="38" t="n">
        <v>0</v>
      </c>
      <c r="N136" s="38" t="n">
        <v>-10</v>
      </c>
      <c r="O136" s="38" t="inlineStr">
        <is>
          <t>NO</t>
        </is>
      </c>
      <c r="P136" s="38" t="inlineStr">
        <is>
          <t>NO</t>
        </is>
      </c>
      <c r="Q136" s="38" t="inlineStr">
        <is>
          <t>NO</t>
        </is>
      </c>
      <c r="R136" s="38" t="inlineStr">
        <is>
          <t>NO</t>
        </is>
      </c>
      <c r="S136" s="38" t="inlineStr">
        <is>
          <t>NO</t>
        </is>
      </c>
      <c r="T136" s="38" t="inlineStr">
        <is>
          <t>NO</t>
        </is>
      </c>
      <c r="U136" s="38" t="n">
        <v>64</v>
      </c>
      <c r="V136" s="38" t="n">
        <v>58</v>
      </c>
      <c r="W136" s="38" t="n">
        <v>64</v>
      </c>
      <c r="X136" s="38" t="n">
        <v>58</v>
      </c>
      <c r="Y136" s="38" t="inlineStr">
        <is>
          <t>NO</t>
        </is>
      </c>
      <c r="Z136" s="38" t="inlineStr">
        <is>
          <t>NO</t>
        </is>
      </c>
      <c r="AA136" s="45" t="inlineStr">
        <is>
          <t>NO</t>
        </is>
      </c>
      <c r="AB136" s="38" t="inlineStr">
        <is>
          <t>NO</t>
        </is>
      </c>
      <c r="AC136" s="52" t="n">
        <v>42389</v>
      </c>
      <c r="AD136" s="51" t="inlineStr">
        <is>
          <t>C</t>
        </is>
      </c>
    </row>
    <row r="137" ht="12.75" customHeight="1" s="123">
      <c r="A137" s="85" t="n">
        <v>135</v>
      </c>
      <c r="B137" s="30" t="inlineStr">
        <is>
          <t>B&amp;P-002-MS04-D - YS</t>
        </is>
      </c>
      <c r="C137" s="38" t="inlineStr">
        <is>
          <t>NO</t>
        </is>
      </c>
      <c r="D137" s="38" t="inlineStr">
        <is>
          <t>NO</t>
        </is>
      </c>
      <c r="E137" s="38" t="inlineStr">
        <is>
          <t>NO</t>
        </is>
      </c>
      <c r="F137" s="38" t="inlineStr">
        <is>
          <t>NO</t>
        </is>
      </c>
      <c r="G137" s="38" t="inlineStr">
        <is>
          <t>NO</t>
        </is>
      </c>
      <c r="H137" s="38" t="inlineStr">
        <is>
          <t>NO</t>
        </is>
      </c>
      <c r="I137" s="38" t="n">
        <v>14</v>
      </c>
      <c r="J137" s="38" t="n">
        <v>0</v>
      </c>
      <c r="K137" s="38" t="n">
        <v>-120</v>
      </c>
      <c r="L137" s="38" t="n">
        <v>20</v>
      </c>
      <c r="M137" s="38" t="n">
        <v>0</v>
      </c>
      <c r="N137" s="38" t="n">
        <v>-10</v>
      </c>
      <c r="O137" s="38" t="inlineStr">
        <is>
          <t>NO</t>
        </is>
      </c>
      <c r="P137" s="38" t="inlineStr">
        <is>
          <t>NO</t>
        </is>
      </c>
      <c r="Q137" s="38" t="inlineStr">
        <is>
          <t>NO</t>
        </is>
      </c>
      <c r="R137" s="38" t="inlineStr">
        <is>
          <t>NO</t>
        </is>
      </c>
      <c r="S137" s="38" t="inlineStr">
        <is>
          <t>NO</t>
        </is>
      </c>
      <c r="T137" s="38" t="inlineStr">
        <is>
          <t>NO</t>
        </is>
      </c>
      <c r="U137" s="38" t="n">
        <v>64</v>
      </c>
      <c r="V137" s="38" t="n">
        <v>58</v>
      </c>
      <c r="W137" s="38" t="n">
        <v>64</v>
      </c>
      <c r="X137" s="38" t="n">
        <v>58</v>
      </c>
      <c r="Y137" s="38" t="inlineStr">
        <is>
          <t>NO</t>
        </is>
      </c>
      <c r="Z137" s="38" t="inlineStr">
        <is>
          <t>NO</t>
        </is>
      </c>
      <c r="AA137" s="45" t="inlineStr">
        <is>
          <t>NO</t>
        </is>
      </c>
      <c r="AB137" s="38" t="inlineStr">
        <is>
          <t>NO</t>
        </is>
      </c>
      <c r="AC137" s="52" t="n">
        <v>42389</v>
      </c>
      <c r="AD137" s="51" t="inlineStr">
        <is>
          <t>C</t>
        </is>
      </c>
    </row>
    <row r="138" ht="12.75" customHeight="1" s="123">
      <c r="A138" s="85" t="n">
        <v>136</v>
      </c>
      <c r="B138" s="30" t="inlineStr">
        <is>
          <t>B&amp;P-002-MS05-D - YS</t>
        </is>
      </c>
      <c r="C138" s="38" t="inlineStr">
        <is>
          <t>NO</t>
        </is>
      </c>
      <c r="D138" s="38" t="inlineStr">
        <is>
          <t>NO</t>
        </is>
      </c>
      <c r="E138" s="38" t="inlineStr">
        <is>
          <t>NO</t>
        </is>
      </c>
      <c r="F138" s="38" t="inlineStr">
        <is>
          <t>NO</t>
        </is>
      </c>
      <c r="G138" s="38" t="inlineStr">
        <is>
          <t>NO</t>
        </is>
      </c>
      <c r="H138" s="38" t="inlineStr">
        <is>
          <t>NO</t>
        </is>
      </c>
      <c r="I138" s="38" t="n">
        <v>15</v>
      </c>
      <c r="J138" s="38" t="n">
        <v>0</v>
      </c>
      <c r="K138" s="38" t="n">
        <v>-120</v>
      </c>
      <c r="L138" s="38" t="n">
        <v>25</v>
      </c>
      <c r="M138" s="38" t="n">
        <v>0</v>
      </c>
      <c r="N138" s="38" t="n">
        <v>-10</v>
      </c>
      <c r="O138" s="38" t="inlineStr">
        <is>
          <t>NO</t>
        </is>
      </c>
      <c r="P138" s="38" t="inlineStr">
        <is>
          <t>NO</t>
        </is>
      </c>
      <c r="Q138" s="38" t="inlineStr">
        <is>
          <t>NO</t>
        </is>
      </c>
      <c r="R138" s="38" t="inlineStr">
        <is>
          <t>NO</t>
        </is>
      </c>
      <c r="S138" s="38" t="inlineStr">
        <is>
          <t>NO</t>
        </is>
      </c>
      <c r="T138" s="38" t="inlineStr">
        <is>
          <t>NO</t>
        </is>
      </c>
      <c r="U138" s="38" t="n">
        <v>64</v>
      </c>
      <c r="V138" s="38" t="n">
        <v>58</v>
      </c>
      <c r="W138" s="38" t="n">
        <v>64</v>
      </c>
      <c r="X138" s="38" t="n">
        <v>58</v>
      </c>
      <c r="Y138" s="38" t="inlineStr">
        <is>
          <t>NO</t>
        </is>
      </c>
      <c r="Z138" s="38" t="inlineStr">
        <is>
          <t>NO</t>
        </is>
      </c>
      <c r="AA138" s="45" t="inlineStr">
        <is>
          <t>NO</t>
        </is>
      </c>
      <c r="AB138" s="38" t="inlineStr">
        <is>
          <t>NO</t>
        </is>
      </c>
      <c r="AC138" s="52" t="n">
        <v>42389</v>
      </c>
      <c r="AD138" s="51" t="inlineStr">
        <is>
          <t>A</t>
        </is>
      </c>
    </row>
    <row r="139" ht="12.75" customHeight="1" s="123">
      <c r="A139" s="85" t="n">
        <v>137</v>
      </c>
      <c r="B139" s="30" t="inlineStr">
        <is>
          <t>B&amp;P-040-1310-TN-C3 - HLBR</t>
        </is>
      </c>
      <c r="C139" s="38" t="n">
        <v>27</v>
      </c>
      <c r="D139" s="38" t="n">
        <v>0</v>
      </c>
      <c r="E139" s="38" t="n">
        <v>-120</v>
      </c>
      <c r="F139" s="38" t="n">
        <v>110</v>
      </c>
      <c r="G139" s="38" t="n">
        <v>0</v>
      </c>
      <c r="H139" s="38" t="n">
        <v>-15</v>
      </c>
      <c r="I139" s="38" t="n">
        <v>27</v>
      </c>
      <c r="J139" s="38" t="n">
        <v>0</v>
      </c>
      <c r="K139" s="38" t="n">
        <v>-120</v>
      </c>
      <c r="L139" s="38" t="n">
        <v>50</v>
      </c>
      <c r="M139" s="38" t="n">
        <v>0</v>
      </c>
      <c r="N139" s="38" t="n">
        <v>-12</v>
      </c>
      <c r="O139" s="38" t="inlineStr">
        <is>
          <t>Radial (C3)</t>
        </is>
      </c>
      <c r="P139" s="38" t="n">
        <v>44</v>
      </c>
      <c r="Q139" s="38" t="n">
        <v>25</v>
      </c>
      <c r="R139" s="38" t="inlineStr">
        <is>
          <t>NO</t>
        </is>
      </c>
      <c r="S139" s="38" t="inlineStr">
        <is>
          <t>NO</t>
        </is>
      </c>
      <c r="T139" s="38" t="inlineStr">
        <is>
          <t>NO</t>
        </is>
      </c>
      <c r="U139" s="38" t="n">
        <v>65</v>
      </c>
      <c r="V139" s="38" t="n">
        <v>60</v>
      </c>
      <c r="W139" s="38" t="n">
        <v>65</v>
      </c>
      <c r="X139" s="38" t="n">
        <v>60</v>
      </c>
      <c r="Y139" s="36" t="inlineStr">
        <is>
          <t>NO</t>
        </is>
      </c>
      <c r="Z139" s="38" t="inlineStr">
        <is>
          <t>NO</t>
        </is>
      </c>
      <c r="AA139" s="45" t="inlineStr">
        <is>
          <t>NO</t>
        </is>
      </c>
      <c r="AB139" s="45" t="inlineStr">
        <is>
          <t>NO</t>
        </is>
      </c>
      <c r="AC139" s="44" t="n">
        <v>45093</v>
      </c>
      <c r="AD139" s="57" t="inlineStr">
        <is>
          <t>D</t>
        </is>
      </c>
    </row>
    <row r="140" ht="12.75" customHeight="1" s="123">
      <c r="A140" s="85" t="n">
        <v>138</v>
      </c>
      <c r="B140" s="27" t="inlineStr">
        <is>
          <t>B&amp;P-041-5206-2RST - CMI</t>
        </is>
      </c>
      <c r="C140" s="38" t="n">
        <v>23.813</v>
      </c>
      <c r="D140" s="38" t="n">
        <v>0</v>
      </c>
      <c r="E140" s="38" t="n">
        <v>-120</v>
      </c>
      <c r="F140" s="38" t="n">
        <v>62</v>
      </c>
      <c r="G140" s="38" t="n">
        <v>0</v>
      </c>
      <c r="H140" s="38" t="n">
        <v>-11</v>
      </c>
      <c r="I140" s="38" t="n">
        <v>23.813</v>
      </c>
      <c r="J140" s="38" t="n">
        <v>0</v>
      </c>
      <c r="K140" s="38" t="n">
        <v>-120</v>
      </c>
      <c r="L140" s="38" t="n">
        <v>30</v>
      </c>
      <c r="M140" s="38" t="n">
        <v>0</v>
      </c>
      <c r="N140" s="38" t="n">
        <v>-10</v>
      </c>
      <c r="O140" s="38" t="inlineStr">
        <is>
          <t>NO</t>
        </is>
      </c>
      <c r="P140" s="38" t="inlineStr">
        <is>
          <t>NO</t>
        </is>
      </c>
      <c r="Q140" s="38" t="inlineStr">
        <is>
          <t>NO</t>
        </is>
      </c>
      <c r="R140" s="38" t="inlineStr">
        <is>
          <t>C3</t>
        </is>
      </c>
      <c r="S140" s="38" t="n">
        <v>37</v>
      </c>
      <c r="T140" s="38" t="n">
        <v>18</v>
      </c>
      <c r="U140" s="38" t="n">
        <v>64</v>
      </c>
      <c r="V140" s="38" t="n">
        <v>58</v>
      </c>
      <c r="W140" s="38" t="n">
        <v>64</v>
      </c>
      <c r="X140" s="38" t="n">
        <v>58</v>
      </c>
      <c r="Y140" s="36" t="inlineStr">
        <is>
          <t>8,5 - 9,6</t>
        </is>
      </c>
      <c r="Z140" s="38" t="inlineStr">
        <is>
          <t>Polyrex</t>
        </is>
      </c>
      <c r="AA140" s="45" t="inlineStr">
        <is>
          <t>0,56cNm / 0,056Nm</t>
        </is>
      </c>
      <c r="AB140" s="45" t="inlineStr">
        <is>
          <t>1,2cNm / 0,12Nm</t>
        </is>
      </c>
      <c r="AC140" s="44" t="n">
        <v>44875</v>
      </c>
      <c r="AD140" s="57" t="inlineStr">
        <is>
          <t>D</t>
        </is>
      </c>
    </row>
    <row r="141" ht="12.75" customHeight="1" s="123">
      <c r="A141" s="85" t="n">
        <v>139</v>
      </c>
      <c r="B141" s="27" t="inlineStr">
        <is>
          <t>B&amp;P-041-625-2Z-C3P62 - YS</t>
        </is>
      </c>
      <c r="C141" s="38" t="n">
        <v>5</v>
      </c>
      <c r="D141" s="38" t="n">
        <v>0</v>
      </c>
      <c r="E141" s="38" t="n">
        <v>-120</v>
      </c>
      <c r="F141" s="38" t="n">
        <v>16</v>
      </c>
      <c r="G141" s="38" t="n">
        <v>0</v>
      </c>
      <c r="H141" s="38" t="n">
        <v>-8</v>
      </c>
      <c r="I141" s="38" t="n">
        <v>5</v>
      </c>
      <c r="J141" s="38" t="n">
        <v>0</v>
      </c>
      <c r="K141" s="38" t="n">
        <v>-120</v>
      </c>
      <c r="L141" s="38" t="n">
        <v>5</v>
      </c>
      <c r="M141" s="38" t="n">
        <v>0</v>
      </c>
      <c r="N141" s="38" t="n">
        <v>-8</v>
      </c>
      <c r="O141" s="38" t="inlineStr">
        <is>
          <t>C3</t>
        </is>
      </c>
      <c r="P141" s="38" t="n">
        <v>8</v>
      </c>
      <c r="Q141" s="38" t="n">
        <v>23</v>
      </c>
      <c r="R141" s="38" t="inlineStr">
        <is>
          <t>NO</t>
        </is>
      </c>
      <c r="S141" s="38" t="inlineStr">
        <is>
          <t>NO</t>
        </is>
      </c>
      <c r="T141" s="38" t="inlineStr">
        <is>
          <t>NO</t>
        </is>
      </c>
      <c r="U141" s="38" t="n">
        <v>64</v>
      </c>
      <c r="V141" s="38" t="n">
        <v>58</v>
      </c>
      <c r="W141" s="38" t="n">
        <v>64</v>
      </c>
      <c r="X141" s="38" t="n">
        <v>58</v>
      </c>
      <c r="Y141" s="38" t="inlineStr">
        <is>
          <t xml:space="preserve">0,061-0,044 </t>
        </is>
      </c>
      <c r="Z141" s="38" t="inlineStr">
        <is>
          <t>Polyrex</t>
        </is>
      </c>
      <c r="AA141" s="45" t="inlineStr">
        <is>
          <t>NO</t>
        </is>
      </c>
      <c r="AB141" s="45" t="inlineStr">
        <is>
          <t>NO</t>
        </is>
      </c>
      <c r="AC141" s="44" t="n">
        <v>45433</v>
      </c>
      <c r="AD141" s="57" t="inlineStr">
        <is>
          <t>C</t>
        </is>
      </c>
    </row>
    <row r="142" ht="12.75" customHeight="1" s="123">
      <c r="A142" s="85" t="n">
        <v>140</v>
      </c>
      <c r="B142" s="30" t="inlineStr">
        <is>
          <t>B&amp;P-041-HD00-2RS  - YS</t>
        </is>
      </c>
      <c r="C142" s="38" t="n">
        <v>11</v>
      </c>
      <c r="D142" s="38" t="n">
        <v>0</v>
      </c>
      <c r="E142" s="38" t="n">
        <v>-120</v>
      </c>
      <c r="F142" s="38" t="n">
        <v>35</v>
      </c>
      <c r="G142" s="38" t="n">
        <v>0</v>
      </c>
      <c r="H142" s="38" t="n">
        <v>-11</v>
      </c>
      <c r="I142" s="38" t="n">
        <v>11</v>
      </c>
      <c r="J142" s="38" t="n">
        <v>0</v>
      </c>
      <c r="K142" s="38" t="n">
        <v>-120</v>
      </c>
      <c r="L142" s="38" t="n">
        <v>10</v>
      </c>
      <c r="M142" s="38" t="n">
        <v>0</v>
      </c>
      <c r="N142" s="38" t="n">
        <v>-8</v>
      </c>
      <c r="O142" s="38" t="inlineStr">
        <is>
          <t>C0</t>
        </is>
      </c>
      <c r="P142" s="38" t="n">
        <v>13</v>
      </c>
      <c r="Q142" s="38" t="n">
        <v>2</v>
      </c>
      <c r="R142" s="38" t="inlineStr">
        <is>
          <t>NO</t>
        </is>
      </c>
      <c r="S142" s="38" t="inlineStr">
        <is>
          <t>NO</t>
        </is>
      </c>
      <c r="T142" s="38" t="inlineStr">
        <is>
          <t>NO</t>
        </is>
      </c>
      <c r="U142" s="38" t="n">
        <v>64</v>
      </c>
      <c r="V142" s="38" t="n">
        <v>58</v>
      </c>
      <c r="W142" s="38" t="n">
        <v>64</v>
      </c>
      <c r="X142" s="38" t="n">
        <v>58</v>
      </c>
      <c r="Y142" s="38" t="inlineStr">
        <is>
          <t>25-35%</t>
        </is>
      </c>
      <c r="Z142" s="38" t="inlineStr">
        <is>
          <t>Polyrex</t>
        </is>
      </c>
      <c r="AA142" s="45" t="inlineStr">
        <is>
          <t>STANDARD</t>
        </is>
      </c>
      <c r="AB142" s="38" t="inlineStr">
        <is>
          <t>STANDARD</t>
        </is>
      </c>
      <c r="AC142" s="44" t="n">
        <v>42772</v>
      </c>
      <c r="AD142" s="57" t="n">
        <v>0</v>
      </c>
    </row>
    <row r="143" ht="12.75" customHeight="1" s="123">
      <c r="A143" s="85" t="n">
        <v>141</v>
      </c>
      <c r="B143" s="30" t="inlineStr">
        <is>
          <t>B&amp;P-041-HD07-2RST - CMI</t>
        </is>
      </c>
      <c r="C143" s="38" t="n">
        <v>21</v>
      </c>
      <c r="D143" s="38" t="n">
        <v>0</v>
      </c>
      <c r="E143" s="38" t="n">
        <v>-120</v>
      </c>
      <c r="F143" s="38" t="n">
        <v>80</v>
      </c>
      <c r="G143" s="38" t="n">
        <v>0</v>
      </c>
      <c r="H143" s="38" t="n">
        <v>-13</v>
      </c>
      <c r="I143" s="38" t="n">
        <v>21</v>
      </c>
      <c r="J143" s="38" t="n">
        <v>0</v>
      </c>
      <c r="K143" s="38" t="n">
        <v>-120</v>
      </c>
      <c r="L143" s="38" t="n">
        <v>35</v>
      </c>
      <c r="M143" s="38" t="n">
        <v>0</v>
      </c>
      <c r="N143" s="38" t="n">
        <v>-12</v>
      </c>
      <c r="O143" s="38" t="inlineStr">
        <is>
          <t>C3</t>
        </is>
      </c>
      <c r="P143" s="38" t="n">
        <v>33</v>
      </c>
      <c r="Q143" s="38" t="n">
        <v>15</v>
      </c>
      <c r="R143" s="38" t="inlineStr">
        <is>
          <t>NO</t>
        </is>
      </c>
      <c r="S143" s="38" t="inlineStr">
        <is>
          <t>NO</t>
        </is>
      </c>
      <c r="T143" s="38" t="inlineStr">
        <is>
          <t>NO</t>
        </is>
      </c>
      <c r="U143" s="38" t="n">
        <v>64</v>
      </c>
      <c r="V143" s="38" t="n">
        <v>58</v>
      </c>
      <c r="W143" s="38" t="n">
        <v>64</v>
      </c>
      <c r="X143" s="38" t="n">
        <v>58</v>
      </c>
      <c r="Y143" s="38" t="inlineStr">
        <is>
          <t>14.091 - 16.104</t>
        </is>
      </c>
      <c r="Z143" s="45" t="inlineStr">
        <is>
          <t>Polyrex</t>
        </is>
      </c>
      <c r="AA143" s="45" t="inlineStr">
        <is>
          <t>0.12Nm</t>
        </is>
      </c>
      <c r="AB143" s="38" t="inlineStr">
        <is>
          <t>0.05Nm</t>
        </is>
      </c>
      <c r="AC143" s="44" t="n">
        <v>42665</v>
      </c>
      <c r="AD143" s="57" t="n">
        <v>0</v>
      </c>
    </row>
    <row r="144" ht="12.75" customHeight="1" s="123">
      <c r="A144" s="85" t="n">
        <v>142</v>
      </c>
      <c r="B144" s="30" t="inlineStr">
        <is>
          <t>B&amp;P-041-LS03-2RST  - YS</t>
        </is>
      </c>
      <c r="C144" s="38" t="n">
        <v>10</v>
      </c>
      <c r="D144" s="38" t="n">
        <v>0</v>
      </c>
      <c r="E144" s="38" t="n">
        <v>-120</v>
      </c>
      <c r="F144" s="38" t="n">
        <v>35</v>
      </c>
      <c r="G144" s="38" t="n">
        <v>0</v>
      </c>
      <c r="H144" s="38" t="n">
        <v>-11</v>
      </c>
      <c r="I144" s="38" t="n">
        <v>10</v>
      </c>
      <c r="J144" s="38" t="n">
        <v>0</v>
      </c>
      <c r="K144" s="38" t="n">
        <v>-120</v>
      </c>
      <c r="L144" s="38" t="n">
        <v>17</v>
      </c>
      <c r="M144" s="38" t="n">
        <v>0</v>
      </c>
      <c r="N144" s="38" t="n">
        <v>-8</v>
      </c>
      <c r="O144" s="38" t="inlineStr">
        <is>
          <t>C3</t>
        </is>
      </c>
      <c r="P144" s="38" t="n">
        <v>28</v>
      </c>
      <c r="Q144" s="38" t="n">
        <v>13</v>
      </c>
      <c r="R144" s="38" t="inlineStr">
        <is>
          <t>NO</t>
        </is>
      </c>
      <c r="S144" s="38" t="inlineStr">
        <is>
          <t>NO</t>
        </is>
      </c>
      <c r="T144" s="38" t="inlineStr">
        <is>
          <t>NO</t>
        </is>
      </c>
      <c r="U144" s="38" t="n">
        <v>64</v>
      </c>
      <c r="V144" s="38" t="n">
        <v>58</v>
      </c>
      <c r="W144" s="38" t="n">
        <v>64</v>
      </c>
      <c r="X144" s="38" t="n">
        <v>58</v>
      </c>
      <c r="Y144" s="36" t="inlineStr">
        <is>
          <t>1,078-1,232</t>
        </is>
      </c>
      <c r="Z144" s="38" t="inlineStr">
        <is>
          <t>Polyrex</t>
        </is>
      </c>
      <c r="AA144" s="45" t="inlineStr">
        <is>
          <t>4cNm/0,04Nm</t>
        </is>
      </c>
      <c r="AB144" s="45" t="inlineStr">
        <is>
          <t>1,2cNm/0,012Nm</t>
        </is>
      </c>
      <c r="AC144" s="44" t="n">
        <v>44771</v>
      </c>
      <c r="AD144" s="57" t="inlineStr">
        <is>
          <t>D</t>
        </is>
      </c>
    </row>
    <row r="145" ht="12.75" customHeight="1" s="123">
      <c r="A145" s="85" t="n">
        <v>143</v>
      </c>
      <c r="B145" s="30" t="inlineStr">
        <is>
          <t>B&amp;P-041-LS06-2RST - YS</t>
        </is>
      </c>
      <c r="C145" s="38" t="n">
        <v>13</v>
      </c>
      <c r="D145" s="38" t="n">
        <v>0</v>
      </c>
      <c r="E145" s="38" t="n">
        <v>-120</v>
      </c>
      <c r="F145" s="38" t="n">
        <v>55</v>
      </c>
      <c r="G145" s="38" t="n">
        <v>0</v>
      </c>
      <c r="H145" s="38" t="n">
        <v>-13</v>
      </c>
      <c r="I145" s="38" t="n">
        <v>13</v>
      </c>
      <c r="J145" s="38" t="n">
        <v>0</v>
      </c>
      <c r="K145" s="38" t="n">
        <v>-120</v>
      </c>
      <c r="L145" s="38" t="n">
        <v>30</v>
      </c>
      <c r="M145" s="38" t="n">
        <v>0</v>
      </c>
      <c r="N145" s="38" t="n">
        <v>-10</v>
      </c>
      <c r="O145" s="38" t="inlineStr">
        <is>
          <t>C3</t>
        </is>
      </c>
      <c r="P145" s="38" t="n">
        <v>28</v>
      </c>
      <c r="Q145" s="38" t="n">
        <v>13</v>
      </c>
      <c r="R145" s="38" t="inlineStr">
        <is>
          <t>NO</t>
        </is>
      </c>
      <c r="S145" s="38" t="inlineStr">
        <is>
          <t>NO</t>
        </is>
      </c>
      <c r="T145" s="38" t="inlineStr">
        <is>
          <t>NO</t>
        </is>
      </c>
      <c r="U145" s="38" t="n">
        <v>64</v>
      </c>
      <c r="V145" s="38" t="n">
        <v>58</v>
      </c>
      <c r="W145" s="38" t="n">
        <v>64</v>
      </c>
      <c r="X145" s="38" t="n">
        <v>58</v>
      </c>
      <c r="Y145" s="38" t="inlineStr">
        <is>
          <t>3,4 - 3,9</t>
        </is>
      </c>
      <c r="Z145" s="38" t="inlineStr">
        <is>
          <t>Polyrex</t>
        </is>
      </c>
      <c r="AA145" s="45" t="inlineStr">
        <is>
          <t>3,1cNm / 0,031Nm</t>
        </is>
      </c>
      <c r="AB145" s="45" t="inlineStr">
        <is>
          <t>2,4cNm / 0,024Nm</t>
        </is>
      </c>
      <c r="AC145" s="44" t="n">
        <v>44770</v>
      </c>
      <c r="AD145" s="57" t="inlineStr">
        <is>
          <t>H</t>
        </is>
      </c>
    </row>
    <row r="146" ht="12.75" customHeight="1" s="123">
      <c r="A146" s="85" t="n">
        <v>144</v>
      </c>
      <c r="B146" s="30" t="inlineStr">
        <is>
          <t>B&amp;P-041-LS07-2RST - YS</t>
        </is>
      </c>
      <c r="C146" s="38" t="n">
        <v>14</v>
      </c>
      <c r="D146" s="38" t="n">
        <v>0</v>
      </c>
      <c r="E146" s="38" t="n">
        <v>-120</v>
      </c>
      <c r="F146" s="38" t="n">
        <v>62</v>
      </c>
      <c r="G146" s="38" t="n">
        <v>0</v>
      </c>
      <c r="H146" s="38" t="n">
        <v>-13</v>
      </c>
      <c r="I146" s="38" t="n">
        <v>14</v>
      </c>
      <c r="J146" s="38" t="n">
        <v>0</v>
      </c>
      <c r="K146" s="38" t="n">
        <v>-120</v>
      </c>
      <c r="L146" s="38" t="n">
        <v>35</v>
      </c>
      <c r="M146" s="38" t="n">
        <v>0</v>
      </c>
      <c r="N146" s="38" t="n">
        <v>-12</v>
      </c>
      <c r="O146" s="38" t="inlineStr">
        <is>
          <t>C3</t>
        </is>
      </c>
      <c r="P146" s="38" t="n">
        <v>33</v>
      </c>
      <c r="Q146" s="38" t="n">
        <v>15</v>
      </c>
      <c r="R146" s="38" t="inlineStr">
        <is>
          <t>NO</t>
        </is>
      </c>
      <c r="S146" s="38" t="inlineStr">
        <is>
          <t>NO</t>
        </is>
      </c>
      <c r="T146" s="38" t="inlineStr">
        <is>
          <t>NO</t>
        </is>
      </c>
      <c r="U146" s="38" t="n">
        <v>64</v>
      </c>
      <c r="V146" s="38" t="n">
        <v>58</v>
      </c>
      <c r="W146" s="38" t="n">
        <v>64</v>
      </c>
      <c r="X146" s="38" t="n">
        <v>58</v>
      </c>
      <c r="Y146" s="36" t="inlineStr">
        <is>
          <t>4,753 - 5,432 gr</t>
        </is>
      </c>
      <c r="Z146" s="38" t="inlineStr">
        <is>
          <t>Polyrex</t>
        </is>
      </c>
      <c r="AA146" s="45" t="inlineStr">
        <is>
          <t>12cNm / 0,12Nm</t>
        </is>
      </c>
      <c r="AB146" s="45" t="inlineStr">
        <is>
          <t>5cNm / 0,05Nm</t>
        </is>
      </c>
      <c r="AC146" s="44" t="n">
        <v>44771</v>
      </c>
      <c r="AD146" s="57" t="inlineStr">
        <is>
          <t>C</t>
        </is>
      </c>
    </row>
    <row r="147" ht="12.75" customHeight="1" s="123">
      <c r="A147" s="85" t="n">
        <v>145</v>
      </c>
      <c r="B147" s="30" t="inlineStr">
        <is>
          <t>B&amp;P-041-MS03-2RST - SCB</t>
        </is>
      </c>
      <c r="C147" s="38" t="n">
        <v>12</v>
      </c>
      <c r="D147" s="38" t="n">
        <v>0</v>
      </c>
      <c r="E147" s="38" t="n">
        <v>-120</v>
      </c>
      <c r="F147" s="38" t="n">
        <v>40</v>
      </c>
      <c r="G147" s="38" t="n">
        <v>0</v>
      </c>
      <c r="H147" s="38" t="n">
        <v>-11</v>
      </c>
      <c r="I147" s="40" t="n">
        <v>12</v>
      </c>
      <c r="J147" s="38" t="n">
        <v>0</v>
      </c>
      <c r="K147" s="38" t="n">
        <v>-120</v>
      </c>
      <c r="L147" s="38" t="n">
        <v>17</v>
      </c>
      <c r="M147" s="38" t="n">
        <v>0</v>
      </c>
      <c r="N147" s="38" t="n">
        <v>-9</v>
      </c>
      <c r="O147" s="38" t="inlineStr">
        <is>
          <t>C3</t>
        </is>
      </c>
      <c r="P147" s="38" t="n">
        <v>25</v>
      </c>
      <c r="Q147" s="38" t="n">
        <v>11</v>
      </c>
      <c r="R147" s="38" t="inlineStr">
        <is>
          <t>NO</t>
        </is>
      </c>
      <c r="S147" s="38" t="inlineStr">
        <is>
          <t>NO</t>
        </is>
      </c>
      <c r="T147" s="38" t="inlineStr">
        <is>
          <t>NO</t>
        </is>
      </c>
      <c r="U147" s="38" t="n">
        <v>64</v>
      </c>
      <c r="V147" s="38" t="n">
        <v>58</v>
      </c>
      <c r="W147" s="38" t="n">
        <v>64</v>
      </c>
      <c r="X147" s="38" t="n">
        <v>58</v>
      </c>
      <c r="Y147" s="36" t="inlineStr">
        <is>
          <t>1.92-2.2</t>
        </is>
      </c>
      <c r="Z147" s="38" t="inlineStr">
        <is>
          <t>Polyrex</t>
        </is>
      </c>
      <c r="AA147" s="45" t="inlineStr">
        <is>
          <t>2,68cNm / 0,0268Nm</t>
        </is>
      </c>
      <c r="AB147" s="45" t="inlineStr">
        <is>
          <t>1,62cNm / 0,0162Nm</t>
        </is>
      </c>
      <c r="AC147" s="44" t="n">
        <v>43004</v>
      </c>
      <c r="AD147" s="57" t="inlineStr">
        <is>
          <t>B</t>
        </is>
      </c>
    </row>
    <row r="148" ht="12.75" customHeight="1" s="123">
      <c r="A148" s="85" t="n">
        <v>146</v>
      </c>
      <c r="B148" s="30" t="inlineStr">
        <is>
          <t>B&amp;P-041-MS04-2RST - YS</t>
        </is>
      </c>
      <c r="C148" s="38" t="n">
        <v>14</v>
      </c>
      <c r="D148" s="38" t="n">
        <v>0</v>
      </c>
      <c r="E148" s="38" t="n">
        <v>-120</v>
      </c>
      <c r="F148" s="38" t="n">
        <v>47</v>
      </c>
      <c r="G148" s="38" t="n">
        <v>0</v>
      </c>
      <c r="H148" s="38" t="n">
        <v>-9</v>
      </c>
      <c r="I148" s="38" t="n">
        <v>14</v>
      </c>
      <c r="J148" s="38" t="n">
        <v>0</v>
      </c>
      <c r="K148" s="38" t="n">
        <v>-120</v>
      </c>
      <c r="L148" s="38" t="n">
        <v>20</v>
      </c>
      <c r="M148" s="38" t="n">
        <v>0</v>
      </c>
      <c r="N148" s="38" t="n">
        <v>-8</v>
      </c>
      <c r="O148" s="38" t="inlineStr">
        <is>
          <t>C3</t>
        </is>
      </c>
      <c r="P148" s="38" t="n">
        <v>28</v>
      </c>
      <c r="Q148" s="38" t="n">
        <v>13</v>
      </c>
      <c r="R148" s="38" t="inlineStr">
        <is>
          <t>NO</t>
        </is>
      </c>
      <c r="S148" s="38" t="inlineStr">
        <is>
          <t>NO</t>
        </is>
      </c>
      <c r="T148" s="38" t="inlineStr">
        <is>
          <t>NO</t>
        </is>
      </c>
      <c r="U148" s="38" t="n">
        <v>64</v>
      </c>
      <c r="V148" s="38" t="n">
        <v>58</v>
      </c>
      <c r="W148" s="38" t="n">
        <v>64</v>
      </c>
      <c r="X148" s="38" t="n">
        <v>58</v>
      </c>
      <c r="Y148" s="38" t="inlineStr">
        <is>
          <t>70%-80 - 3,35gr-3,83gr</t>
        </is>
      </c>
      <c r="Z148" s="38" t="inlineStr">
        <is>
          <t>Polyrex</t>
        </is>
      </c>
      <c r="AA148" s="45" t="inlineStr">
        <is>
          <t>40cNm / 0,04Nm</t>
        </is>
      </c>
      <c r="AB148" s="45" t="inlineStr">
        <is>
          <t>1,5cNm / 0,015Nm</t>
        </is>
      </c>
      <c r="AC148" s="44" t="n">
        <v>45617</v>
      </c>
      <c r="AD148" s="57" t="inlineStr">
        <is>
          <t>F</t>
        </is>
      </c>
    </row>
    <row r="149" ht="12.75" customHeight="1" s="123">
      <c r="A149" s="85" t="n">
        <v>147</v>
      </c>
      <c r="B149" s="30" t="inlineStr">
        <is>
          <t>B&amp;P-041-MS05-2RST-YS</t>
        </is>
      </c>
      <c r="C149" s="38" t="n">
        <v>15</v>
      </c>
      <c r="D149" s="38" t="n">
        <v>0</v>
      </c>
      <c r="E149" s="38" t="n">
        <v>-120</v>
      </c>
      <c r="F149" s="38" t="n">
        <v>52</v>
      </c>
      <c r="G149" s="38" t="n">
        <v>0</v>
      </c>
      <c r="H149" s="38" t="n">
        <v>-11</v>
      </c>
      <c r="I149" s="38" t="n">
        <v>15</v>
      </c>
      <c r="J149" s="38" t="n">
        <v>0</v>
      </c>
      <c r="K149" s="38" t="n">
        <v>-120</v>
      </c>
      <c r="L149" s="38" t="n">
        <v>25</v>
      </c>
      <c r="M149" s="38" t="n">
        <v>0</v>
      </c>
      <c r="N149" s="38" t="n">
        <v>-8</v>
      </c>
      <c r="O149" s="38" t="inlineStr">
        <is>
          <t>C3</t>
        </is>
      </c>
      <c r="P149" s="38" t="n">
        <v>28</v>
      </c>
      <c r="Q149" s="38" t="n">
        <v>13</v>
      </c>
      <c r="R149" s="38" t="inlineStr">
        <is>
          <t>NO</t>
        </is>
      </c>
      <c r="S149" s="38" t="inlineStr">
        <is>
          <t>NO</t>
        </is>
      </c>
      <c r="T149" s="38" t="inlineStr">
        <is>
          <t>NO</t>
        </is>
      </c>
      <c r="U149" s="38" t="n">
        <v>64</v>
      </c>
      <c r="V149" s="38" t="n">
        <v>58</v>
      </c>
      <c r="W149" s="38" t="n">
        <v>64</v>
      </c>
      <c r="X149" s="38" t="n">
        <v>58</v>
      </c>
      <c r="Y149" s="38" t="inlineStr">
        <is>
          <t>70%-80% - 3,95gr-4,52gr</t>
        </is>
      </c>
      <c r="Z149" s="38" t="inlineStr">
        <is>
          <t>Polyrex</t>
        </is>
      </c>
      <c r="AA149" s="45" t="inlineStr">
        <is>
          <t>6,5cNm / 0,065Nm</t>
        </is>
      </c>
      <c r="AB149" s="45" t="inlineStr">
        <is>
          <t>3,5cNm / 0,035Nm</t>
        </is>
      </c>
      <c r="AC149" s="44" t="n">
        <v>45617</v>
      </c>
      <c r="AD149" s="57" t="inlineStr">
        <is>
          <t>H</t>
        </is>
      </c>
    </row>
    <row r="150" ht="12.75" customHeight="1" s="123">
      <c r="A150" s="85" t="n">
        <v>148</v>
      </c>
      <c r="B150" s="30" t="inlineStr">
        <is>
          <t>B&amp;P-041-MS06-2RST - YS</t>
        </is>
      </c>
      <c r="C150" s="38" t="n">
        <v>16</v>
      </c>
      <c r="D150" s="38" t="n">
        <v>0</v>
      </c>
      <c r="E150" s="38" t="n">
        <v>-120</v>
      </c>
      <c r="F150" s="38" t="n">
        <v>62</v>
      </c>
      <c r="G150" s="38" t="n">
        <v>0</v>
      </c>
      <c r="H150" s="38" t="n">
        <v>-13</v>
      </c>
      <c r="I150" s="38" t="n">
        <v>16</v>
      </c>
      <c r="J150" s="38" t="n">
        <v>0</v>
      </c>
      <c r="K150" s="38" t="n">
        <v>-120</v>
      </c>
      <c r="L150" s="38" t="n">
        <v>30</v>
      </c>
      <c r="M150" s="38" t="n">
        <v>0</v>
      </c>
      <c r="N150" s="38" t="n">
        <v>-10</v>
      </c>
      <c r="O150" s="38" t="inlineStr">
        <is>
          <t>C3</t>
        </is>
      </c>
      <c r="P150" s="38" t="n">
        <v>28</v>
      </c>
      <c r="Q150" s="38" t="n">
        <v>13</v>
      </c>
      <c r="R150" s="38" t="inlineStr">
        <is>
          <t>NO</t>
        </is>
      </c>
      <c r="S150" s="38" t="inlineStr">
        <is>
          <t>NO</t>
        </is>
      </c>
      <c r="T150" s="38" t="inlineStr">
        <is>
          <t>NO</t>
        </is>
      </c>
      <c r="U150" s="38" t="n">
        <v>64</v>
      </c>
      <c r="V150" s="38" t="n">
        <v>58</v>
      </c>
      <c r="W150" s="38" t="n">
        <v>64</v>
      </c>
      <c r="X150" s="38" t="n">
        <v>58</v>
      </c>
      <c r="Y150" s="38" t="inlineStr">
        <is>
          <t>3,9-5,2</t>
        </is>
      </c>
      <c r="Z150" s="38" t="inlineStr">
        <is>
          <t>Polyrex</t>
        </is>
      </c>
      <c r="AA150" s="45" t="inlineStr">
        <is>
          <t>12cNm / 0,12Nm</t>
        </is>
      </c>
      <c r="AB150" s="45" t="inlineStr">
        <is>
          <t>5cNm / 0,05Nm</t>
        </is>
      </c>
      <c r="AC150" s="44" t="n">
        <v>44771</v>
      </c>
      <c r="AD150" s="57" t="inlineStr">
        <is>
          <t>G</t>
        </is>
      </c>
    </row>
    <row r="151" ht="12.75" customHeight="1" s="123">
      <c r="A151" s="85" t="n">
        <v>149</v>
      </c>
      <c r="B151" s="27" t="inlineStr">
        <is>
          <t>B&amp;P-041-MS07-2RST1 - YS</t>
        </is>
      </c>
      <c r="C151" s="38" t="n">
        <v>17</v>
      </c>
      <c r="D151" s="38" t="n">
        <v>0</v>
      </c>
      <c r="E151" s="38" t="n">
        <v>-120</v>
      </c>
      <c r="F151" s="38" t="n">
        <v>72</v>
      </c>
      <c r="G151" s="38" t="n">
        <v>0</v>
      </c>
      <c r="H151" s="38" t="n">
        <v>-13</v>
      </c>
      <c r="I151" s="38" t="n">
        <v>17</v>
      </c>
      <c r="J151" s="38" t="n">
        <v>0</v>
      </c>
      <c r="K151" s="38" t="n">
        <v>-120</v>
      </c>
      <c r="L151" s="38" t="n">
        <v>35</v>
      </c>
      <c r="M151" s="38" t="n">
        <v>0</v>
      </c>
      <c r="N151" s="38" t="n">
        <v>-12</v>
      </c>
      <c r="O151" s="38" t="inlineStr">
        <is>
          <t>C3</t>
        </is>
      </c>
      <c r="P151" s="38" t="n">
        <v>33</v>
      </c>
      <c r="Q151" s="38" t="n">
        <v>15</v>
      </c>
      <c r="R151" s="38" t="inlineStr">
        <is>
          <t>NO</t>
        </is>
      </c>
      <c r="S151" s="38" t="inlineStr">
        <is>
          <t>NO</t>
        </is>
      </c>
      <c r="T151" s="38" t="inlineStr">
        <is>
          <t>NO</t>
        </is>
      </c>
      <c r="U151" s="38" t="n">
        <v>64</v>
      </c>
      <c r="V151" s="38" t="n">
        <v>58</v>
      </c>
      <c r="W151" s="38" t="n">
        <v>64</v>
      </c>
      <c r="X151" s="38" t="n">
        <v>58</v>
      </c>
      <c r="Y151" s="36" t="inlineStr">
        <is>
          <t>25 - 35 %</t>
        </is>
      </c>
      <c r="Z151" s="38" t="inlineStr">
        <is>
          <t>Polyrex</t>
        </is>
      </c>
      <c r="AA151" s="45" t="inlineStr">
        <is>
          <t>NO</t>
        </is>
      </c>
      <c r="AB151" s="45" t="inlineStr">
        <is>
          <t>NO</t>
        </is>
      </c>
      <c r="AC151" s="44" t="n">
        <v>42908</v>
      </c>
      <c r="AD151" s="57" t="n">
        <v>0</v>
      </c>
    </row>
    <row r="152" ht="12.75" customHeight="1" s="123">
      <c r="A152" s="85" t="n">
        <v>150</v>
      </c>
      <c r="B152" s="30" t="inlineStr">
        <is>
          <t>B&amp;P-041-MS08-2RST - CMI</t>
        </is>
      </c>
      <c r="C152" s="38" t="n">
        <v>18</v>
      </c>
      <c r="D152" s="38" t="n">
        <v>0</v>
      </c>
      <c r="E152" s="38" t="n">
        <v>-120</v>
      </c>
      <c r="F152" s="38" t="n">
        <v>80</v>
      </c>
      <c r="G152" s="38" t="n">
        <v>0</v>
      </c>
      <c r="H152" s="38" t="n">
        <v>-13</v>
      </c>
      <c r="I152" s="38" t="n">
        <v>18</v>
      </c>
      <c r="J152" s="38" t="n">
        <v>0</v>
      </c>
      <c r="K152" s="38" t="n">
        <v>-120</v>
      </c>
      <c r="L152" s="38" t="n">
        <v>40</v>
      </c>
      <c r="M152" s="38" t="n">
        <v>0</v>
      </c>
      <c r="N152" s="38" t="n">
        <v>-12</v>
      </c>
      <c r="O152" s="38" t="inlineStr">
        <is>
          <t>C3</t>
        </is>
      </c>
      <c r="P152" s="38" t="n">
        <v>33</v>
      </c>
      <c r="Q152" s="38" t="n">
        <v>15</v>
      </c>
      <c r="R152" s="45" t="inlineStr">
        <is>
          <t>NO</t>
        </is>
      </c>
      <c r="S152" s="45" t="inlineStr">
        <is>
          <t>NO</t>
        </is>
      </c>
      <c r="T152" s="45" t="inlineStr">
        <is>
          <t>NO</t>
        </is>
      </c>
      <c r="U152" s="45" t="n">
        <v>64</v>
      </c>
      <c r="V152" s="38" t="n">
        <v>58</v>
      </c>
      <c r="W152" s="38" t="n">
        <v>64</v>
      </c>
      <c r="X152" s="38" t="n">
        <v>58</v>
      </c>
      <c r="Y152" s="45" t="inlineStr">
        <is>
          <t>11.27 - 12.88</t>
        </is>
      </c>
      <c r="Z152" s="45" t="inlineStr">
        <is>
          <t>Polyrex</t>
        </is>
      </c>
      <c r="AA152" s="45" t="inlineStr">
        <is>
          <t>0.17Nm</t>
        </is>
      </c>
      <c r="AB152" s="38" t="inlineStr">
        <is>
          <t>0.10Nm</t>
        </is>
      </c>
      <c r="AC152" s="44" t="n">
        <v>42663</v>
      </c>
      <c r="AD152" s="57" t="inlineStr">
        <is>
          <t>A</t>
        </is>
      </c>
    </row>
    <row r="153" ht="12.75" customHeight="1" s="123">
      <c r="A153" s="85" t="n">
        <v>151</v>
      </c>
      <c r="B153" s="30" t="inlineStr">
        <is>
          <t>B&amp;P-041-MS08-2RST - SCB</t>
        </is>
      </c>
      <c r="C153" s="38" t="n">
        <v>18</v>
      </c>
      <c r="D153" s="38" t="n">
        <v>0</v>
      </c>
      <c r="E153" s="38" t="n">
        <v>-120</v>
      </c>
      <c r="F153" s="38" t="n">
        <v>80</v>
      </c>
      <c r="G153" s="38" t="n">
        <v>0</v>
      </c>
      <c r="H153" s="38" t="n">
        <v>-11</v>
      </c>
      <c r="I153" s="38" t="n">
        <v>18</v>
      </c>
      <c r="J153" s="38" t="n">
        <v>0</v>
      </c>
      <c r="K153" s="38" t="n">
        <v>-120</v>
      </c>
      <c r="L153" s="38" t="n">
        <v>40</v>
      </c>
      <c r="M153" s="38" t="n">
        <v>0</v>
      </c>
      <c r="N153" s="38" t="n">
        <v>-10</v>
      </c>
      <c r="O153" s="38" t="inlineStr">
        <is>
          <t>C3</t>
        </is>
      </c>
      <c r="P153" s="38" t="n">
        <v>33</v>
      </c>
      <c r="Q153" s="38" t="n">
        <v>15</v>
      </c>
      <c r="R153" s="38" t="inlineStr">
        <is>
          <t>NO</t>
        </is>
      </c>
      <c r="S153" s="38" t="inlineStr">
        <is>
          <t>NO</t>
        </is>
      </c>
      <c r="T153" s="38" t="inlineStr">
        <is>
          <t>NO</t>
        </is>
      </c>
      <c r="U153" s="38" t="n">
        <v>64</v>
      </c>
      <c r="V153" s="38" t="n">
        <v>58</v>
      </c>
      <c r="W153" s="38" t="n">
        <v>64</v>
      </c>
      <c r="X153" s="38" t="n">
        <v>58</v>
      </c>
      <c r="Y153" s="45" t="inlineStr">
        <is>
          <t>30 ± 5</t>
        </is>
      </c>
      <c r="Z153" s="45" t="inlineStr">
        <is>
          <t>standard</t>
        </is>
      </c>
      <c r="AA153" s="45" t="inlineStr">
        <is>
          <t>standard</t>
        </is>
      </c>
      <c r="AB153" s="45" t="inlineStr">
        <is>
          <t>standard</t>
        </is>
      </c>
      <c r="AC153" s="52" t="n">
        <v>43238</v>
      </c>
      <c r="AD153" s="57" t="inlineStr">
        <is>
          <t>A</t>
        </is>
      </c>
    </row>
    <row r="154" ht="12.75" customHeight="1" s="123">
      <c r="A154" s="85" t="n">
        <v>152</v>
      </c>
      <c r="B154" s="30" t="inlineStr">
        <is>
          <t>B&amp;P-041-MS09-2RSTK  - CMI</t>
        </is>
      </c>
      <c r="C154" s="38" t="n">
        <v>19</v>
      </c>
      <c r="D154" s="38" t="n">
        <v>0</v>
      </c>
      <c r="E154" s="38" t="n">
        <v>-120</v>
      </c>
      <c r="F154" s="38" t="n">
        <v>85</v>
      </c>
      <c r="G154" s="38" t="n">
        <v>0</v>
      </c>
      <c r="H154" s="38" t="n">
        <v>-15</v>
      </c>
      <c r="I154" s="38" t="n">
        <v>19</v>
      </c>
      <c r="J154" s="38" t="n">
        <v>0</v>
      </c>
      <c r="K154" s="38" t="n">
        <v>-120</v>
      </c>
      <c r="L154" s="38" t="n">
        <v>45</v>
      </c>
      <c r="M154" s="38" t="n">
        <v>0</v>
      </c>
      <c r="N154" s="38" t="n">
        <v>-12</v>
      </c>
      <c r="O154" s="38" t="inlineStr">
        <is>
          <t>C3</t>
        </is>
      </c>
      <c r="P154" s="38" t="n">
        <v>36</v>
      </c>
      <c r="Q154" s="38" t="n">
        <v>18</v>
      </c>
      <c r="R154" s="38" t="inlineStr">
        <is>
          <t>NO</t>
        </is>
      </c>
      <c r="S154" s="38" t="inlineStr">
        <is>
          <t>NO</t>
        </is>
      </c>
      <c r="T154" s="38" t="inlineStr">
        <is>
          <t>NO</t>
        </is>
      </c>
      <c r="U154" s="38" t="n">
        <v>64</v>
      </c>
      <c r="V154" s="38" t="n">
        <v>58</v>
      </c>
      <c r="W154" s="38" t="n">
        <v>64</v>
      </c>
      <c r="X154" s="38" t="n">
        <v>58</v>
      </c>
      <c r="Y154" s="38" t="inlineStr">
        <is>
          <t>13 - 14,8</t>
        </is>
      </c>
      <c r="Z154" s="38" t="inlineStr">
        <is>
          <t>Polyrex</t>
        </is>
      </c>
      <c r="AA154" s="45" t="inlineStr">
        <is>
          <t>High torque</t>
        </is>
      </c>
      <c r="AB154" s="45" t="inlineStr">
        <is>
          <t>high torque</t>
        </is>
      </c>
      <c r="AC154" s="44" t="n">
        <v>42663</v>
      </c>
      <c r="AD154" s="57" t="n">
        <v>0</v>
      </c>
    </row>
    <row r="155" ht="12.75" customHeight="1" s="123">
      <c r="A155" s="85" t="n">
        <v>153</v>
      </c>
      <c r="B155" s="30" t="inlineStr">
        <is>
          <t>B10-50D-C3</t>
        </is>
      </c>
      <c r="C155" s="38" t="n">
        <v>11</v>
      </c>
      <c r="D155" s="38" t="n">
        <v>0</v>
      </c>
      <c r="E155" s="38" t="n">
        <v>-120</v>
      </c>
      <c r="F155" s="38" t="n">
        <v>27</v>
      </c>
      <c r="G155" s="38" t="n">
        <v>0</v>
      </c>
      <c r="H155" s="38" t="n">
        <v>-8</v>
      </c>
      <c r="I155" s="38" t="n">
        <v>11</v>
      </c>
      <c r="J155" s="38" t="n">
        <v>0</v>
      </c>
      <c r="K155" s="38" t="n">
        <v>-120</v>
      </c>
      <c r="L155" s="38" t="n">
        <v>10</v>
      </c>
      <c r="M155" s="38" t="n">
        <v>0</v>
      </c>
      <c r="N155" s="38" t="n">
        <v>-8</v>
      </c>
      <c r="O155" s="38" t="inlineStr">
        <is>
          <t>C3</t>
        </is>
      </c>
      <c r="P155" s="38" t="n">
        <v>8</v>
      </c>
      <c r="Q155" s="38" t="n">
        <v>23</v>
      </c>
      <c r="R155" s="38" t="n"/>
      <c r="S155" s="38" t="n"/>
      <c r="T155" s="38" t="n"/>
      <c r="U155" s="38" t="n"/>
      <c r="V155" s="38" t="n"/>
      <c r="W155" s="38" t="n"/>
      <c r="X155" s="38" t="n"/>
      <c r="Y155" s="36" t="n"/>
      <c r="Z155" s="38" t="n"/>
      <c r="AA155" s="45" t="inlineStr">
        <is>
          <t>…………..</t>
        </is>
      </c>
      <c r="AB155" s="45" t="inlineStr">
        <is>
          <t>…………..</t>
        </is>
      </c>
      <c r="AC155" s="44" t="inlineStr">
        <is>
          <t>……………</t>
        </is>
      </c>
      <c r="AD155" s="57" t="inlineStr">
        <is>
          <t>………</t>
        </is>
      </c>
    </row>
    <row r="156" ht="12.75" customHeight="1" s="123">
      <c r="A156" s="85" t="n">
        <v>154</v>
      </c>
      <c r="B156" s="30" t="inlineStr">
        <is>
          <t>B17-99DD</t>
        </is>
      </c>
      <c r="C156" s="38" t="n">
        <v>17</v>
      </c>
      <c r="D156" s="38" t="n">
        <v>0</v>
      </c>
      <c r="E156" s="38" t="n">
        <v>-120</v>
      </c>
      <c r="F156" s="38" t="n">
        <v>52</v>
      </c>
      <c r="G156" s="38" t="n">
        <v>0</v>
      </c>
      <c r="H156" s="38" t="n">
        <v>-13</v>
      </c>
      <c r="I156" s="38" t="n">
        <v>17</v>
      </c>
      <c r="J156" s="38" t="n">
        <v>0</v>
      </c>
      <c r="K156" s="38" t="n">
        <v>-120</v>
      </c>
      <c r="L156" s="38" t="n">
        <v>17</v>
      </c>
      <c r="M156" s="38" t="n">
        <v>0</v>
      </c>
      <c r="N156" s="38" t="n">
        <v>-8</v>
      </c>
      <c r="O156" s="38" t="inlineStr">
        <is>
          <t>C3</t>
        </is>
      </c>
      <c r="P156" s="38" t="n">
        <v>11</v>
      </c>
      <c r="Q156" s="38" t="n">
        <v>25</v>
      </c>
      <c r="R156" s="38" t="n"/>
      <c r="S156" s="38" t="n"/>
      <c r="T156" s="38" t="n"/>
      <c r="U156" s="38" t="n"/>
      <c r="V156" s="38" t="n"/>
      <c r="W156" s="38" t="n"/>
      <c r="X156" s="38" t="n"/>
      <c r="Y156" s="36" t="n"/>
      <c r="Z156" s="38" t="n"/>
      <c r="AA156" s="45" t="inlineStr">
        <is>
          <t>…………..</t>
        </is>
      </c>
      <c r="AB156" s="45" t="inlineStr">
        <is>
          <t>…………..</t>
        </is>
      </c>
      <c r="AC156" s="44" t="inlineStr">
        <is>
          <t>……………</t>
        </is>
      </c>
      <c r="AD156" s="57" t="inlineStr">
        <is>
          <t>………</t>
        </is>
      </c>
    </row>
    <row r="157" ht="12.75" customHeight="1" s="123">
      <c r="A157" s="85" t="n">
        <v>155</v>
      </c>
      <c r="B157" s="30" t="inlineStr">
        <is>
          <t>BP-12005</t>
        </is>
      </c>
      <c r="C157" s="38" t="n">
        <v>28</v>
      </c>
      <c r="D157" s="38" t="n">
        <v>20</v>
      </c>
      <c r="E157" s="38" t="n">
        <v>-20</v>
      </c>
      <c r="F157" s="38" t="n">
        <v>80</v>
      </c>
      <c r="G157" s="38" t="n">
        <v>10</v>
      </c>
      <c r="H157" s="38" t="n">
        <v>-10</v>
      </c>
      <c r="I157" s="38" t="n">
        <v>31</v>
      </c>
      <c r="J157" s="38" t="n">
        <v>20</v>
      </c>
      <c r="K157" s="38" t="n">
        <v>-20</v>
      </c>
      <c r="L157" s="38" t="n">
        <v>20</v>
      </c>
      <c r="M157" s="38" t="n">
        <v>0</v>
      </c>
      <c r="N157" s="38" t="n">
        <v>-30</v>
      </c>
      <c r="O157" s="38" t="inlineStr">
        <is>
          <t>C5</t>
        </is>
      </c>
      <c r="P157" s="38" t="inlineStr">
        <is>
          <t>NO</t>
        </is>
      </c>
      <c r="Q157" s="38" t="inlineStr">
        <is>
          <t>NO</t>
        </is>
      </c>
      <c r="R157" s="38" t="inlineStr">
        <is>
          <t>NO</t>
        </is>
      </c>
      <c r="S157" s="38" t="inlineStr">
        <is>
          <t>NO</t>
        </is>
      </c>
      <c r="T157" s="38" t="inlineStr">
        <is>
          <t>NO</t>
        </is>
      </c>
      <c r="U157" s="38" t="n">
        <v>64</v>
      </c>
      <c r="V157" s="38" t="n">
        <v>58</v>
      </c>
      <c r="W157" s="38" t="n">
        <v>64</v>
      </c>
      <c r="X157" s="38" t="n">
        <v>58</v>
      </c>
      <c r="Y157" s="38" t="inlineStr">
        <is>
          <t>NO</t>
        </is>
      </c>
      <c r="Z157" s="38" t="inlineStr">
        <is>
          <t>NO</t>
        </is>
      </c>
      <c r="AA157" s="45" t="inlineStr">
        <is>
          <t>…………..</t>
        </is>
      </c>
      <c r="AB157" s="45" t="inlineStr">
        <is>
          <t>…………..</t>
        </is>
      </c>
      <c r="AC157" s="44" t="inlineStr">
        <is>
          <t>……………</t>
        </is>
      </c>
      <c r="AD157" s="57" t="inlineStr">
        <is>
          <t>………</t>
        </is>
      </c>
    </row>
    <row r="158" ht="12.75" customHeight="1" s="123">
      <c r="A158" s="85" t="n">
        <v>156</v>
      </c>
      <c r="B158" s="30" t="inlineStr">
        <is>
          <t>BPB-031-12025ROLLERS - DU25520037ZZ - BBS</t>
        </is>
      </c>
      <c r="C158" s="38" t="n">
        <v>37</v>
      </c>
      <c r="D158" s="38" t="n">
        <v>0</v>
      </c>
      <c r="E158" s="38" t="n">
        <v>-120</v>
      </c>
      <c r="F158" s="38" t="n">
        <v>52</v>
      </c>
      <c r="G158" s="38" t="n">
        <v>0</v>
      </c>
      <c r="H158" s="38" t="n">
        <v>-16</v>
      </c>
      <c r="I158" s="38" t="n">
        <v>37</v>
      </c>
      <c r="J158" s="38" t="n">
        <v>0</v>
      </c>
      <c r="K158" s="38" t="n">
        <v>-120</v>
      </c>
      <c r="L158" s="38" t="n">
        <v>25</v>
      </c>
      <c r="M158" s="38" t="n">
        <v>0</v>
      </c>
      <c r="N158" s="38" t="n">
        <v>-12</v>
      </c>
      <c r="O158" s="38" t="inlineStr">
        <is>
          <t>NO</t>
        </is>
      </c>
      <c r="P158" s="38" t="inlineStr">
        <is>
          <t>NO</t>
        </is>
      </c>
      <c r="Q158" s="38" t="inlineStr">
        <is>
          <t>NO</t>
        </is>
      </c>
      <c r="R158" s="38" t="inlineStr">
        <is>
          <t>Axial</t>
        </is>
      </c>
      <c r="S158" s="38" t="n">
        <v>210</v>
      </c>
      <c r="T158" s="38" t="n">
        <v>150</v>
      </c>
      <c r="U158" s="38" t="n">
        <v>65</v>
      </c>
      <c r="V158" s="38" t="n">
        <v>60</v>
      </c>
      <c r="W158" s="38" t="n">
        <v>65</v>
      </c>
      <c r="X158" s="38" t="n">
        <v>60</v>
      </c>
      <c r="Y158" s="45" t="inlineStr">
        <is>
          <t>3,0-6,0</t>
        </is>
      </c>
      <c r="Z158" s="45" t="inlineStr">
        <is>
          <t>RONEX MP</t>
        </is>
      </c>
      <c r="AA158" s="45" t="inlineStr">
        <is>
          <t>NO</t>
        </is>
      </c>
      <c r="AB158" s="38" t="inlineStr">
        <is>
          <t>NO</t>
        </is>
      </c>
      <c r="AC158" s="44" t="n">
        <v>43894</v>
      </c>
      <c r="AD158" s="57" t="inlineStr">
        <is>
          <t>B</t>
        </is>
      </c>
    </row>
    <row r="159" ht="12.75" customHeight="1" s="123">
      <c r="A159" s="85" t="n">
        <v>157</v>
      </c>
      <c r="B159" s="30" t="inlineStr">
        <is>
          <t xml:space="preserve">BPB-031-DAC-39720037 - BBS </t>
        </is>
      </c>
      <c r="C159" s="38" t="n">
        <v>37</v>
      </c>
      <c r="D159" s="38" t="n">
        <v>0</v>
      </c>
      <c r="E159" s="38" t="n">
        <v>-120</v>
      </c>
      <c r="F159" s="38" t="n">
        <v>72</v>
      </c>
      <c r="G159" s="38" t="n">
        <v>0</v>
      </c>
      <c r="H159" s="38" t="n">
        <v>-13</v>
      </c>
      <c r="I159" s="38" t="n">
        <v>37</v>
      </c>
      <c r="J159" s="38" t="n">
        <v>0</v>
      </c>
      <c r="K159" s="38" t="n">
        <v>-120</v>
      </c>
      <c r="L159" s="38" t="n">
        <v>39</v>
      </c>
      <c r="M159" s="38" t="n">
        <v>0</v>
      </c>
      <c r="N159" s="38" t="n">
        <v>-12</v>
      </c>
      <c r="O159" s="38" t="inlineStr">
        <is>
          <t>NO</t>
        </is>
      </c>
      <c r="P159" s="38" t="inlineStr">
        <is>
          <t>NO</t>
        </is>
      </c>
      <c r="Q159" s="38" t="inlineStr">
        <is>
          <t>NO</t>
        </is>
      </c>
      <c r="R159" s="38" t="inlineStr">
        <is>
          <t>………</t>
        </is>
      </c>
      <c r="S159" s="38" t="n">
        <v>70</v>
      </c>
      <c r="T159" s="38" t="n">
        <v>30</v>
      </c>
      <c r="U159" s="38" t="n">
        <v>64</v>
      </c>
      <c r="V159" s="38" t="n">
        <v>58</v>
      </c>
      <c r="W159" s="38" t="n">
        <v>64</v>
      </c>
      <c r="X159" s="38" t="n">
        <v>58</v>
      </c>
      <c r="Y159" s="36" t="inlineStr">
        <is>
          <t>50 - 60%</t>
        </is>
      </c>
      <c r="Z159" s="38" t="inlineStr">
        <is>
          <t>Polyrex</t>
        </is>
      </c>
      <c r="AA159" s="45" t="inlineStr">
        <is>
          <t>NO</t>
        </is>
      </c>
      <c r="AB159" s="45" t="inlineStr">
        <is>
          <t>NO</t>
        </is>
      </c>
      <c r="AC159" s="44" t="n">
        <v>43216</v>
      </c>
      <c r="AD159" s="57" t="inlineStr">
        <is>
          <t>A</t>
        </is>
      </c>
    </row>
    <row r="160" ht="12.75" customHeight="1" s="123">
      <c r="A160" s="85" t="n">
        <v>158</v>
      </c>
      <c r="B160" s="30" t="inlineStr">
        <is>
          <t>BPB-031-DAC447208331 - HZRAD</t>
        </is>
      </c>
      <c r="C160" s="38" t="n">
        <v>33.1</v>
      </c>
      <c r="D160" s="38" t="n">
        <v>0</v>
      </c>
      <c r="E160" s="38" t="n">
        <v>-120</v>
      </c>
      <c r="F160" s="38" t="n">
        <v>72.08</v>
      </c>
      <c r="G160" s="38" t="n">
        <v>30</v>
      </c>
      <c r="H160" s="38" t="n">
        <v>-13</v>
      </c>
      <c r="I160" s="38" t="n">
        <v>33.1</v>
      </c>
      <c r="J160" s="38" t="n">
        <v>0</v>
      </c>
      <c r="K160" s="38" t="n">
        <v>-120</v>
      </c>
      <c r="L160" s="38" t="n">
        <v>44</v>
      </c>
      <c r="M160" s="38" t="n">
        <v>0</v>
      </c>
      <c r="N160" s="38" t="n">
        <v>-12</v>
      </c>
      <c r="O160" s="38" t="inlineStr">
        <is>
          <t>NO</t>
        </is>
      </c>
      <c r="P160" s="38" t="inlineStr">
        <is>
          <t>NO</t>
        </is>
      </c>
      <c r="Q160" s="38" t="inlineStr">
        <is>
          <t>NO</t>
        </is>
      </c>
      <c r="R160" s="38" t="inlineStr">
        <is>
          <t>Axial</t>
        </is>
      </c>
      <c r="S160" s="38" t="n">
        <v>70</v>
      </c>
      <c r="T160" s="38" t="n">
        <v>30</v>
      </c>
      <c r="U160" s="38" t="n">
        <v>64</v>
      </c>
      <c r="V160" s="38" t="n">
        <v>58</v>
      </c>
      <c r="W160" s="38" t="n">
        <v>64</v>
      </c>
      <c r="X160" s="38" t="n">
        <v>58</v>
      </c>
      <c r="Y160" s="38" t="inlineStr">
        <is>
          <t>5 - 7 gr</t>
        </is>
      </c>
      <c r="Z160" s="38" t="inlineStr">
        <is>
          <t>standard</t>
        </is>
      </c>
      <c r="AA160" s="45" t="inlineStr">
        <is>
          <t>standard</t>
        </is>
      </c>
      <c r="AB160" s="38" t="inlineStr">
        <is>
          <t>standard</t>
        </is>
      </c>
      <c r="AC160" s="52" t="n">
        <v>43110</v>
      </c>
      <c r="AD160" s="51" t="n">
        <v>0</v>
      </c>
    </row>
    <row r="161" ht="12.75" customHeight="1" s="123">
      <c r="A161" s="85" t="n">
        <v>159</v>
      </c>
      <c r="B161" s="30" t="inlineStr">
        <is>
          <t>BPB-040-7207-B-TN - HLBR</t>
        </is>
      </c>
      <c r="C161" s="38" t="n">
        <v>17</v>
      </c>
      <c r="D161" s="38" t="n">
        <v>0</v>
      </c>
      <c r="E161" s="38" t="n">
        <v>-120</v>
      </c>
      <c r="F161" s="38" t="n">
        <v>72</v>
      </c>
      <c r="G161" s="38" t="n">
        <v>0</v>
      </c>
      <c r="H161" s="38" t="n">
        <v>-11</v>
      </c>
      <c r="I161" s="38" t="n">
        <v>17</v>
      </c>
      <c r="J161" s="38" t="n">
        <v>0</v>
      </c>
      <c r="K161" s="38" t="n">
        <v>-30</v>
      </c>
      <c r="L161" s="38" t="n">
        <v>35</v>
      </c>
      <c r="M161" s="38" t="n">
        <v>0</v>
      </c>
      <c r="N161" s="38" t="n">
        <v>-10</v>
      </c>
      <c r="O161" s="38" t="inlineStr">
        <is>
          <t>NO</t>
        </is>
      </c>
      <c r="P161" s="38" t="inlineStr">
        <is>
          <t>NO</t>
        </is>
      </c>
      <c r="Q161" s="38" t="inlineStr">
        <is>
          <t>NO</t>
        </is>
      </c>
      <c r="R161" s="38" t="inlineStr">
        <is>
          <t>AXIal</t>
        </is>
      </c>
      <c r="S161" s="38" t="n">
        <v>26</v>
      </c>
      <c r="T161" s="38" t="n">
        <v>12</v>
      </c>
      <c r="U161" s="38" t="n">
        <v>65</v>
      </c>
      <c r="V161" s="38" t="n">
        <v>60</v>
      </c>
      <c r="W161" s="38" t="n">
        <v>65</v>
      </c>
      <c r="X161" s="38" t="n">
        <v>60</v>
      </c>
      <c r="Y161" s="38" t="inlineStr">
        <is>
          <t>NO</t>
        </is>
      </c>
      <c r="Z161" s="38" t="inlineStr">
        <is>
          <t>NO</t>
        </is>
      </c>
      <c r="AA161" s="45" t="inlineStr">
        <is>
          <t>NO</t>
        </is>
      </c>
      <c r="AB161" s="38" t="inlineStr">
        <is>
          <t>NO</t>
        </is>
      </c>
      <c r="AC161" s="52" t="n">
        <v>42950</v>
      </c>
      <c r="AD161" s="51" t="n">
        <v>0</v>
      </c>
    </row>
    <row r="162" ht="12.75" customHeight="1" s="123">
      <c r="A162" s="85" t="n">
        <v>160</v>
      </c>
      <c r="B162" s="30" t="inlineStr">
        <is>
          <t>BPB-040-7209-B-TN - HLBR</t>
        </is>
      </c>
      <c r="C162" s="38" t="n">
        <v>19</v>
      </c>
      <c r="D162" s="38" t="n">
        <v>0</v>
      </c>
      <c r="E162" s="38" t="n">
        <v>-120</v>
      </c>
      <c r="F162" s="38" t="n">
        <v>85</v>
      </c>
      <c r="G162" s="38" t="n">
        <v>0</v>
      </c>
      <c r="H162" s="38" t="n">
        <v>-13</v>
      </c>
      <c r="I162" s="38" t="n">
        <v>19</v>
      </c>
      <c r="J162" s="38" t="n">
        <v>0</v>
      </c>
      <c r="K162" s="38" t="n">
        <v>-30</v>
      </c>
      <c r="L162" s="38" t="n">
        <v>45</v>
      </c>
      <c r="M162" s="38" t="n">
        <v>0</v>
      </c>
      <c r="N162" s="38" t="n">
        <v>-10</v>
      </c>
      <c r="O162" s="38" t="inlineStr">
        <is>
          <t>NO</t>
        </is>
      </c>
      <c r="P162" s="38" t="inlineStr">
        <is>
          <t>NO</t>
        </is>
      </c>
      <c r="Q162" s="38" t="inlineStr">
        <is>
          <t>NO</t>
        </is>
      </c>
      <c r="R162" s="38" t="inlineStr">
        <is>
          <t>AXIAL</t>
        </is>
      </c>
      <c r="S162" s="38" t="n">
        <v>30</v>
      </c>
      <c r="T162" s="38" t="n">
        <v>12</v>
      </c>
      <c r="U162" s="38" t="n">
        <v>65</v>
      </c>
      <c r="V162" s="38" t="n">
        <v>60</v>
      </c>
      <c r="W162" s="38" t="n">
        <v>65</v>
      </c>
      <c r="X162" s="38" t="n">
        <v>60</v>
      </c>
      <c r="Y162" s="38" t="inlineStr">
        <is>
          <t>NO</t>
        </is>
      </c>
      <c r="Z162" s="38" t="inlineStr">
        <is>
          <t>NO</t>
        </is>
      </c>
      <c r="AA162" s="45" t="inlineStr">
        <is>
          <t>NO</t>
        </is>
      </c>
      <c r="AB162" s="38" t="inlineStr">
        <is>
          <t>NO</t>
        </is>
      </c>
      <c r="AC162" s="44" t="n">
        <v>42950</v>
      </c>
      <c r="AD162" s="57" t="n">
        <v>0</v>
      </c>
    </row>
    <row r="163" ht="12.75" customHeight="1" s="123">
      <c r="A163" s="85" t="n">
        <v>161</v>
      </c>
      <c r="B163" s="30" t="inlineStr">
        <is>
          <t>BPB-040-MG-5306-KRR3 - CMI</t>
        </is>
      </c>
      <c r="C163" s="38" t="n">
        <v>30</v>
      </c>
      <c r="D163" s="38" t="n">
        <v>0</v>
      </c>
      <c r="E163" s="38" t="n">
        <v>-120</v>
      </c>
      <c r="F163" s="38" t="n">
        <v>70</v>
      </c>
      <c r="G163" s="38" t="n">
        <v>0</v>
      </c>
      <c r="H163" s="38" t="n">
        <v>-11</v>
      </c>
      <c r="I163" s="38" t="n">
        <v>35</v>
      </c>
      <c r="J163" s="38" t="n">
        <v>0</v>
      </c>
      <c r="K163" s="38" t="n">
        <v>-120</v>
      </c>
      <c r="L163" s="38" t="n">
        <v>24</v>
      </c>
      <c r="M163" s="38" t="n">
        <v>30</v>
      </c>
      <c r="N163" s="38" t="n">
        <v>-20</v>
      </c>
      <c r="O163" s="38" t="inlineStr">
        <is>
          <t>C3</t>
        </is>
      </c>
      <c r="P163" s="38" t="inlineStr">
        <is>
          <t>NO</t>
        </is>
      </c>
      <c r="Q163" s="38" t="inlineStr">
        <is>
          <t>NO</t>
        </is>
      </c>
      <c r="R163" s="38" t="inlineStr">
        <is>
          <t>AXIAL</t>
        </is>
      </c>
      <c r="S163" s="38" t="n">
        <v>37</v>
      </c>
      <c r="T163" s="38" t="n">
        <v>18</v>
      </c>
      <c r="U163" s="38" t="n">
        <v>64</v>
      </c>
      <c r="V163" s="38" t="n">
        <v>58</v>
      </c>
      <c r="W163" s="38" t="n">
        <v>64</v>
      </c>
      <c r="X163" s="38" t="n">
        <v>58</v>
      </c>
      <c r="Y163" s="36" t="inlineStr">
        <is>
          <t>4,8gr</t>
        </is>
      </c>
      <c r="Z163" s="38" t="inlineStr">
        <is>
          <t>Microlube GL 262</t>
        </is>
      </c>
      <c r="AA163" s="45" t="inlineStr">
        <is>
          <t>45cNm / 0,45Nm</t>
        </is>
      </c>
      <c r="AB163" s="45" t="inlineStr">
        <is>
          <t>35cNm / 0,35Nm</t>
        </is>
      </c>
      <c r="AC163" s="44" t="n">
        <v>42041</v>
      </c>
      <c r="AD163" s="57" t="inlineStr">
        <is>
          <t>E</t>
        </is>
      </c>
    </row>
    <row r="164" ht="12.75" customHeight="1" s="123">
      <c r="A164" s="85" t="n">
        <v>162</v>
      </c>
      <c r="B164" s="30" t="inlineStr">
        <is>
          <t>BPB-041-5307-2RS-C3 - HLBR</t>
        </is>
      </c>
      <c r="C164" s="38" t="n">
        <v>34.925</v>
      </c>
      <c r="D164" s="38" t="n">
        <v>0</v>
      </c>
      <c r="E164" s="38" t="n">
        <v>-120</v>
      </c>
      <c r="F164" s="38" t="n">
        <v>80</v>
      </c>
      <c r="G164" s="38" t="n">
        <v>0</v>
      </c>
      <c r="H164" s="38" t="n">
        <v>-11</v>
      </c>
      <c r="I164" s="40" t="n">
        <v>34.925</v>
      </c>
      <c r="J164" s="40" t="n">
        <v>0</v>
      </c>
      <c r="K164" s="40" t="n">
        <v>-120</v>
      </c>
      <c r="L164" s="38" t="n">
        <v>35</v>
      </c>
      <c r="M164" s="38" t="n">
        <v>0</v>
      </c>
      <c r="N164" s="38" t="n">
        <v>-12</v>
      </c>
      <c r="O164" s="38" t="inlineStr">
        <is>
          <t>NO</t>
        </is>
      </c>
      <c r="P164" s="38" t="inlineStr">
        <is>
          <t>NO</t>
        </is>
      </c>
      <c r="Q164" s="38" t="inlineStr">
        <is>
          <t>NO</t>
        </is>
      </c>
      <c r="R164" s="38" t="inlineStr">
        <is>
          <t>C3</t>
        </is>
      </c>
      <c r="S164" s="38" t="n">
        <v>40</v>
      </c>
      <c r="T164" s="38" t="n">
        <v>21</v>
      </c>
      <c r="U164" s="38" t="n">
        <v>64</v>
      </c>
      <c r="V164" s="38" t="n">
        <v>58</v>
      </c>
      <c r="W164" s="38" t="n">
        <v>64</v>
      </c>
      <c r="X164" s="38" t="n">
        <v>58</v>
      </c>
      <c r="Y164" s="43" t="inlineStr">
        <is>
          <t>30 ± 5</t>
        </is>
      </c>
      <c r="Z164" s="45" t="inlineStr">
        <is>
          <t>standard</t>
        </is>
      </c>
      <c r="AA164" s="45" t="inlineStr">
        <is>
          <t>standard</t>
        </is>
      </c>
      <c r="AB164" s="45" t="inlineStr">
        <is>
          <t>standard</t>
        </is>
      </c>
      <c r="AC164" s="44" t="n">
        <v>43188</v>
      </c>
      <c r="AD164" s="57" t="n">
        <v>0</v>
      </c>
    </row>
    <row r="165" ht="12.75" customHeight="1" s="123">
      <c r="A165" s="85" t="n">
        <v>163</v>
      </c>
      <c r="B165" s="30" t="inlineStr">
        <is>
          <t>BPB-041-6013-2RST-22 - CMI</t>
        </is>
      </c>
      <c r="C165" s="38" t="n">
        <v>18</v>
      </c>
      <c r="D165" s="38" t="n">
        <v>0</v>
      </c>
      <c r="E165" s="38" t="n">
        <v>-150</v>
      </c>
      <c r="F165" s="38" t="n">
        <v>100</v>
      </c>
      <c r="G165" s="38" t="n">
        <v>0</v>
      </c>
      <c r="H165" s="38" t="n">
        <v>-15</v>
      </c>
      <c r="I165" s="38" t="n">
        <v>18</v>
      </c>
      <c r="J165" s="38" t="n">
        <v>0</v>
      </c>
      <c r="K165" s="38" t="n">
        <v>-150</v>
      </c>
      <c r="L165" s="38" t="n">
        <v>65</v>
      </c>
      <c r="M165" s="38" t="n">
        <v>0</v>
      </c>
      <c r="N165" s="38" t="n">
        <v>-15</v>
      </c>
      <c r="O165" s="38" t="inlineStr">
        <is>
          <t>C3</t>
        </is>
      </c>
      <c r="P165" s="38" t="n">
        <v>43</v>
      </c>
      <c r="Q165" s="38" t="n">
        <v>23</v>
      </c>
      <c r="R165" s="38" t="inlineStr">
        <is>
          <t>NO</t>
        </is>
      </c>
      <c r="S165" s="38" t="inlineStr">
        <is>
          <t>NO</t>
        </is>
      </c>
      <c r="T165" s="38" t="inlineStr">
        <is>
          <t>NO</t>
        </is>
      </c>
      <c r="U165" s="38" t="n">
        <v>64</v>
      </c>
      <c r="V165" s="38" t="n">
        <v>58</v>
      </c>
      <c r="W165" s="38" t="n">
        <v>64</v>
      </c>
      <c r="X165" s="38" t="n">
        <v>58</v>
      </c>
      <c r="Y165" s="43" t="inlineStr">
        <is>
          <t>70 - 80 %</t>
        </is>
      </c>
      <c r="Z165" s="38" t="inlineStr">
        <is>
          <t>Polyrex</t>
        </is>
      </c>
      <c r="AA165" s="45" t="inlineStr">
        <is>
          <t>High</t>
        </is>
      </c>
      <c r="AB165" s="45" t="inlineStr">
        <is>
          <t>High</t>
        </is>
      </c>
      <c r="AC165" s="44" t="n">
        <v>42891</v>
      </c>
      <c r="AD165" s="57" t="inlineStr">
        <is>
          <t>B</t>
        </is>
      </c>
    </row>
    <row r="166" ht="12.75" customHeight="1" s="123">
      <c r="A166" s="85" t="n">
        <v>164</v>
      </c>
      <c r="B166" s="30" t="inlineStr">
        <is>
          <t>BPB-041-HD06-2RST1-ZH</t>
        </is>
      </c>
      <c r="C166" s="38" t="n">
        <v>19</v>
      </c>
      <c r="D166" s="38" t="n">
        <v>0</v>
      </c>
      <c r="E166" s="38" t="n">
        <v>-120</v>
      </c>
      <c r="F166" s="38" t="n">
        <v>72</v>
      </c>
      <c r="G166" s="38" t="n">
        <v>0</v>
      </c>
      <c r="H166" s="38" t="n">
        <v>-13</v>
      </c>
      <c r="I166" s="38" t="n">
        <v>19</v>
      </c>
      <c r="J166" s="38" t="n">
        <v>0</v>
      </c>
      <c r="K166" s="38" t="n">
        <v>-120</v>
      </c>
      <c r="L166" s="38" t="n">
        <v>30</v>
      </c>
      <c r="M166" s="38" t="n">
        <v>0</v>
      </c>
      <c r="N166" s="38" t="n">
        <v>-10</v>
      </c>
      <c r="O166" s="38" t="inlineStr">
        <is>
          <t>C3</t>
        </is>
      </c>
      <c r="P166" s="38" t="n">
        <v>28</v>
      </c>
      <c r="Q166" s="38" t="n">
        <v>13</v>
      </c>
      <c r="R166" s="38" t="inlineStr">
        <is>
          <t>NO</t>
        </is>
      </c>
      <c r="S166" s="38" t="inlineStr">
        <is>
          <t>NO</t>
        </is>
      </c>
      <c r="T166" s="38" t="inlineStr">
        <is>
          <t>NO</t>
        </is>
      </c>
      <c r="U166" s="38" t="n">
        <v>64</v>
      </c>
      <c r="V166" s="38" t="n">
        <v>58</v>
      </c>
      <c r="W166" s="38" t="n">
        <v>64</v>
      </c>
      <c r="X166" s="38" t="n">
        <v>58</v>
      </c>
      <c r="Y166" s="38" t="inlineStr">
        <is>
          <t>3,5-4,9</t>
        </is>
      </c>
      <c r="Z166" s="38" t="inlineStr">
        <is>
          <t>Blue grease</t>
        </is>
      </c>
      <c r="AA166" s="45" t="inlineStr">
        <is>
          <t>Standard</t>
        </is>
      </c>
      <c r="AB166" s="38" t="inlineStr">
        <is>
          <t>Standard</t>
        </is>
      </c>
      <c r="AC166" s="52" t="n">
        <v>43439</v>
      </c>
      <c r="AD166" s="51" t="n">
        <v>0</v>
      </c>
    </row>
    <row r="167" ht="12.75" customHeight="1" s="123">
      <c r="A167" s="85" t="n">
        <v>165</v>
      </c>
      <c r="B167" s="30" t="inlineStr">
        <is>
          <t>BPB-041-HD09-2RS - ZJFD</t>
        </is>
      </c>
      <c r="C167" s="38" t="n">
        <v>25</v>
      </c>
      <c r="D167" s="38" t="n">
        <v>0</v>
      </c>
      <c r="E167" s="38" t="n">
        <v>-120</v>
      </c>
      <c r="F167" s="38" t="n">
        <v>100</v>
      </c>
      <c r="G167" s="38" t="n">
        <v>0</v>
      </c>
      <c r="H167" s="38" t="n">
        <v>-15</v>
      </c>
      <c r="I167" s="38" t="n">
        <v>25</v>
      </c>
      <c r="J167" s="38" t="n">
        <v>0</v>
      </c>
      <c r="K167" s="38" t="n">
        <v>-120</v>
      </c>
      <c r="L167" s="38" t="n">
        <v>45</v>
      </c>
      <c r="M167" s="38" t="n">
        <v>0</v>
      </c>
      <c r="N167" s="38" t="n">
        <v>-12</v>
      </c>
      <c r="O167" s="38" t="inlineStr">
        <is>
          <t>C3</t>
        </is>
      </c>
      <c r="P167" s="38" t="n">
        <v>36</v>
      </c>
      <c r="Q167" s="38" t="n">
        <v>18</v>
      </c>
      <c r="R167" s="38" t="inlineStr">
        <is>
          <t>NO</t>
        </is>
      </c>
      <c r="S167" s="38" t="inlineStr">
        <is>
          <t>NO</t>
        </is>
      </c>
      <c r="T167" s="38" t="inlineStr">
        <is>
          <t>NO</t>
        </is>
      </c>
      <c r="U167" s="38" t="n">
        <v>64</v>
      </c>
      <c r="V167" s="38" t="n">
        <v>58</v>
      </c>
      <c r="W167" s="38" t="n">
        <v>64</v>
      </c>
      <c r="X167" s="38" t="n">
        <v>58</v>
      </c>
      <c r="Y167" s="38" t="inlineStr">
        <is>
          <t>standard</t>
        </is>
      </c>
      <c r="Z167" s="38" t="inlineStr">
        <is>
          <t>standard</t>
        </is>
      </c>
      <c r="AA167" s="45" t="inlineStr">
        <is>
          <t>standard</t>
        </is>
      </c>
      <c r="AB167" s="38" t="inlineStr">
        <is>
          <t>standard</t>
        </is>
      </c>
      <c r="AC167" s="51" t="inlineStr">
        <is>
          <t>ZJFD</t>
        </is>
      </c>
      <c r="AD167" s="51" t="n">
        <v>0</v>
      </c>
    </row>
    <row r="168" ht="12.75" customHeight="1" s="123">
      <c r="A168" s="85" t="n">
        <v>166</v>
      </c>
      <c r="B168" s="30" t="inlineStr">
        <is>
          <t>BPB-041-HD11-2RS - ZJFD</t>
        </is>
      </c>
      <c r="C168" s="38" t="n">
        <v>29</v>
      </c>
      <c r="D168" s="38" t="n">
        <v>0</v>
      </c>
      <c r="E168" s="38" t="n">
        <v>-150</v>
      </c>
      <c r="F168" s="38" t="n">
        <v>120</v>
      </c>
      <c r="G168" s="38" t="n">
        <v>0</v>
      </c>
      <c r="H168" s="38" t="n">
        <v>-15</v>
      </c>
      <c r="I168" s="38" t="n">
        <v>29</v>
      </c>
      <c r="J168" s="38" t="n">
        <v>0</v>
      </c>
      <c r="K168" s="38" t="n">
        <v>-150</v>
      </c>
      <c r="L168" s="38" t="n">
        <v>55</v>
      </c>
      <c r="M168" s="38" t="n">
        <v>0</v>
      </c>
      <c r="N168" s="38" t="n">
        <v>-15</v>
      </c>
      <c r="O168" s="38" t="inlineStr">
        <is>
          <t>C3</t>
        </is>
      </c>
      <c r="P168" s="38" t="n">
        <v>43</v>
      </c>
      <c r="Q168" s="38" t="n">
        <v>23</v>
      </c>
      <c r="R168" s="38" t="inlineStr">
        <is>
          <t>NO</t>
        </is>
      </c>
      <c r="S168" s="38" t="inlineStr">
        <is>
          <t>NO</t>
        </is>
      </c>
      <c r="T168" s="38" t="inlineStr">
        <is>
          <t>NO</t>
        </is>
      </c>
      <c r="U168" s="38" t="n">
        <v>64</v>
      </c>
      <c r="V168" s="38" t="n">
        <v>58</v>
      </c>
      <c r="W168" s="38" t="n">
        <v>64</v>
      </c>
      <c r="X168" s="38" t="n">
        <v>58</v>
      </c>
      <c r="Y168" s="38" t="inlineStr">
        <is>
          <t>standard</t>
        </is>
      </c>
      <c r="Z168" s="38" t="inlineStr">
        <is>
          <t>standard</t>
        </is>
      </c>
      <c r="AA168" s="45" t="inlineStr">
        <is>
          <t>standard</t>
        </is>
      </c>
      <c r="AB168" s="38" t="inlineStr">
        <is>
          <t>standard</t>
        </is>
      </c>
      <c r="AC168" s="51" t="inlineStr">
        <is>
          <t>ZJFD</t>
        </is>
      </c>
      <c r="AD168" s="51" t="n">
        <v>0</v>
      </c>
    </row>
    <row r="169" ht="12.75" customHeight="1" s="123">
      <c r="A169" s="85" t="n">
        <v>167</v>
      </c>
      <c r="B169" s="30" t="inlineStr">
        <is>
          <t>BPB-041-HD13-2RS - ZJFD</t>
        </is>
      </c>
      <c r="C169" s="38" t="n">
        <v>33</v>
      </c>
      <c r="D169" s="38" t="n">
        <v>0</v>
      </c>
      <c r="E169" s="38" t="n">
        <v>-150</v>
      </c>
      <c r="F169" s="38" t="n">
        <v>140</v>
      </c>
      <c r="G169" s="38" t="n">
        <v>0</v>
      </c>
      <c r="H169" s="38" t="n">
        <v>-18</v>
      </c>
      <c r="I169" s="38" t="n">
        <v>33</v>
      </c>
      <c r="J169" s="38" t="n">
        <v>0</v>
      </c>
      <c r="K169" s="38" t="n">
        <v>-150</v>
      </c>
      <c r="L169" s="38" t="n">
        <v>65</v>
      </c>
      <c r="M169" s="38" t="n">
        <v>0</v>
      </c>
      <c r="N169" s="38" t="n">
        <v>-15</v>
      </c>
      <c r="O169" s="38" t="inlineStr">
        <is>
          <t>C3</t>
        </is>
      </c>
      <c r="P169" s="38" t="n">
        <v>43</v>
      </c>
      <c r="Q169" s="38" t="n">
        <v>23</v>
      </c>
      <c r="R169" s="38" t="inlineStr">
        <is>
          <t>NO</t>
        </is>
      </c>
      <c r="S169" s="38" t="inlineStr">
        <is>
          <t>NO</t>
        </is>
      </c>
      <c r="T169" s="38" t="inlineStr">
        <is>
          <t>NO</t>
        </is>
      </c>
      <c r="U169" s="38" t="n">
        <v>64</v>
      </c>
      <c r="V169" s="38" t="n">
        <v>58</v>
      </c>
      <c r="W169" s="38" t="n">
        <v>64</v>
      </c>
      <c r="X169" s="38" t="n">
        <v>58</v>
      </c>
      <c r="Y169" s="38" t="inlineStr">
        <is>
          <t>standard</t>
        </is>
      </c>
      <c r="Z169" s="38" t="inlineStr">
        <is>
          <t>standard</t>
        </is>
      </c>
      <c r="AA169" s="45" t="inlineStr">
        <is>
          <t>standard</t>
        </is>
      </c>
      <c r="AB169" s="38" t="inlineStr">
        <is>
          <t>standard</t>
        </is>
      </c>
      <c r="AC169" s="51" t="inlineStr">
        <is>
          <t>ZJFD</t>
        </is>
      </c>
      <c r="AD169" s="51" t="n">
        <v>0</v>
      </c>
    </row>
    <row r="170" ht="12.75" customHeight="1" s="123">
      <c r="A170" s="85" t="n">
        <v>168</v>
      </c>
      <c r="B170" s="30" t="inlineStr">
        <is>
          <t>BPB-041-HD14-2RS - ZJFD</t>
        </is>
      </c>
      <c r="C170" s="38" t="n">
        <v>35</v>
      </c>
      <c r="D170" s="38" t="n">
        <v>0</v>
      </c>
      <c r="E170" s="38" t="n">
        <v>-150</v>
      </c>
      <c r="F170" s="38" t="n">
        <v>150</v>
      </c>
      <c r="G170" s="38" t="n">
        <v>0</v>
      </c>
      <c r="H170" s="38" t="n">
        <v>-18</v>
      </c>
      <c r="I170" s="38" t="n">
        <v>35</v>
      </c>
      <c r="J170" s="38" t="n">
        <v>0</v>
      </c>
      <c r="K170" s="38" t="n">
        <v>-150</v>
      </c>
      <c r="L170" s="38" t="n">
        <v>70</v>
      </c>
      <c r="M170" s="38" t="n">
        <v>0</v>
      </c>
      <c r="N170" s="38" t="n">
        <v>-15</v>
      </c>
      <c r="O170" s="38" t="inlineStr">
        <is>
          <t>C3</t>
        </is>
      </c>
      <c r="P170" s="38" t="n">
        <v>51</v>
      </c>
      <c r="Q170" s="38" t="n">
        <v>25</v>
      </c>
      <c r="R170" s="38" t="inlineStr">
        <is>
          <t>NO</t>
        </is>
      </c>
      <c r="S170" s="38" t="inlineStr">
        <is>
          <t>NO</t>
        </is>
      </c>
      <c r="T170" s="38" t="inlineStr">
        <is>
          <t>NO</t>
        </is>
      </c>
      <c r="U170" s="38" t="n">
        <v>64</v>
      </c>
      <c r="V170" s="38" t="n">
        <v>58</v>
      </c>
      <c r="W170" s="38" t="n">
        <v>64</v>
      </c>
      <c r="X170" s="38" t="n">
        <v>58</v>
      </c>
      <c r="Y170" s="38" t="inlineStr">
        <is>
          <t>standard</t>
        </is>
      </c>
      <c r="Z170" s="38" t="inlineStr">
        <is>
          <t>standard</t>
        </is>
      </c>
      <c r="AA170" s="45" t="inlineStr">
        <is>
          <t>standard</t>
        </is>
      </c>
      <c r="AB170" s="38" t="inlineStr">
        <is>
          <t>standard</t>
        </is>
      </c>
      <c r="AC170" s="51" t="inlineStr">
        <is>
          <t>ZJFD</t>
        </is>
      </c>
      <c r="AD170" s="51" t="n">
        <v>0</v>
      </c>
    </row>
    <row r="171" ht="12.75" customHeight="1" s="123">
      <c r="A171" s="85" t="n">
        <v>169</v>
      </c>
      <c r="B171" s="30" t="inlineStr">
        <is>
          <t>BPB-041-HD18-2RS - BOT</t>
        </is>
      </c>
      <c r="C171" s="38" t="n">
        <v>43</v>
      </c>
      <c r="D171" s="38" t="n">
        <v>0</v>
      </c>
      <c r="E171" s="38" t="n">
        <v>-200</v>
      </c>
      <c r="F171" s="38" t="n">
        <v>190</v>
      </c>
      <c r="G171" s="38" t="n">
        <v>0</v>
      </c>
      <c r="H171" s="38" t="n">
        <v>-30</v>
      </c>
      <c r="I171" s="38" t="n">
        <v>43</v>
      </c>
      <c r="J171" s="38" t="n">
        <v>0</v>
      </c>
      <c r="K171" s="38" t="n">
        <v>-200</v>
      </c>
      <c r="L171" s="38" t="n">
        <v>90</v>
      </c>
      <c r="M171" s="38" t="n">
        <v>0</v>
      </c>
      <c r="N171" s="38" t="n">
        <v>-20</v>
      </c>
      <c r="O171" s="38" t="inlineStr">
        <is>
          <t>C3</t>
        </is>
      </c>
      <c r="P171" s="38" t="n">
        <v>58</v>
      </c>
      <c r="Q171" s="38" t="n">
        <v>30</v>
      </c>
      <c r="R171" s="38" t="inlineStr">
        <is>
          <t>NO</t>
        </is>
      </c>
      <c r="S171" s="38" t="inlineStr">
        <is>
          <t>NO</t>
        </is>
      </c>
      <c r="T171" s="38" t="inlineStr">
        <is>
          <t>NO</t>
        </is>
      </c>
      <c r="U171" s="38" t="n">
        <v>64</v>
      </c>
      <c r="V171" s="38" t="n">
        <v>58</v>
      </c>
      <c r="W171" s="38" t="n">
        <v>64</v>
      </c>
      <c r="X171" s="38" t="n">
        <v>58</v>
      </c>
      <c r="Y171" s="38" t="inlineStr">
        <is>
          <t>25 - 35 %</t>
        </is>
      </c>
      <c r="Z171" s="38" t="inlineStr">
        <is>
          <t>Chinese great wall grease</t>
        </is>
      </c>
      <c r="AA171" s="45" t="inlineStr">
        <is>
          <t>standard</t>
        </is>
      </c>
      <c r="AB171" s="38" t="inlineStr">
        <is>
          <t>standard</t>
        </is>
      </c>
      <c r="AC171" s="52" t="n">
        <v>43010</v>
      </c>
      <c r="AD171" s="51" t="n">
        <v>0</v>
      </c>
    </row>
    <row r="172" ht="12.75" customHeight="1" s="123">
      <c r="A172" s="85" t="n">
        <v>170</v>
      </c>
      <c r="B172" s="30" t="inlineStr">
        <is>
          <t>BPB-041-LS02-2RLD - YS</t>
        </is>
      </c>
      <c r="C172" s="38" t="n">
        <v>9</v>
      </c>
      <c r="D172" s="38" t="n">
        <v>0</v>
      </c>
      <c r="E172" s="38" t="n">
        <v>-120</v>
      </c>
      <c r="F172" s="38" t="n">
        <v>32</v>
      </c>
      <c r="G172" s="38" t="n">
        <v>0</v>
      </c>
      <c r="H172" s="38" t="n">
        <v>-11</v>
      </c>
      <c r="I172" s="38" t="n">
        <v>9</v>
      </c>
      <c r="J172" s="38" t="n">
        <v>0</v>
      </c>
      <c r="K172" s="38" t="n">
        <v>-120</v>
      </c>
      <c r="L172" s="38" t="n">
        <v>15</v>
      </c>
      <c r="M172" s="38" t="n">
        <v>0</v>
      </c>
      <c r="N172" s="38" t="n">
        <v>-8</v>
      </c>
      <c r="O172" s="38" t="inlineStr">
        <is>
          <t>C3</t>
        </is>
      </c>
      <c r="P172" s="38" t="n">
        <v>25</v>
      </c>
      <c r="Q172" s="38" t="n">
        <v>11</v>
      </c>
      <c r="R172" s="38" t="inlineStr">
        <is>
          <t>NO</t>
        </is>
      </c>
      <c r="S172" s="38" t="inlineStr">
        <is>
          <t>NO</t>
        </is>
      </c>
      <c r="T172" s="38" t="inlineStr">
        <is>
          <t>NO</t>
        </is>
      </c>
      <c r="U172" s="38" t="n">
        <v>64</v>
      </c>
      <c r="V172" s="38" t="n">
        <v>58</v>
      </c>
      <c r="W172" s="38" t="n">
        <v>64</v>
      </c>
      <c r="X172" s="38" t="n">
        <v>58</v>
      </c>
      <c r="Y172" s="38" t="inlineStr">
        <is>
          <t>0,3125 - 0,4375</t>
        </is>
      </c>
      <c r="Z172" s="38" t="inlineStr">
        <is>
          <t>Polyrex</t>
        </is>
      </c>
      <c r="AA172" s="45" t="inlineStr">
        <is>
          <t>7,5cNm / 0,075Nm</t>
        </is>
      </c>
      <c r="AB172" s="45" t="inlineStr">
        <is>
          <t>0,5cNm / 0,005Nm</t>
        </is>
      </c>
      <c r="AC172" s="44" t="n">
        <v>42286</v>
      </c>
      <c r="AD172" s="57" t="n">
        <v>0</v>
      </c>
    </row>
    <row r="173" ht="12.75" customHeight="1" s="123">
      <c r="A173" s="85" t="n">
        <v>171</v>
      </c>
      <c r="B173" s="30" t="inlineStr">
        <is>
          <t>BPB-041-LS09-2RS - ZJFD</t>
        </is>
      </c>
      <c r="C173" s="38" t="n">
        <v>16</v>
      </c>
      <c r="D173" s="38" t="n">
        <v>0</v>
      </c>
      <c r="E173" s="38" t="n">
        <v>-120</v>
      </c>
      <c r="F173" s="38" t="n">
        <v>75</v>
      </c>
      <c r="G173" s="38" t="n">
        <v>0</v>
      </c>
      <c r="H173" s="38" t="n">
        <v>-13</v>
      </c>
      <c r="I173" s="38" t="n">
        <v>16</v>
      </c>
      <c r="J173" s="38" t="n">
        <v>0</v>
      </c>
      <c r="K173" s="38" t="n">
        <v>-120</v>
      </c>
      <c r="L173" s="38" t="n">
        <v>45</v>
      </c>
      <c r="M173" s="38" t="n">
        <v>0</v>
      </c>
      <c r="N173" s="38" t="n">
        <v>-12</v>
      </c>
      <c r="O173" s="38" t="inlineStr">
        <is>
          <t>C3</t>
        </is>
      </c>
      <c r="P173" s="38" t="n">
        <v>36</v>
      </c>
      <c r="Q173" s="38" t="n">
        <v>18</v>
      </c>
      <c r="R173" s="38" t="inlineStr">
        <is>
          <t>NO</t>
        </is>
      </c>
      <c r="S173" s="38" t="inlineStr">
        <is>
          <t>NO</t>
        </is>
      </c>
      <c r="T173" s="38" t="inlineStr">
        <is>
          <t>NO</t>
        </is>
      </c>
      <c r="U173" s="38" t="n">
        <v>64</v>
      </c>
      <c r="V173" s="38" t="n">
        <v>58</v>
      </c>
      <c r="W173" s="38" t="n">
        <v>64</v>
      </c>
      <c r="X173" s="38" t="n">
        <v>58</v>
      </c>
      <c r="Y173" s="38" t="inlineStr">
        <is>
          <t>standard</t>
        </is>
      </c>
      <c r="Z173" s="38" t="inlineStr">
        <is>
          <t>standard</t>
        </is>
      </c>
      <c r="AA173" s="45" t="inlineStr">
        <is>
          <t>standard</t>
        </is>
      </c>
      <c r="AB173" s="38" t="inlineStr">
        <is>
          <t>standard</t>
        </is>
      </c>
      <c r="AC173" s="51" t="inlineStr">
        <is>
          <t>ZJFD</t>
        </is>
      </c>
      <c r="AD173" s="51" t="n">
        <v>0</v>
      </c>
    </row>
    <row r="174" ht="12.75" customHeight="1" s="123">
      <c r="A174" s="85" t="n">
        <v>172</v>
      </c>
      <c r="B174" s="30" t="inlineStr">
        <is>
          <t>BPB-041-LS11-2RS - ZJFD</t>
        </is>
      </c>
      <c r="C174" s="38" t="n">
        <v>18</v>
      </c>
      <c r="D174" s="38" t="n">
        <v>0</v>
      </c>
      <c r="E174" s="38" t="n">
        <v>-150</v>
      </c>
      <c r="F174" s="38" t="n">
        <v>90</v>
      </c>
      <c r="G174" s="38" t="n">
        <v>0</v>
      </c>
      <c r="H174" s="38" t="n">
        <v>-13</v>
      </c>
      <c r="I174" s="38" t="n">
        <v>18</v>
      </c>
      <c r="J174" s="38" t="n">
        <v>0</v>
      </c>
      <c r="K174" s="38" t="n">
        <v>-150</v>
      </c>
      <c r="L174" s="38" t="n">
        <v>55</v>
      </c>
      <c r="M174" s="38" t="n">
        <v>0</v>
      </c>
      <c r="N174" s="38" t="n">
        <v>-12</v>
      </c>
      <c r="O174" s="38" t="inlineStr">
        <is>
          <t>C3</t>
        </is>
      </c>
      <c r="P174" s="38" t="n">
        <v>43</v>
      </c>
      <c r="Q174" s="38" t="n">
        <v>23</v>
      </c>
      <c r="R174" s="38" t="inlineStr">
        <is>
          <t>NO</t>
        </is>
      </c>
      <c r="S174" s="38" t="inlineStr">
        <is>
          <t>NO</t>
        </is>
      </c>
      <c r="T174" s="38" t="inlineStr">
        <is>
          <t>NO</t>
        </is>
      </c>
      <c r="U174" s="38" t="n">
        <v>64</v>
      </c>
      <c r="V174" s="38" t="n">
        <v>58</v>
      </c>
      <c r="W174" s="38" t="n">
        <v>64</v>
      </c>
      <c r="X174" s="38" t="n">
        <v>58</v>
      </c>
      <c r="Y174" s="45" t="inlineStr">
        <is>
          <t>6.0515-4.3225gr</t>
        </is>
      </c>
      <c r="Z174" s="45" t="inlineStr">
        <is>
          <t>HUANGU</t>
        </is>
      </c>
      <c r="AA174" s="45" t="inlineStr">
        <is>
          <t>standard</t>
        </is>
      </c>
      <c r="AB174" s="38" t="inlineStr">
        <is>
          <t>standard</t>
        </is>
      </c>
      <c r="AC174" s="52" t="n">
        <v>43397</v>
      </c>
      <c r="AD174" s="51" t="n">
        <v>0</v>
      </c>
    </row>
    <row r="175" ht="12.75" customHeight="1" s="123">
      <c r="A175" s="85" t="n">
        <v>173</v>
      </c>
      <c r="B175" s="30" t="inlineStr">
        <is>
          <t>BPB-041-LS11-D - ZJFD</t>
        </is>
      </c>
      <c r="C175" s="38" t="n">
        <v>18</v>
      </c>
      <c r="D175" s="38" t="n">
        <v>0</v>
      </c>
      <c r="E175" s="38" t="n">
        <v>-150</v>
      </c>
      <c r="F175" s="38" t="n">
        <v>90</v>
      </c>
      <c r="G175" s="38" t="n">
        <v>0</v>
      </c>
      <c r="H175" s="38" t="n">
        <v>-13</v>
      </c>
      <c r="I175" s="38" t="n">
        <v>18</v>
      </c>
      <c r="J175" s="38" t="n">
        <v>0</v>
      </c>
      <c r="K175" s="38" t="n">
        <v>-150</v>
      </c>
      <c r="L175" s="38" t="n">
        <v>55</v>
      </c>
      <c r="M175" s="38" t="n">
        <v>0</v>
      </c>
      <c r="N175" s="38" t="n">
        <v>-12</v>
      </c>
      <c r="O175" s="38" t="inlineStr">
        <is>
          <t>C3</t>
        </is>
      </c>
      <c r="P175" s="38" t="n">
        <v>43</v>
      </c>
      <c r="Q175" s="38" t="n">
        <v>23</v>
      </c>
      <c r="R175" s="38" t="inlineStr">
        <is>
          <t>NO</t>
        </is>
      </c>
      <c r="S175" s="38" t="inlineStr">
        <is>
          <t>NO</t>
        </is>
      </c>
      <c r="T175" s="38" t="inlineStr">
        <is>
          <t>NO</t>
        </is>
      </c>
      <c r="U175" s="38" t="n">
        <v>64</v>
      </c>
      <c r="V175" s="38" t="n">
        <v>58</v>
      </c>
      <c r="W175" s="38" t="n">
        <v>64</v>
      </c>
      <c r="X175" s="38" t="n">
        <v>58</v>
      </c>
      <c r="Y175" s="38" t="inlineStr">
        <is>
          <t>NO</t>
        </is>
      </c>
      <c r="Z175" s="38" t="inlineStr">
        <is>
          <t>NO</t>
        </is>
      </c>
      <c r="AA175" s="45" t="inlineStr">
        <is>
          <t>NO</t>
        </is>
      </c>
      <c r="AB175" s="38" t="inlineStr">
        <is>
          <t>NO</t>
        </is>
      </c>
      <c r="AC175" s="52" t="n">
        <v>43397</v>
      </c>
      <c r="AD175" s="51" t="n">
        <v>0</v>
      </c>
    </row>
    <row r="176" ht="12.75" customHeight="1" s="123">
      <c r="A176" s="85" t="n">
        <v>174</v>
      </c>
      <c r="B176" s="30" t="inlineStr">
        <is>
          <t>BPB-041-LS12-2RS - ZJFD</t>
        </is>
      </c>
      <c r="C176" s="38" t="n">
        <v>18</v>
      </c>
      <c r="D176" s="38" t="n">
        <v>0</v>
      </c>
      <c r="E176" s="38" t="n">
        <v>-150</v>
      </c>
      <c r="F176" s="38" t="n">
        <v>95</v>
      </c>
      <c r="G176" s="38" t="n">
        <v>0</v>
      </c>
      <c r="H176" s="38" t="n">
        <v>-15</v>
      </c>
      <c r="I176" s="38" t="n">
        <v>18</v>
      </c>
      <c r="J176" s="38" t="n">
        <v>0</v>
      </c>
      <c r="K176" s="38" t="n">
        <v>-150</v>
      </c>
      <c r="L176" s="38" t="n">
        <v>60</v>
      </c>
      <c r="M176" s="38" t="n">
        <v>0</v>
      </c>
      <c r="N176" s="38" t="n">
        <v>-15</v>
      </c>
      <c r="O176" s="38" t="inlineStr">
        <is>
          <t>C3</t>
        </is>
      </c>
      <c r="P176" s="38" t="n">
        <v>43</v>
      </c>
      <c r="Q176" s="38" t="n">
        <v>23</v>
      </c>
      <c r="R176" s="38" t="inlineStr">
        <is>
          <t>NO</t>
        </is>
      </c>
      <c r="S176" s="38" t="inlineStr">
        <is>
          <t>NO</t>
        </is>
      </c>
      <c r="T176" s="38" t="inlineStr">
        <is>
          <t>NO</t>
        </is>
      </c>
      <c r="U176" s="38" t="n">
        <v>64</v>
      </c>
      <c r="V176" s="38" t="n">
        <v>58</v>
      </c>
      <c r="W176" s="38" t="n">
        <v>64</v>
      </c>
      <c r="X176" s="38" t="n">
        <v>58</v>
      </c>
      <c r="Y176" s="38" t="inlineStr">
        <is>
          <t>standard</t>
        </is>
      </c>
      <c r="Z176" s="38" t="inlineStr">
        <is>
          <t>standard</t>
        </is>
      </c>
      <c r="AA176" s="45" t="inlineStr">
        <is>
          <t>standard</t>
        </is>
      </c>
      <c r="AB176" s="38" t="inlineStr">
        <is>
          <t>standard</t>
        </is>
      </c>
      <c r="AC176" s="51" t="inlineStr">
        <is>
          <t>ZJFD</t>
        </is>
      </c>
      <c r="AD176" s="51" t="n">
        <v>0</v>
      </c>
    </row>
    <row r="177" ht="12.75" customHeight="1" s="123">
      <c r="A177" s="85" t="n">
        <v>175</v>
      </c>
      <c r="B177" s="30" t="inlineStr">
        <is>
          <t>BPB-041-LS13-2RS - ZJFD</t>
        </is>
      </c>
      <c r="C177" s="38" t="n">
        <v>18</v>
      </c>
      <c r="D177" s="38" t="n">
        <v>0</v>
      </c>
      <c r="E177" s="38" t="n">
        <v>-150</v>
      </c>
      <c r="F177" s="38" t="n">
        <v>100</v>
      </c>
      <c r="G177" s="38" t="n">
        <v>0</v>
      </c>
      <c r="H177" s="38" t="n">
        <v>-15</v>
      </c>
      <c r="I177" s="38" t="n">
        <v>18</v>
      </c>
      <c r="J177" s="38" t="n">
        <v>0</v>
      </c>
      <c r="K177" s="38" t="n">
        <v>-150</v>
      </c>
      <c r="L177" s="38" t="n">
        <v>65</v>
      </c>
      <c r="M177" s="38" t="n">
        <v>0</v>
      </c>
      <c r="N177" s="38" t="n">
        <v>-15</v>
      </c>
      <c r="O177" s="38" t="inlineStr">
        <is>
          <t>C3</t>
        </is>
      </c>
      <c r="P177" s="38" t="n">
        <v>43</v>
      </c>
      <c r="Q177" s="38" t="n">
        <v>23</v>
      </c>
      <c r="R177" s="38" t="inlineStr">
        <is>
          <t>NO</t>
        </is>
      </c>
      <c r="S177" s="38" t="inlineStr">
        <is>
          <t>NO</t>
        </is>
      </c>
      <c r="T177" s="38" t="inlineStr">
        <is>
          <t>NO</t>
        </is>
      </c>
      <c r="U177" s="38" t="n">
        <v>64</v>
      </c>
      <c r="V177" s="38" t="n">
        <v>58</v>
      </c>
      <c r="W177" s="38" t="n">
        <v>64</v>
      </c>
      <c r="X177" s="38" t="n">
        <v>58</v>
      </c>
      <c r="Y177" s="38" t="inlineStr">
        <is>
          <t>25-35%</t>
        </is>
      </c>
      <c r="Z177" s="38" t="inlineStr">
        <is>
          <t>polyrex</t>
        </is>
      </c>
      <c r="AA177" s="45" t="inlineStr">
        <is>
          <t xml:space="preserve">Medium </t>
        </is>
      </c>
      <c r="AB177" s="38" t="inlineStr">
        <is>
          <t>medium</t>
        </is>
      </c>
      <c r="AC177" s="52" t="n">
        <v>42992</v>
      </c>
      <c r="AD177" s="51" t="n">
        <v>0</v>
      </c>
    </row>
    <row r="178" ht="12.75" customHeight="1" s="123">
      <c r="A178" s="85" t="n">
        <v>176</v>
      </c>
      <c r="B178" s="30" t="inlineStr">
        <is>
          <t>BPB-041-MS01-2RST1 - SCB</t>
        </is>
      </c>
      <c r="C178" s="38" t="n">
        <v>10</v>
      </c>
      <c r="D178" s="38" t="n">
        <v>0</v>
      </c>
      <c r="E178" s="38" t="n">
        <v>-120</v>
      </c>
      <c r="F178" s="38" t="n">
        <v>32</v>
      </c>
      <c r="G178" s="38" t="n">
        <v>0</v>
      </c>
      <c r="H178" s="38" t="n">
        <v>-11</v>
      </c>
      <c r="I178" s="38" t="n">
        <v>10</v>
      </c>
      <c r="J178" s="38" t="n">
        <v>0</v>
      </c>
      <c r="K178" s="38" t="n">
        <v>-120</v>
      </c>
      <c r="L178" s="38" t="n">
        <v>12</v>
      </c>
      <c r="M178" s="38" t="n">
        <v>0</v>
      </c>
      <c r="N178" s="38" t="n">
        <v>-8</v>
      </c>
      <c r="O178" s="38" t="inlineStr">
        <is>
          <t>C3</t>
        </is>
      </c>
      <c r="P178" s="38" t="n">
        <v>25</v>
      </c>
      <c r="Q178" s="38" t="n">
        <v>11</v>
      </c>
      <c r="R178" s="38" t="inlineStr">
        <is>
          <t>NO</t>
        </is>
      </c>
      <c r="S178" s="38" t="inlineStr">
        <is>
          <t>NO</t>
        </is>
      </c>
      <c r="T178" s="38" t="inlineStr">
        <is>
          <t>NO</t>
        </is>
      </c>
      <c r="U178" s="38" t="n">
        <v>64</v>
      </c>
      <c r="V178" s="38" t="n">
        <v>58</v>
      </c>
      <c r="W178" s="38" t="n">
        <v>64</v>
      </c>
      <c r="X178" s="38" t="n">
        <v>58</v>
      </c>
      <c r="Y178" s="38" t="inlineStr">
        <is>
          <t>1,15 - 1,31</t>
        </is>
      </c>
      <c r="Z178" s="38" t="inlineStr">
        <is>
          <t>Huan Gu 2</t>
        </is>
      </c>
      <c r="AA178" s="45" t="inlineStr">
        <is>
          <t>STANDARD</t>
        </is>
      </c>
      <c r="AB178" s="45" t="inlineStr">
        <is>
          <t>STANDARD</t>
        </is>
      </c>
      <c r="AC178" s="44" t="n">
        <v>43087</v>
      </c>
      <c r="AD178" s="57" t="n">
        <v>0</v>
      </c>
    </row>
    <row r="179" ht="12.75" customHeight="1" s="123">
      <c r="A179" s="85" t="n">
        <v>177</v>
      </c>
      <c r="B179" s="30" t="inlineStr">
        <is>
          <t>BPB-041-MS07-D - SDHL</t>
        </is>
      </c>
      <c r="C179" s="38" t="n">
        <v>17</v>
      </c>
      <c r="D179" s="38" t="n">
        <v>0</v>
      </c>
      <c r="E179" s="38" t="n">
        <v>-120</v>
      </c>
      <c r="F179" s="38" t="n">
        <v>72</v>
      </c>
      <c r="G179" s="38" t="n">
        <v>0</v>
      </c>
      <c r="H179" s="38" t="n">
        <v>-13</v>
      </c>
      <c r="I179" s="38" t="n">
        <v>17</v>
      </c>
      <c r="J179" s="38" t="n">
        <v>0</v>
      </c>
      <c r="K179" s="38" t="n">
        <v>-120</v>
      </c>
      <c r="L179" s="38" t="n">
        <v>35</v>
      </c>
      <c r="M179" s="38" t="n">
        <v>0</v>
      </c>
      <c r="N179" s="38" t="n">
        <v>-12</v>
      </c>
      <c r="O179" s="38" t="inlineStr">
        <is>
          <t>C3</t>
        </is>
      </c>
      <c r="P179" s="38" t="n">
        <v>33</v>
      </c>
      <c r="Q179" s="38" t="n">
        <v>15</v>
      </c>
      <c r="R179" s="38" t="inlineStr">
        <is>
          <t>NO</t>
        </is>
      </c>
      <c r="S179" s="38" t="inlineStr">
        <is>
          <t>NO</t>
        </is>
      </c>
      <c r="T179" s="38" t="inlineStr">
        <is>
          <t>NO</t>
        </is>
      </c>
      <c r="U179" s="38" t="n">
        <v>64</v>
      </c>
      <c r="V179" s="38" t="n">
        <v>58</v>
      </c>
      <c r="W179" s="38" t="n">
        <v>64</v>
      </c>
      <c r="X179" s="38" t="n">
        <v>58</v>
      </c>
      <c r="Y179" s="38" t="inlineStr">
        <is>
          <t>NO</t>
        </is>
      </c>
      <c r="Z179" s="38" t="inlineStr">
        <is>
          <t>NO</t>
        </is>
      </c>
      <c r="AA179" s="45" t="inlineStr">
        <is>
          <t>NO</t>
        </is>
      </c>
      <c r="AB179" s="38" t="inlineStr">
        <is>
          <t>NO</t>
        </is>
      </c>
      <c r="AC179" s="52" t="n">
        <v>43266</v>
      </c>
      <c r="AD179" s="51" t="n">
        <v>0</v>
      </c>
    </row>
    <row r="180" ht="12.75" customHeight="1" s="123">
      <c r="A180" s="85" t="n">
        <v>178</v>
      </c>
      <c r="B180" s="30" t="inlineStr">
        <is>
          <t>BPB-041-MS09-2RS - CMI</t>
        </is>
      </c>
      <c r="C180" s="38" t="n">
        <v>19</v>
      </c>
      <c r="D180" s="38" t="n">
        <v>0</v>
      </c>
      <c r="E180" s="38" t="n">
        <v>-120</v>
      </c>
      <c r="F180" s="38" t="n">
        <v>85</v>
      </c>
      <c r="G180" s="38" t="n">
        <v>0</v>
      </c>
      <c r="H180" s="38" t="n">
        <v>-15</v>
      </c>
      <c r="I180" s="38" t="n">
        <v>19</v>
      </c>
      <c r="J180" s="38" t="n">
        <v>0</v>
      </c>
      <c r="K180" s="38" t="n">
        <v>-120</v>
      </c>
      <c r="L180" s="38" t="n">
        <v>45</v>
      </c>
      <c r="M180" s="38" t="n">
        <v>0</v>
      </c>
      <c r="N180" s="38" t="n">
        <v>-12</v>
      </c>
      <c r="O180" s="38" t="inlineStr">
        <is>
          <t>C3</t>
        </is>
      </c>
      <c r="P180" s="38" t="n">
        <v>36</v>
      </c>
      <c r="Q180" s="38" t="n">
        <v>18</v>
      </c>
      <c r="R180" s="38" t="inlineStr">
        <is>
          <t>NO</t>
        </is>
      </c>
      <c r="S180" s="38" t="inlineStr">
        <is>
          <t>NO</t>
        </is>
      </c>
      <c r="T180" s="38" t="inlineStr">
        <is>
          <t>NO</t>
        </is>
      </c>
      <c r="U180" s="38" t="n">
        <v>64</v>
      </c>
      <c r="V180" s="38" t="n">
        <v>58</v>
      </c>
      <c r="W180" s="38" t="n">
        <v>64</v>
      </c>
      <c r="X180" s="38" t="n">
        <v>58</v>
      </c>
      <c r="Y180" s="36" t="inlineStr">
        <is>
          <t>4,64 - 6,5</t>
        </is>
      </c>
      <c r="Z180" s="38" t="inlineStr">
        <is>
          <t>Polyrex</t>
        </is>
      </c>
      <c r="AA180" s="45" t="n">
        <v>0.176</v>
      </c>
      <c r="AB180" s="45" t="n">
        <v>0.105</v>
      </c>
      <c r="AC180" s="44" t="n">
        <v>42943</v>
      </c>
      <c r="AD180" s="57" t="inlineStr">
        <is>
          <t>A</t>
        </is>
      </c>
    </row>
    <row r="181" ht="12.75" customHeight="1" s="123">
      <c r="A181" s="85" t="n">
        <v>179</v>
      </c>
      <c r="B181" s="30" t="inlineStr">
        <is>
          <t>BPB-041-MS09-2RS - ZJFD</t>
        </is>
      </c>
      <c r="C181" s="38" t="n">
        <v>19</v>
      </c>
      <c r="D181" s="38" t="n">
        <v>0</v>
      </c>
      <c r="E181" s="38" t="n">
        <v>-120</v>
      </c>
      <c r="F181" s="38" t="n">
        <v>85</v>
      </c>
      <c r="G181" s="38" t="n">
        <v>0</v>
      </c>
      <c r="H181" s="38" t="n">
        <v>-15</v>
      </c>
      <c r="I181" s="38" t="n">
        <v>19</v>
      </c>
      <c r="J181" s="38" t="n">
        <v>0</v>
      </c>
      <c r="K181" s="38" t="n">
        <v>-120</v>
      </c>
      <c r="L181" s="38" t="n">
        <v>45</v>
      </c>
      <c r="M181" s="38" t="n">
        <v>0</v>
      </c>
      <c r="N181" s="38" t="n">
        <v>-12</v>
      </c>
      <c r="O181" s="38" t="inlineStr">
        <is>
          <t>C3</t>
        </is>
      </c>
      <c r="P181" s="38" t="n">
        <v>36</v>
      </c>
      <c r="Q181" s="38" t="n">
        <v>18</v>
      </c>
      <c r="R181" s="38" t="inlineStr">
        <is>
          <t>NO</t>
        </is>
      </c>
      <c r="S181" s="38" t="inlineStr">
        <is>
          <t>NO</t>
        </is>
      </c>
      <c r="T181" s="38" t="inlineStr">
        <is>
          <t>NO</t>
        </is>
      </c>
      <c r="U181" s="38" t="n">
        <v>64</v>
      </c>
      <c r="V181" s="38" t="n">
        <v>58</v>
      </c>
      <c r="W181" s="38" t="n">
        <v>64</v>
      </c>
      <c r="X181" s="38" t="n">
        <v>58</v>
      </c>
      <c r="Y181" s="38" t="inlineStr">
        <is>
          <t>4.64 - 6.5 gr</t>
        </is>
      </c>
      <c r="Z181" s="38" t="inlineStr">
        <is>
          <t>standard</t>
        </is>
      </c>
      <c r="AA181" s="45" t="inlineStr">
        <is>
          <t>STANDARD</t>
        </is>
      </c>
      <c r="AB181" s="38" t="inlineStr">
        <is>
          <t>STANDARD</t>
        </is>
      </c>
      <c r="AC181" s="52" t="n">
        <v>44463</v>
      </c>
      <c r="AD181" s="51" t="inlineStr">
        <is>
          <t>C</t>
        </is>
      </c>
    </row>
    <row r="182" ht="12.75" customHeight="1" s="123">
      <c r="A182" s="85" t="n">
        <v>180</v>
      </c>
      <c r="B182" s="30" t="inlineStr">
        <is>
          <t>BPB-041-MS09-D - ZJFD</t>
        </is>
      </c>
      <c r="C182" s="38" t="n">
        <v>19</v>
      </c>
      <c r="D182" s="38" t="n">
        <v>0</v>
      </c>
      <c r="E182" s="38" t="n">
        <v>-120</v>
      </c>
      <c r="F182" s="38" t="n">
        <v>85</v>
      </c>
      <c r="G182" s="38" t="n">
        <v>0</v>
      </c>
      <c r="H182" s="38" t="n">
        <v>-15</v>
      </c>
      <c r="I182" s="38" t="n">
        <v>19</v>
      </c>
      <c r="J182" s="38" t="n">
        <v>0</v>
      </c>
      <c r="K182" s="38" t="n">
        <v>-120</v>
      </c>
      <c r="L182" s="38" t="n">
        <v>45</v>
      </c>
      <c r="M182" s="38" t="n">
        <v>0</v>
      </c>
      <c r="N182" s="38" t="n">
        <v>-12</v>
      </c>
      <c r="O182" s="38" t="inlineStr">
        <is>
          <t>C3</t>
        </is>
      </c>
      <c r="P182" s="38" t="n">
        <v>36</v>
      </c>
      <c r="Q182" s="38" t="n">
        <v>18</v>
      </c>
      <c r="R182" s="38" t="inlineStr">
        <is>
          <t>NO</t>
        </is>
      </c>
      <c r="S182" s="38" t="inlineStr">
        <is>
          <t>NO</t>
        </is>
      </c>
      <c r="T182" s="38" t="inlineStr">
        <is>
          <t>NO</t>
        </is>
      </c>
      <c r="U182" s="38" t="n">
        <v>64</v>
      </c>
      <c r="V182" s="38" t="n">
        <v>58</v>
      </c>
      <c r="W182" s="38" t="n">
        <v>64</v>
      </c>
      <c r="X182" s="38" t="n">
        <v>58</v>
      </c>
      <c r="Y182" s="38" t="inlineStr">
        <is>
          <t>NO</t>
        </is>
      </c>
      <c r="Z182" s="38" t="inlineStr">
        <is>
          <t>NO</t>
        </is>
      </c>
      <c r="AA182" s="45" t="inlineStr">
        <is>
          <t>NO</t>
        </is>
      </c>
      <c r="AB182" s="45" t="inlineStr">
        <is>
          <t>NO</t>
        </is>
      </c>
      <c r="AC182" s="44" t="n">
        <v>43444</v>
      </c>
      <c r="AD182" s="57" t="n">
        <v>0</v>
      </c>
    </row>
    <row r="183" ht="12.75" customHeight="1" s="123">
      <c r="A183" s="85" t="n">
        <v>181</v>
      </c>
      <c r="B183" s="30" t="inlineStr">
        <is>
          <t>BPB-041-MS11-2RS - ZJFD</t>
        </is>
      </c>
      <c r="C183" s="38" t="n">
        <v>21</v>
      </c>
      <c r="D183" s="38" t="n">
        <v>0</v>
      </c>
      <c r="E183" s="38" t="n">
        <v>-150</v>
      </c>
      <c r="F183" s="38" t="n">
        <v>100</v>
      </c>
      <c r="G183" s="38" t="n">
        <v>0</v>
      </c>
      <c r="H183" s="38" t="n">
        <v>-15</v>
      </c>
      <c r="I183" s="38" t="n">
        <v>21</v>
      </c>
      <c r="J183" s="38" t="n">
        <v>0</v>
      </c>
      <c r="K183" s="38" t="n">
        <v>-150</v>
      </c>
      <c r="L183" s="38" t="n">
        <v>55</v>
      </c>
      <c r="M183" s="38" t="n">
        <v>0</v>
      </c>
      <c r="N183" s="38" t="n">
        <v>-15</v>
      </c>
      <c r="O183" s="38" t="inlineStr">
        <is>
          <t>C3</t>
        </is>
      </c>
      <c r="P183" s="38" t="n">
        <v>43</v>
      </c>
      <c r="Q183" s="38" t="n">
        <v>23</v>
      </c>
      <c r="R183" s="38" t="inlineStr">
        <is>
          <t>NO</t>
        </is>
      </c>
      <c r="S183" s="38" t="inlineStr">
        <is>
          <t>NO</t>
        </is>
      </c>
      <c r="T183" s="38" t="inlineStr">
        <is>
          <t>NO</t>
        </is>
      </c>
      <c r="U183" s="38" t="n">
        <v>64</v>
      </c>
      <c r="V183" s="38" t="n">
        <v>58</v>
      </c>
      <c r="W183" s="38" t="n">
        <v>64</v>
      </c>
      <c r="X183" s="38" t="n">
        <v>58</v>
      </c>
      <c r="Y183" s="38" t="inlineStr">
        <is>
          <t>standard</t>
        </is>
      </c>
      <c r="Z183" s="38" t="inlineStr">
        <is>
          <t>standard</t>
        </is>
      </c>
      <c r="AA183" s="45" t="inlineStr">
        <is>
          <t>standard</t>
        </is>
      </c>
      <c r="AB183" s="38" t="inlineStr">
        <is>
          <t>standard</t>
        </is>
      </c>
      <c r="AC183" s="51" t="inlineStr">
        <is>
          <t>ZJFD</t>
        </is>
      </c>
      <c r="AD183" s="51" t="n">
        <v>0</v>
      </c>
    </row>
    <row r="184" ht="12.75" customHeight="1" s="123">
      <c r="A184" s="85" t="n">
        <v>182</v>
      </c>
      <c r="B184" s="30" t="inlineStr">
        <is>
          <t>BPB-041-MS11-D - ZJFD</t>
        </is>
      </c>
      <c r="C184" s="38" t="n">
        <v>21</v>
      </c>
      <c r="D184" s="38" t="n">
        <v>0</v>
      </c>
      <c r="E184" s="38" t="n">
        <v>-150</v>
      </c>
      <c r="F184" s="38" t="n">
        <v>100</v>
      </c>
      <c r="G184" s="38" t="n">
        <v>0</v>
      </c>
      <c r="H184" s="38" t="n">
        <v>-13</v>
      </c>
      <c r="I184" s="38" t="n">
        <v>21</v>
      </c>
      <c r="J184" s="38" t="n">
        <v>0</v>
      </c>
      <c r="K184" s="38" t="n">
        <v>-150</v>
      </c>
      <c r="L184" s="38" t="n">
        <v>55</v>
      </c>
      <c r="M184" s="38" t="n">
        <v>0</v>
      </c>
      <c r="N184" s="38" t="n">
        <v>-12</v>
      </c>
      <c r="O184" s="38" t="inlineStr">
        <is>
          <t>C3</t>
        </is>
      </c>
      <c r="P184" s="38" t="n">
        <v>43</v>
      </c>
      <c r="Q184" s="38" t="n">
        <v>23</v>
      </c>
      <c r="R184" s="38" t="inlineStr">
        <is>
          <t>NO</t>
        </is>
      </c>
      <c r="S184" s="38" t="inlineStr">
        <is>
          <t>NO</t>
        </is>
      </c>
      <c r="T184" s="38" t="inlineStr">
        <is>
          <t>NO</t>
        </is>
      </c>
      <c r="U184" s="38" t="n">
        <v>64</v>
      </c>
      <c r="V184" s="38" t="n">
        <v>58</v>
      </c>
      <c r="W184" s="38" t="n">
        <v>64</v>
      </c>
      <c r="X184" s="38" t="n">
        <v>58</v>
      </c>
      <c r="Y184" s="38" t="inlineStr">
        <is>
          <t>NO</t>
        </is>
      </c>
      <c r="Z184" s="38" t="inlineStr">
        <is>
          <t>NO</t>
        </is>
      </c>
      <c r="AA184" s="45" t="inlineStr">
        <is>
          <t>NO</t>
        </is>
      </c>
      <c r="AB184" s="38" t="inlineStr">
        <is>
          <t>NO</t>
        </is>
      </c>
      <c r="AC184" s="52" t="n">
        <v>43397</v>
      </c>
      <c r="AD184" s="51" t="n">
        <v>0</v>
      </c>
    </row>
    <row r="185" ht="12.75" customHeight="1" s="123">
      <c r="A185" s="85" t="n">
        <v>183</v>
      </c>
      <c r="B185" s="30" t="inlineStr">
        <is>
          <t>BPB-041-MS12-2RS - ZJFD</t>
        </is>
      </c>
      <c r="C185" s="38" t="n">
        <v>22</v>
      </c>
      <c r="D185" s="38" t="n">
        <v>0</v>
      </c>
      <c r="E185" s="38" t="n">
        <v>-150</v>
      </c>
      <c r="F185" s="38" t="n">
        <v>110</v>
      </c>
      <c r="G185" s="38" t="n">
        <v>0</v>
      </c>
      <c r="H185" s="38" t="n">
        <v>-15</v>
      </c>
      <c r="I185" s="38" t="n">
        <v>22</v>
      </c>
      <c r="J185" s="38" t="n">
        <v>0</v>
      </c>
      <c r="K185" s="38" t="n">
        <v>-150</v>
      </c>
      <c r="L185" s="38" t="n">
        <v>60</v>
      </c>
      <c r="M185" s="38" t="n">
        <v>0</v>
      </c>
      <c r="N185" s="38" t="n">
        <v>-15</v>
      </c>
      <c r="O185" s="38" t="inlineStr">
        <is>
          <t>C3</t>
        </is>
      </c>
      <c r="P185" s="38" t="n">
        <v>43</v>
      </c>
      <c r="Q185" s="38" t="n">
        <v>23</v>
      </c>
      <c r="R185" s="38" t="inlineStr">
        <is>
          <t>NO</t>
        </is>
      </c>
      <c r="S185" s="38" t="inlineStr">
        <is>
          <t>NO</t>
        </is>
      </c>
      <c r="T185" s="38" t="inlineStr">
        <is>
          <t>NO</t>
        </is>
      </c>
      <c r="U185" s="38" t="n">
        <v>64</v>
      </c>
      <c r="V185" s="38" t="n">
        <v>58</v>
      </c>
      <c r="W185" s="38" t="n">
        <v>64</v>
      </c>
      <c r="X185" s="38" t="n">
        <v>58</v>
      </c>
      <c r="Y185" s="38" t="inlineStr">
        <is>
          <t>standard</t>
        </is>
      </c>
      <c r="Z185" s="38" t="inlineStr">
        <is>
          <t>standard</t>
        </is>
      </c>
      <c r="AA185" s="45" t="inlineStr">
        <is>
          <t>standard</t>
        </is>
      </c>
      <c r="AB185" s="38" t="inlineStr">
        <is>
          <t>standard</t>
        </is>
      </c>
      <c r="AC185" s="51" t="inlineStr">
        <is>
          <t>ZJFD</t>
        </is>
      </c>
      <c r="AD185" s="51" t="n">
        <v>0</v>
      </c>
    </row>
    <row r="186" ht="12.75" customHeight="1" s="123">
      <c r="A186" s="85" t="n">
        <v>184</v>
      </c>
      <c r="B186" s="30" t="inlineStr">
        <is>
          <t>BPB-041-MS13-2RS - ZJFD</t>
        </is>
      </c>
      <c r="C186" s="38" t="n">
        <v>23</v>
      </c>
      <c r="D186" s="38" t="n">
        <v>0</v>
      </c>
      <c r="E186" s="38" t="n">
        <v>-150</v>
      </c>
      <c r="F186" s="38" t="n">
        <v>120</v>
      </c>
      <c r="G186" s="38" t="n">
        <v>0</v>
      </c>
      <c r="H186" s="38" t="n">
        <v>-13</v>
      </c>
      <c r="I186" s="38" t="n">
        <v>23</v>
      </c>
      <c r="J186" s="38" t="n">
        <v>0</v>
      </c>
      <c r="K186" s="38" t="n">
        <v>-150</v>
      </c>
      <c r="L186" s="38" t="n">
        <v>65</v>
      </c>
      <c r="M186" s="38" t="n">
        <v>0</v>
      </c>
      <c r="N186" s="38" t="n">
        <v>-12</v>
      </c>
      <c r="O186" s="38" t="inlineStr">
        <is>
          <t>C3</t>
        </is>
      </c>
      <c r="P186" s="38" t="n">
        <v>23</v>
      </c>
      <c r="Q186" s="38" t="n">
        <v>43</v>
      </c>
      <c r="R186" s="38" t="inlineStr">
        <is>
          <t>NO</t>
        </is>
      </c>
      <c r="S186" s="38" t="inlineStr">
        <is>
          <t>NO</t>
        </is>
      </c>
      <c r="T186" s="38" t="inlineStr">
        <is>
          <t>NO</t>
        </is>
      </c>
      <c r="U186" s="38" t="n">
        <v>64</v>
      </c>
      <c r="V186" s="38" t="n">
        <v>58</v>
      </c>
      <c r="W186" s="38" t="n">
        <v>64</v>
      </c>
      <c r="X186" s="38" t="n">
        <v>58</v>
      </c>
      <c r="Y186" s="36" t="inlineStr">
        <is>
          <t>11.1775 - 15.6485</t>
        </is>
      </c>
      <c r="Z186" s="38" t="inlineStr">
        <is>
          <t>HUANGU</t>
        </is>
      </c>
      <c r="AA186" s="45" t="inlineStr">
        <is>
          <t xml:space="preserve">Medium </t>
        </is>
      </c>
      <c r="AB186" s="45" t="inlineStr">
        <is>
          <t>Medium</t>
        </is>
      </c>
      <c r="AC186" s="44" t="n">
        <v>43397</v>
      </c>
      <c r="AD186" s="57" t="n">
        <v>0</v>
      </c>
    </row>
    <row r="187" ht="12.75" customHeight="1" s="123">
      <c r="A187" s="85" t="n">
        <v>185</v>
      </c>
      <c r="B187" s="30" t="inlineStr">
        <is>
          <t>BPB-041-MS15-2RS - ZJFD</t>
        </is>
      </c>
      <c r="C187" s="38" t="n">
        <v>25</v>
      </c>
      <c r="D187" s="38" t="n">
        <v>0</v>
      </c>
      <c r="E187" s="38" t="n">
        <v>-150</v>
      </c>
      <c r="F187" s="38" t="n">
        <v>130</v>
      </c>
      <c r="G187" s="38" t="n">
        <v>0</v>
      </c>
      <c r="H187" s="38" t="n">
        <v>-18</v>
      </c>
      <c r="I187" s="38" t="n">
        <v>25</v>
      </c>
      <c r="J187" s="38" t="n">
        <v>0</v>
      </c>
      <c r="K187" s="38" t="n">
        <v>-150</v>
      </c>
      <c r="L187" s="38" t="n">
        <v>75</v>
      </c>
      <c r="M187" s="38" t="n">
        <v>0</v>
      </c>
      <c r="N187" s="38" t="n">
        <v>-15</v>
      </c>
      <c r="O187" s="38" t="inlineStr">
        <is>
          <t>C3</t>
        </is>
      </c>
      <c r="P187" s="38" t="n">
        <v>51</v>
      </c>
      <c r="Q187" s="38" t="n">
        <v>25</v>
      </c>
      <c r="R187" s="38" t="inlineStr">
        <is>
          <t>NO</t>
        </is>
      </c>
      <c r="S187" s="38" t="inlineStr">
        <is>
          <t>NO</t>
        </is>
      </c>
      <c r="T187" s="38" t="inlineStr">
        <is>
          <t>NO</t>
        </is>
      </c>
      <c r="U187" s="38" t="n">
        <v>64</v>
      </c>
      <c r="V187" s="38" t="n">
        <v>58</v>
      </c>
      <c r="W187" s="38" t="n">
        <v>64</v>
      </c>
      <c r="X187" s="38" t="n">
        <v>58</v>
      </c>
      <c r="Y187" s="38" t="inlineStr">
        <is>
          <t>standard</t>
        </is>
      </c>
      <c r="Z187" s="38" t="inlineStr">
        <is>
          <t>standard</t>
        </is>
      </c>
      <c r="AA187" s="45" t="inlineStr">
        <is>
          <t>standard</t>
        </is>
      </c>
      <c r="AB187" s="38" t="inlineStr">
        <is>
          <t>standard</t>
        </is>
      </c>
      <c r="AC187" s="51" t="inlineStr">
        <is>
          <t>ZJFD</t>
        </is>
      </c>
      <c r="AD187" s="51" t="n">
        <v>0</v>
      </c>
    </row>
    <row r="188" ht="12.75" customHeight="1" s="123">
      <c r="A188" s="85" t="n">
        <v>186</v>
      </c>
      <c r="B188" s="30" t="inlineStr">
        <is>
          <t>BPB-041-MS16-2RS - ZJFD</t>
        </is>
      </c>
      <c r="C188" s="38" t="n">
        <v>26</v>
      </c>
      <c r="D188" s="38" t="n">
        <v>0</v>
      </c>
      <c r="E188" s="38" t="n">
        <v>-150</v>
      </c>
      <c r="F188" s="38" t="n">
        <v>140</v>
      </c>
      <c r="G188" s="38" t="n">
        <v>0</v>
      </c>
      <c r="H188" s="38" t="n">
        <v>-18</v>
      </c>
      <c r="I188" s="38" t="n">
        <v>26</v>
      </c>
      <c r="J188" s="38" t="n">
        <v>0</v>
      </c>
      <c r="K188" s="38" t="n">
        <v>-150</v>
      </c>
      <c r="L188" s="38" t="n">
        <v>80</v>
      </c>
      <c r="M188" s="38" t="n">
        <v>0</v>
      </c>
      <c r="N188" s="38" t="n">
        <v>-15</v>
      </c>
      <c r="O188" s="38" t="inlineStr">
        <is>
          <t>C3</t>
        </is>
      </c>
      <c r="P188" s="38" t="n">
        <v>51</v>
      </c>
      <c r="Q188" s="38" t="n">
        <v>25</v>
      </c>
      <c r="R188" s="38" t="inlineStr">
        <is>
          <t>NO</t>
        </is>
      </c>
      <c r="S188" s="38" t="inlineStr">
        <is>
          <t>NO</t>
        </is>
      </c>
      <c r="T188" s="38" t="inlineStr">
        <is>
          <t>NO</t>
        </is>
      </c>
      <c r="U188" s="38" t="n">
        <v>64</v>
      </c>
      <c r="V188" s="38" t="n">
        <v>58</v>
      </c>
      <c r="W188" s="38" t="n">
        <v>64</v>
      </c>
      <c r="X188" s="38" t="n">
        <v>58</v>
      </c>
      <c r="Y188" s="38" t="inlineStr">
        <is>
          <t>standard</t>
        </is>
      </c>
      <c r="Z188" s="38" t="inlineStr">
        <is>
          <t>standard</t>
        </is>
      </c>
      <c r="AA188" s="45" t="inlineStr">
        <is>
          <t>standard</t>
        </is>
      </c>
      <c r="AB188" s="38" t="inlineStr">
        <is>
          <t>standard</t>
        </is>
      </c>
      <c r="AC188" s="51" t="inlineStr">
        <is>
          <t>ZJFD</t>
        </is>
      </c>
      <c r="AD188" s="51" t="n">
        <v>0</v>
      </c>
    </row>
    <row r="189" ht="12.75" customHeight="1" s="123">
      <c r="A189" s="85" t="n">
        <v>187</v>
      </c>
      <c r="B189" s="30" t="inlineStr">
        <is>
          <t>BPB-041-MS18-2RS - ZJFD</t>
        </is>
      </c>
      <c r="C189" s="38" t="n">
        <v>30</v>
      </c>
      <c r="D189" s="38" t="n">
        <v>0</v>
      </c>
      <c r="E189" s="38" t="n">
        <v>-200</v>
      </c>
      <c r="F189" s="38" t="n">
        <v>160</v>
      </c>
      <c r="G189" s="38" t="n">
        <v>0</v>
      </c>
      <c r="H189" s="38" t="n">
        <v>-25</v>
      </c>
      <c r="I189" s="38" t="n">
        <v>30</v>
      </c>
      <c r="J189" s="38" t="n">
        <v>0</v>
      </c>
      <c r="K189" s="38" t="n">
        <v>-200</v>
      </c>
      <c r="L189" s="38" t="n">
        <v>90</v>
      </c>
      <c r="M189" s="38" t="n">
        <v>0</v>
      </c>
      <c r="N189" s="38" t="n">
        <v>-20</v>
      </c>
      <c r="O189" s="38" t="inlineStr">
        <is>
          <t>C3</t>
        </is>
      </c>
      <c r="P189" s="38" t="n">
        <v>58</v>
      </c>
      <c r="Q189" s="38" t="n">
        <v>30</v>
      </c>
      <c r="R189" s="38" t="inlineStr">
        <is>
          <t>NO</t>
        </is>
      </c>
      <c r="S189" s="38" t="inlineStr">
        <is>
          <t>NO</t>
        </is>
      </c>
      <c r="T189" s="38" t="inlineStr">
        <is>
          <t>NO</t>
        </is>
      </c>
      <c r="U189" s="38" t="n">
        <v>64</v>
      </c>
      <c r="V189" s="38" t="n">
        <v>58</v>
      </c>
      <c r="W189" s="38" t="n">
        <v>64</v>
      </c>
      <c r="X189" s="38" t="n">
        <v>58</v>
      </c>
      <c r="Y189" s="38" t="inlineStr">
        <is>
          <t>standard</t>
        </is>
      </c>
      <c r="Z189" s="38" t="inlineStr">
        <is>
          <t>standard</t>
        </is>
      </c>
      <c r="AA189" s="45" t="inlineStr">
        <is>
          <t>standard</t>
        </is>
      </c>
      <c r="AB189" s="38" t="inlineStr">
        <is>
          <t>standard</t>
        </is>
      </c>
      <c r="AC189" s="51" t="inlineStr">
        <is>
          <t>ZJFD</t>
        </is>
      </c>
      <c r="AD189" s="51" t="n">
        <v>0</v>
      </c>
    </row>
    <row r="190" ht="12.75" customHeight="1" s="123">
      <c r="A190" s="85" t="n">
        <v>188</v>
      </c>
      <c r="B190" s="28" t="inlineStr">
        <is>
          <t>BPB-048-SBX-1706 - CMI</t>
        </is>
      </c>
      <c r="C190" s="38" t="n">
        <v>22</v>
      </c>
      <c r="D190" s="38" t="n">
        <v>0</v>
      </c>
      <c r="E190" s="38" t="n">
        <v>-150</v>
      </c>
      <c r="F190" s="38" t="n">
        <v>130</v>
      </c>
      <c r="G190" s="38" t="n">
        <v>0</v>
      </c>
      <c r="H190" s="38" t="n">
        <v>-18</v>
      </c>
      <c r="I190" s="38" t="n">
        <v>22</v>
      </c>
      <c r="J190" s="38" t="n">
        <v>0</v>
      </c>
      <c r="K190" s="38" t="n">
        <v>-150</v>
      </c>
      <c r="L190" s="38" t="n">
        <v>85</v>
      </c>
      <c r="M190" s="38" t="n">
        <v>0</v>
      </c>
      <c r="N190" s="38" t="n">
        <v>-20</v>
      </c>
      <c r="O190" s="45" t="inlineStr">
        <is>
          <t>C4</t>
        </is>
      </c>
      <c r="P190" s="38" t="n">
        <v>84</v>
      </c>
      <c r="Q190" s="38" t="n">
        <v>53</v>
      </c>
      <c r="R190" s="38" t="inlineStr">
        <is>
          <t>NO</t>
        </is>
      </c>
      <c r="S190" s="38" t="inlineStr">
        <is>
          <t>NO</t>
        </is>
      </c>
      <c r="T190" s="38" t="inlineStr">
        <is>
          <t>NO</t>
        </is>
      </c>
      <c r="U190" s="38" t="n">
        <v>64</v>
      </c>
      <c r="V190" s="38" t="n">
        <v>58</v>
      </c>
      <c r="W190" s="38" t="n">
        <v>64</v>
      </c>
      <c r="X190" s="38" t="n">
        <v>58</v>
      </c>
      <c r="Y190" s="36" t="inlineStr">
        <is>
          <t>60-80%</t>
        </is>
      </c>
      <c r="Z190" s="38" t="inlineStr">
        <is>
          <t>Polyrex</t>
        </is>
      </c>
      <c r="AA190" s="45" t="inlineStr">
        <is>
          <t>70cNm / 0,7Nm</t>
        </is>
      </c>
      <c r="AB190" s="45" t="inlineStr">
        <is>
          <t>100cNm / 1Nm</t>
        </is>
      </c>
      <c r="AC190" s="44" t="n">
        <v>39303</v>
      </c>
      <c r="AD190" s="57" t="n">
        <v>0</v>
      </c>
    </row>
    <row r="191" ht="12.75" customHeight="1" s="123">
      <c r="A191" s="85" t="n">
        <v>189</v>
      </c>
      <c r="B191" s="29" t="inlineStr">
        <is>
          <t>BT305724-2HLCD-C3</t>
        </is>
      </c>
      <c r="C191" s="38" t="n">
        <v>24</v>
      </c>
      <c r="D191" s="38" t="n">
        <v>100</v>
      </c>
      <c r="E191" s="38" t="n">
        <v>-100</v>
      </c>
      <c r="F191" s="38" t="n">
        <v>57</v>
      </c>
      <c r="G191" s="38" t="n">
        <v>100</v>
      </c>
      <c r="H191" s="38" t="n">
        <v>-100</v>
      </c>
      <c r="I191" s="38" t="n">
        <v>13</v>
      </c>
      <c r="J191" s="38" t="n">
        <v>0</v>
      </c>
      <c r="K191" s="38" t="n">
        <v>-120</v>
      </c>
      <c r="L191" s="38" t="n">
        <v>30</v>
      </c>
      <c r="M191" s="38" t="n">
        <v>0</v>
      </c>
      <c r="N191" s="38" t="n">
        <v>-10</v>
      </c>
      <c r="O191" s="38" t="inlineStr">
        <is>
          <t>C3</t>
        </is>
      </c>
      <c r="P191" s="38" t="n">
        <v>13</v>
      </c>
      <c r="Q191" s="38" t="n">
        <v>28</v>
      </c>
      <c r="R191" s="38" t="n"/>
      <c r="S191" s="38" t="n"/>
      <c r="T191" s="38" t="n"/>
      <c r="U191" s="38" t="n"/>
      <c r="V191" s="38" t="n"/>
      <c r="W191" s="38" t="n"/>
      <c r="X191" s="38" t="n"/>
      <c r="Y191" s="36" t="n"/>
      <c r="Z191" s="38" t="n"/>
      <c r="AA191" s="45" t="inlineStr">
        <is>
          <t>…………..</t>
        </is>
      </c>
      <c r="AB191" s="45" t="inlineStr">
        <is>
          <t>…………..</t>
        </is>
      </c>
      <c r="AC191" s="44" t="inlineStr">
        <is>
          <t>……………</t>
        </is>
      </c>
      <c r="AD191" s="57" t="inlineStr">
        <is>
          <t>………</t>
        </is>
      </c>
    </row>
    <row r="192" ht="12.75" customHeight="1" s="123">
      <c r="A192" s="85" t="n">
        <v>190</v>
      </c>
      <c r="B192" s="30" t="inlineStr">
        <is>
          <t>CF-5202RR40</t>
        </is>
      </c>
      <c r="C192" s="38" t="n">
        <v>15.9</v>
      </c>
      <c r="D192" s="38" t="n">
        <v>0</v>
      </c>
      <c r="E192" s="38" t="n">
        <v>-120</v>
      </c>
      <c r="F192" s="38" t="n">
        <v>40</v>
      </c>
      <c r="G192" s="38" t="n">
        <v>13</v>
      </c>
      <c r="H192" s="38" t="n">
        <v>-13</v>
      </c>
      <c r="I192" s="38" t="n">
        <v>16.5</v>
      </c>
      <c r="J192" s="38" t="n">
        <v>0</v>
      </c>
      <c r="K192" s="38" t="n">
        <v>-120</v>
      </c>
      <c r="L192" s="38" t="n">
        <v>10</v>
      </c>
      <c r="M192" s="38" t="n">
        <v>0</v>
      </c>
      <c r="N192" s="38" t="n">
        <v>-10</v>
      </c>
      <c r="O192" s="38" t="inlineStr">
        <is>
          <t>……..</t>
        </is>
      </c>
      <c r="P192" s="38" t="n">
        <v>8</v>
      </c>
      <c r="Q192" s="38" t="n">
        <v>20</v>
      </c>
      <c r="R192" s="38" t="inlineStr">
        <is>
          <t>NO</t>
        </is>
      </c>
      <c r="S192" s="38" t="inlineStr">
        <is>
          <t>NO</t>
        </is>
      </c>
      <c r="T192" s="38" t="inlineStr">
        <is>
          <t>NO</t>
        </is>
      </c>
      <c r="U192" s="38" t="n">
        <v>58</v>
      </c>
      <c r="V192" s="38" t="n">
        <v>64</v>
      </c>
      <c r="W192" s="38" t="n">
        <v>58</v>
      </c>
      <c r="X192" s="38" t="n">
        <v>64</v>
      </c>
      <c r="Y192" s="36" t="inlineStr">
        <is>
          <t>60 - 80%</t>
        </is>
      </c>
      <c r="Z192" s="38" t="inlineStr">
        <is>
          <t>Polyrex</t>
        </is>
      </c>
      <c r="AA192" s="45" t="inlineStr">
        <is>
          <t>…………..</t>
        </is>
      </c>
      <c r="AB192" s="45" t="inlineStr">
        <is>
          <t>…………..</t>
        </is>
      </c>
      <c r="AC192" s="44" t="inlineStr">
        <is>
          <t>……………</t>
        </is>
      </c>
      <c r="AD192" s="57" t="inlineStr">
        <is>
          <t>………</t>
        </is>
      </c>
    </row>
    <row r="193" ht="12.75" customHeight="1" s="123">
      <c r="A193" s="85" t="n">
        <v>191</v>
      </c>
      <c r="B193" s="30" t="inlineStr">
        <is>
          <t>CT5209802</t>
        </is>
      </c>
      <c r="C193" s="38" t="n">
        <v>43.4</v>
      </c>
      <c r="D193" s="38" t="n">
        <v>100</v>
      </c>
      <c r="E193" s="38" t="n">
        <v>-100</v>
      </c>
      <c r="F193" s="38" t="inlineStr">
        <is>
          <t>NO</t>
        </is>
      </c>
      <c r="G193" s="38" t="inlineStr">
        <is>
          <t>NO</t>
        </is>
      </c>
      <c r="H193" s="38" t="inlineStr">
        <is>
          <t>NO</t>
        </is>
      </c>
      <c r="I193" s="38" t="n">
        <v>46.4</v>
      </c>
      <c r="J193" s="38" t="inlineStr">
        <is>
          <t>NO</t>
        </is>
      </c>
      <c r="K193" s="38" t="inlineStr">
        <is>
          <t>NO</t>
        </is>
      </c>
      <c r="L193" s="38" t="n">
        <v>45</v>
      </c>
      <c r="M193" s="38" t="n">
        <v>0</v>
      </c>
      <c r="N193" s="38" t="n">
        <v>-12</v>
      </c>
      <c r="O193" s="38" t="inlineStr">
        <is>
          <t>C3</t>
        </is>
      </c>
      <c r="P193" s="38" t="n">
        <v>23</v>
      </c>
      <c r="Q193" s="38" t="n">
        <v>44</v>
      </c>
      <c r="R193" s="38" t="n"/>
      <c r="S193" s="38" t="n"/>
      <c r="T193" s="38" t="n"/>
      <c r="U193" s="38" t="inlineStr">
        <is>
          <t>58HRC</t>
        </is>
      </c>
      <c r="V193" s="38" t="inlineStr">
        <is>
          <t>62HRC</t>
        </is>
      </c>
      <c r="W193" s="38" t="inlineStr">
        <is>
          <t>56HRC</t>
        </is>
      </c>
      <c r="X193" s="38" t="inlineStr">
        <is>
          <t>62HRC</t>
        </is>
      </c>
      <c r="Y193" s="36" t="n"/>
      <c r="Z193" s="38" t="n"/>
      <c r="AA193" s="45" t="inlineStr">
        <is>
          <t>…………..</t>
        </is>
      </c>
      <c r="AB193" s="45" t="inlineStr">
        <is>
          <t>…………..</t>
        </is>
      </c>
      <c r="AC193" s="44" t="inlineStr">
        <is>
          <t>……………</t>
        </is>
      </c>
      <c r="AD193" s="57" t="inlineStr">
        <is>
          <t>………</t>
        </is>
      </c>
    </row>
    <row r="194" ht="12.75" customHeight="1" s="123">
      <c r="A194" s="85" t="n">
        <v>192</v>
      </c>
      <c r="B194" s="27" t="inlineStr">
        <is>
          <t>DAC25520037</t>
        </is>
      </c>
      <c r="C194" s="38" t="n">
        <v>37</v>
      </c>
      <c r="D194" s="38" t="n"/>
      <c r="E194" s="38" t="n"/>
      <c r="F194" s="38" t="n">
        <v>52</v>
      </c>
      <c r="G194" s="38" t="n"/>
      <c r="H194" s="38" t="n"/>
      <c r="I194" s="38" t="n">
        <v>37</v>
      </c>
      <c r="J194" s="38" t="n"/>
      <c r="K194" s="38" t="n"/>
      <c r="L194" s="38" t="n">
        <v>25</v>
      </c>
      <c r="M194" s="38" t="n"/>
      <c r="N194" s="38" t="n"/>
      <c r="O194" s="38" t="n"/>
      <c r="P194" s="38" t="n"/>
      <c r="Q194" s="38" t="n"/>
      <c r="R194" s="38" t="n"/>
      <c r="S194" s="38" t="n"/>
      <c r="T194" s="38" t="n"/>
      <c r="U194" s="38" t="n"/>
      <c r="V194" s="38" t="n"/>
      <c r="W194" s="38" t="n"/>
      <c r="X194" s="38" t="n"/>
      <c r="Y194" s="36" t="n"/>
      <c r="Z194" s="38" t="n"/>
      <c r="AA194" s="45" t="inlineStr">
        <is>
          <t>…………..</t>
        </is>
      </c>
      <c r="AB194" s="45" t="inlineStr">
        <is>
          <t>…………..</t>
        </is>
      </c>
      <c r="AC194" s="44" t="inlineStr">
        <is>
          <t>……………</t>
        </is>
      </c>
      <c r="AD194" s="57" t="inlineStr">
        <is>
          <t>………</t>
        </is>
      </c>
    </row>
    <row r="195" ht="12.75" customHeight="1" s="123">
      <c r="A195" s="85" t="n">
        <v>193</v>
      </c>
      <c r="B195" s="30" t="inlineStr">
        <is>
          <t>DAC25520037</t>
        </is>
      </c>
      <c r="C195" s="38" t="n">
        <v>37</v>
      </c>
      <c r="D195" s="38" t="n">
        <v>0</v>
      </c>
      <c r="E195" s="38" t="n">
        <v>-120</v>
      </c>
      <c r="F195" s="38" t="n">
        <v>52</v>
      </c>
      <c r="G195" s="38" t="n">
        <v>0</v>
      </c>
      <c r="H195" s="38" t="n">
        <v>-13</v>
      </c>
      <c r="I195" s="38" t="n">
        <v>37</v>
      </c>
      <c r="J195" s="38" t="n">
        <v>0</v>
      </c>
      <c r="K195" s="38" t="n">
        <v>-240</v>
      </c>
      <c r="L195" s="38" t="n">
        <v>25</v>
      </c>
      <c r="M195" s="38" t="n">
        <v>0</v>
      </c>
      <c r="N195" s="38" t="n">
        <v>-10</v>
      </c>
      <c r="O195" s="38" t="inlineStr">
        <is>
          <t>NO</t>
        </is>
      </c>
      <c r="P195" s="38" t="n">
        <v>30</v>
      </c>
      <c r="Q195" s="38" t="n">
        <v>80</v>
      </c>
      <c r="R195" s="38" t="inlineStr">
        <is>
          <t>NO</t>
        </is>
      </c>
      <c r="S195" s="38" t="inlineStr">
        <is>
          <t>NO</t>
        </is>
      </c>
      <c r="T195" s="38" t="inlineStr">
        <is>
          <t>NO</t>
        </is>
      </c>
      <c r="U195" s="38" t="n">
        <v>64</v>
      </c>
      <c r="V195" s="38" t="n">
        <v>60</v>
      </c>
      <c r="W195" s="38" t="n">
        <v>64</v>
      </c>
      <c r="X195" s="38" t="n">
        <v>60</v>
      </c>
      <c r="Y195" s="38" t="inlineStr">
        <is>
          <t>………………………..</t>
        </is>
      </c>
      <c r="Z195" s="38" t="inlineStr">
        <is>
          <t>………………………..</t>
        </is>
      </c>
      <c r="AA195" s="45" t="inlineStr">
        <is>
          <t>…………..</t>
        </is>
      </c>
      <c r="AB195" s="45" t="inlineStr">
        <is>
          <t>…………..</t>
        </is>
      </c>
      <c r="AC195" s="44" t="inlineStr">
        <is>
          <t>……………</t>
        </is>
      </c>
      <c r="AD195" s="57" t="inlineStr">
        <is>
          <t>………</t>
        </is>
      </c>
    </row>
    <row r="196" ht="12.75" customHeight="1" s="123">
      <c r="A196" s="85" t="n">
        <v>194</v>
      </c>
      <c r="B196" s="30" t="inlineStr">
        <is>
          <t>DAC25520042-2RS</t>
        </is>
      </c>
      <c r="C196" s="38" t="n">
        <v>42</v>
      </c>
      <c r="D196" s="38" t="n">
        <v>0</v>
      </c>
      <c r="E196" s="38" t="n">
        <v>-120</v>
      </c>
      <c r="F196" s="38" t="n">
        <v>52</v>
      </c>
      <c r="G196" s="38" t="n">
        <v>0</v>
      </c>
      <c r="H196" s="38" t="n">
        <v>-13</v>
      </c>
      <c r="I196" s="38" t="n">
        <v>42</v>
      </c>
      <c r="J196" s="38" t="n">
        <v>0</v>
      </c>
      <c r="K196" s="38" t="n">
        <v>-240</v>
      </c>
      <c r="L196" s="38" t="n">
        <v>25</v>
      </c>
      <c r="M196" s="38" t="n">
        <v>0</v>
      </c>
      <c r="N196" s="38" t="n">
        <v>-10</v>
      </c>
      <c r="O196" s="38" t="inlineStr">
        <is>
          <t>NO</t>
        </is>
      </c>
      <c r="P196" s="38" t="inlineStr">
        <is>
          <t>NO</t>
        </is>
      </c>
      <c r="Q196" s="38" t="inlineStr">
        <is>
          <t>NO</t>
        </is>
      </c>
      <c r="R196" s="38" t="inlineStr">
        <is>
          <t>AXIAL</t>
        </is>
      </c>
      <c r="S196" s="38" t="n">
        <v>80</v>
      </c>
      <c r="T196" s="38" t="n">
        <v>30</v>
      </c>
      <c r="U196" s="38" t="n">
        <v>64</v>
      </c>
      <c r="V196" s="38" t="n">
        <v>58</v>
      </c>
      <c r="W196" s="38" t="n">
        <v>64</v>
      </c>
      <c r="X196" s="38" t="n">
        <v>58</v>
      </c>
      <c r="Y196" s="40" t="inlineStr">
        <is>
          <t>…………………</t>
        </is>
      </c>
      <c r="Z196" s="40" t="inlineStr">
        <is>
          <t>……………………</t>
        </is>
      </c>
      <c r="AA196" s="45" t="inlineStr">
        <is>
          <t>…………………..</t>
        </is>
      </c>
      <c r="AB196" s="38" t="inlineStr">
        <is>
          <t>………………..</t>
        </is>
      </c>
      <c r="AC196" s="44" t="inlineStr">
        <is>
          <t>……………</t>
        </is>
      </c>
      <c r="AD196" s="57" t="inlineStr">
        <is>
          <t>………</t>
        </is>
      </c>
    </row>
    <row r="197" ht="12.75" customHeight="1" s="123">
      <c r="A197" s="85" t="n">
        <v>195</v>
      </c>
      <c r="B197" s="30" t="inlineStr">
        <is>
          <t>DAC29530037-2RS</t>
        </is>
      </c>
      <c r="C197" s="38" t="n">
        <v>37</v>
      </c>
      <c r="D197" s="38" t="n">
        <v>0</v>
      </c>
      <c r="E197" s="38" t="n">
        <v>-120</v>
      </c>
      <c r="F197" s="38" t="n">
        <v>53</v>
      </c>
      <c r="G197" s="38" t="n">
        <v>0</v>
      </c>
      <c r="H197" s="38" t="n">
        <v>-13</v>
      </c>
      <c r="I197" s="38" t="n">
        <v>37</v>
      </c>
      <c r="J197" s="38" t="n">
        <v>0</v>
      </c>
      <c r="K197" s="38" t="n">
        <v>-240</v>
      </c>
      <c r="L197" s="38" t="n">
        <v>29</v>
      </c>
      <c r="M197" s="38" t="n">
        <v>0</v>
      </c>
      <c r="N197" s="38" t="n">
        <v>-10</v>
      </c>
      <c r="O197" s="38" t="inlineStr">
        <is>
          <t>NO</t>
        </is>
      </c>
      <c r="P197" s="38" t="inlineStr">
        <is>
          <t>NO</t>
        </is>
      </c>
      <c r="Q197" s="38" t="inlineStr">
        <is>
          <t>NO</t>
        </is>
      </c>
      <c r="R197" s="38" t="inlineStr">
        <is>
          <t>AXIAL</t>
        </is>
      </c>
      <c r="S197" s="38" t="n">
        <v>80</v>
      </c>
      <c r="T197" s="38" t="n">
        <v>30</v>
      </c>
      <c r="U197" s="38" t="n">
        <v>64</v>
      </c>
      <c r="V197" s="38" t="n">
        <v>58</v>
      </c>
      <c r="W197" s="38" t="n">
        <v>64</v>
      </c>
      <c r="X197" s="38" t="n">
        <v>58</v>
      </c>
      <c r="Y197" s="38" t="inlineStr">
        <is>
          <t>30 - 50 %</t>
        </is>
      </c>
      <c r="Z197" s="38" t="inlineStr">
        <is>
          <t>Polyrex</t>
        </is>
      </c>
      <c r="AA197" s="45" t="inlineStr">
        <is>
          <t>………………..</t>
        </is>
      </c>
      <c r="AB197" s="38" t="inlineStr">
        <is>
          <t>………………….</t>
        </is>
      </c>
      <c r="AC197" s="44" t="inlineStr">
        <is>
          <t>……………</t>
        </is>
      </c>
      <c r="AD197" s="57" t="inlineStr">
        <is>
          <t>………</t>
        </is>
      </c>
    </row>
    <row r="198" ht="12.75" customHeight="1" s="123">
      <c r="A198" s="85" t="n">
        <v>196</v>
      </c>
      <c r="B198" s="30" t="inlineStr">
        <is>
          <t>DAC3055W</t>
        </is>
      </c>
      <c r="C198" s="38" t="n">
        <v>32</v>
      </c>
      <c r="D198" s="38" t="n"/>
      <c r="E198" s="38" t="n"/>
      <c r="F198" s="38" t="n">
        <v>50</v>
      </c>
      <c r="G198" s="38" t="n"/>
      <c r="H198" s="38" t="n"/>
      <c r="I198" s="38" t="n">
        <v>32</v>
      </c>
      <c r="J198" s="38" t="n"/>
      <c r="K198" s="38" t="n"/>
      <c r="L198" s="38" t="n">
        <v>30</v>
      </c>
      <c r="M198" s="38" t="n"/>
      <c r="N198" s="38" t="n"/>
      <c r="O198" s="38" t="n"/>
      <c r="P198" s="38" t="n"/>
      <c r="Q198" s="38" t="n"/>
      <c r="R198" s="38" t="n"/>
      <c r="S198" s="38" t="n"/>
      <c r="T198" s="38" t="n"/>
      <c r="U198" s="38" t="n"/>
      <c r="V198" s="38" t="n"/>
      <c r="W198" s="38" t="n"/>
      <c r="X198" s="38" t="n"/>
      <c r="Y198" s="36" t="n"/>
      <c r="Z198" s="38" t="n"/>
      <c r="AA198" s="45" t="inlineStr">
        <is>
          <t>…………..</t>
        </is>
      </c>
      <c r="AB198" s="45" t="inlineStr">
        <is>
          <t>…………..</t>
        </is>
      </c>
      <c r="AC198" s="44" t="inlineStr">
        <is>
          <t>……………</t>
        </is>
      </c>
      <c r="AD198" s="57" t="inlineStr">
        <is>
          <t>………</t>
        </is>
      </c>
    </row>
    <row r="199" ht="12.75" customHeight="1" s="123">
      <c r="A199" s="85" t="n">
        <v>197</v>
      </c>
      <c r="B199" s="30" t="inlineStr">
        <is>
          <t>DAC30600337</t>
        </is>
      </c>
      <c r="C199" s="38" t="n">
        <v>37</v>
      </c>
      <c r="D199" s="38" t="n">
        <v>0</v>
      </c>
      <c r="E199" s="38" t="n">
        <v>-120</v>
      </c>
      <c r="F199" s="38" t="n">
        <v>60.03</v>
      </c>
      <c r="G199" s="38" t="n">
        <v>0</v>
      </c>
      <c r="H199" s="38" t="n">
        <v>-13</v>
      </c>
      <c r="I199" s="38" t="n">
        <v>37</v>
      </c>
      <c r="J199" s="38" t="n">
        <v>0</v>
      </c>
      <c r="K199" s="38" t="n">
        <v>-240</v>
      </c>
      <c r="L199" s="38" t="n">
        <v>30</v>
      </c>
      <c r="M199" s="38" t="n">
        <v>0</v>
      </c>
      <c r="N199" s="38" t="n">
        <v>-10</v>
      </c>
      <c r="O199" s="38" t="inlineStr">
        <is>
          <t>NO</t>
        </is>
      </c>
      <c r="P199" s="38" t="inlineStr">
        <is>
          <t>NO</t>
        </is>
      </c>
      <c r="Q199" s="38" t="inlineStr">
        <is>
          <t>NO</t>
        </is>
      </c>
      <c r="R199" s="38" t="inlineStr">
        <is>
          <t>A</t>
        </is>
      </c>
      <c r="S199" s="38" t="n">
        <v>30</v>
      </c>
      <c r="T199" s="38" t="n">
        <v>10</v>
      </c>
      <c r="U199" s="38" t="n">
        <v>64</v>
      </c>
      <c r="V199" s="38" t="n">
        <v>58</v>
      </c>
      <c r="W199" s="38" t="n">
        <v>64</v>
      </c>
      <c r="X199" s="38" t="n">
        <v>58</v>
      </c>
      <c r="Y199" s="41" t="inlineStr">
        <is>
          <t xml:space="preserve">4,0 - 7,0 </t>
        </is>
      </c>
      <c r="Z199" s="38" t="inlineStr">
        <is>
          <t>mobil RONEX MP</t>
        </is>
      </c>
      <c r="AA199" s="45" t="inlineStr">
        <is>
          <t>…………..</t>
        </is>
      </c>
      <c r="AB199" s="45" t="inlineStr">
        <is>
          <t>…………..</t>
        </is>
      </c>
      <c r="AC199" s="44" t="inlineStr">
        <is>
          <t>……………</t>
        </is>
      </c>
      <c r="AD199" s="57" t="inlineStr">
        <is>
          <t>………</t>
        </is>
      </c>
    </row>
    <row r="200" ht="12.75" customHeight="1" s="123">
      <c r="A200" s="85" t="n">
        <v>198</v>
      </c>
      <c r="B200" s="27" t="inlineStr">
        <is>
          <t>DAC34660037</t>
        </is>
      </c>
      <c r="C200" s="38" t="n">
        <v>37</v>
      </c>
      <c r="D200" s="38" t="n">
        <v>0</v>
      </c>
      <c r="E200" s="38" t="n">
        <v>-120</v>
      </c>
      <c r="F200" s="38" t="n">
        <v>66</v>
      </c>
      <c r="G200" s="38" t="n">
        <v>0</v>
      </c>
      <c r="H200" s="38" t="n">
        <v>-13</v>
      </c>
      <c r="I200" s="38" t="n">
        <v>37</v>
      </c>
      <c r="J200" s="38" t="n">
        <v>0</v>
      </c>
      <c r="K200" s="38" t="n">
        <v>-120</v>
      </c>
      <c r="L200" s="38" t="n">
        <v>34</v>
      </c>
      <c r="M200" s="38" t="n">
        <v>0</v>
      </c>
      <c r="N200" s="38" t="n">
        <v>-12</v>
      </c>
      <c r="O200" s="38" t="n"/>
      <c r="P200" s="38" t="inlineStr">
        <is>
          <t>NO</t>
        </is>
      </c>
      <c r="Q200" s="38" t="inlineStr">
        <is>
          <t>NO</t>
        </is>
      </c>
      <c r="R200" s="38" t="n"/>
      <c r="S200" s="38" t="n">
        <v>80</v>
      </c>
      <c r="T200" s="38" t="n">
        <v>30</v>
      </c>
      <c r="U200" s="38" t="inlineStr">
        <is>
          <t>64HRC</t>
        </is>
      </c>
      <c r="V200" s="38" t="inlineStr">
        <is>
          <t>60HRC</t>
        </is>
      </c>
      <c r="W200" s="38" t="inlineStr">
        <is>
          <t>64HRC</t>
        </is>
      </c>
      <c r="X200" s="38" t="inlineStr">
        <is>
          <t>60HRC</t>
        </is>
      </c>
      <c r="Y200" s="36" t="inlineStr">
        <is>
          <t>30-50%</t>
        </is>
      </c>
      <c r="Z200" s="45" t="inlineStr">
        <is>
          <t>…………..</t>
        </is>
      </c>
      <c r="AA200" s="45" t="inlineStr">
        <is>
          <t>…………..</t>
        </is>
      </c>
      <c r="AB200" s="45" t="inlineStr">
        <is>
          <t>…………..</t>
        </is>
      </c>
      <c r="AC200" s="44" t="inlineStr">
        <is>
          <t>……………</t>
        </is>
      </c>
      <c r="AD200" s="57" t="inlineStr">
        <is>
          <t>………</t>
        </is>
      </c>
    </row>
    <row r="201" ht="12.75" customHeight="1" s="123">
      <c r="A201" s="85" t="n">
        <v>199</v>
      </c>
      <c r="B201" s="30" t="inlineStr">
        <is>
          <t>DAC35650035</t>
        </is>
      </c>
      <c r="C201" s="38" t="n">
        <v>35</v>
      </c>
      <c r="D201" s="38" t="inlineStr">
        <is>
          <t>0-</t>
        </is>
      </c>
      <c r="E201" s="38" t="n">
        <v>-120</v>
      </c>
      <c r="F201" s="38" t="n">
        <v>65</v>
      </c>
      <c r="G201" s="38" t="n">
        <v>0</v>
      </c>
      <c r="H201" s="38" t="n">
        <v>-13</v>
      </c>
      <c r="I201" s="38" t="n">
        <v>35</v>
      </c>
      <c r="J201" s="38" t="n">
        <v>0</v>
      </c>
      <c r="K201" s="38" t="n">
        <v>-120</v>
      </c>
      <c r="L201" s="38" t="n">
        <v>35</v>
      </c>
      <c r="M201" s="38" t="n">
        <v>0</v>
      </c>
      <c r="N201" s="38" t="n">
        <v>-12</v>
      </c>
      <c r="O201" s="38" t="n"/>
      <c r="P201" s="38" t="n"/>
      <c r="Q201" s="38" t="n"/>
      <c r="R201" s="38" t="n"/>
      <c r="S201" s="38" t="n">
        <v>80</v>
      </c>
      <c r="T201" s="38" t="n">
        <v>30</v>
      </c>
      <c r="U201" s="38" t="inlineStr">
        <is>
          <t>64HRC</t>
        </is>
      </c>
      <c r="V201" s="38" t="inlineStr">
        <is>
          <t>58HRC</t>
        </is>
      </c>
      <c r="W201" s="38" t="inlineStr">
        <is>
          <t>64HRC</t>
        </is>
      </c>
      <c r="X201" s="38" t="inlineStr">
        <is>
          <t>58HRC</t>
        </is>
      </c>
      <c r="Y201" s="36" t="inlineStr">
        <is>
          <t>50-60%</t>
        </is>
      </c>
      <c r="Z201" s="38" t="inlineStr">
        <is>
          <t>Polyrex</t>
        </is>
      </c>
      <c r="AA201" s="45" t="inlineStr">
        <is>
          <t>…………..</t>
        </is>
      </c>
      <c r="AB201" s="45" t="inlineStr">
        <is>
          <t>…………..</t>
        </is>
      </c>
      <c r="AC201" s="44" t="inlineStr">
        <is>
          <t>……………</t>
        </is>
      </c>
      <c r="AD201" s="57" t="inlineStr">
        <is>
          <t>………</t>
        </is>
      </c>
    </row>
    <row r="202" ht="12.75" customHeight="1" s="123">
      <c r="A202" s="85" t="n">
        <v>200</v>
      </c>
      <c r="B202" s="30" t="inlineStr">
        <is>
          <t>DAC35680037</t>
        </is>
      </c>
      <c r="C202" s="38" t="n">
        <v>37</v>
      </c>
      <c r="D202" s="38" t="n">
        <v>0</v>
      </c>
      <c r="E202" s="38" t="n">
        <v>-120</v>
      </c>
      <c r="F202" s="38" t="n">
        <v>68</v>
      </c>
      <c r="G202" s="38" t="n">
        <v>0</v>
      </c>
      <c r="H202" s="38" t="n">
        <v>-13</v>
      </c>
      <c r="I202" s="38" t="n">
        <v>37</v>
      </c>
      <c r="J202" s="38" t="n">
        <v>0</v>
      </c>
      <c r="K202" s="38" t="n">
        <v>-120</v>
      </c>
      <c r="L202" s="38" t="n">
        <v>35</v>
      </c>
      <c r="M202" s="38" t="n">
        <v>0</v>
      </c>
      <c r="N202" s="38" t="n">
        <v>-12</v>
      </c>
      <c r="O202" s="38" t="inlineStr">
        <is>
          <t>NO</t>
        </is>
      </c>
      <c r="P202" s="38" t="inlineStr">
        <is>
          <t>NO</t>
        </is>
      </c>
      <c r="Q202" s="38" t="inlineStr">
        <is>
          <t>NO</t>
        </is>
      </c>
      <c r="R202" s="38" t="inlineStr">
        <is>
          <t>Axial</t>
        </is>
      </c>
      <c r="S202" s="38" t="n">
        <v>80</v>
      </c>
      <c r="T202" s="38" t="n">
        <v>40</v>
      </c>
      <c r="U202" s="38" t="n">
        <v>62</v>
      </c>
      <c r="V202" s="38" t="n">
        <v>58</v>
      </c>
      <c r="W202" s="38" t="n">
        <v>62</v>
      </c>
      <c r="X202" s="38" t="n">
        <v>58</v>
      </c>
      <c r="Y202" s="36" t="inlineStr">
        <is>
          <t>50-60%</t>
        </is>
      </c>
      <c r="Z202" s="38" t="inlineStr">
        <is>
          <t>Polyrex</t>
        </is>
      </c>
      <c r="AA202" s="45" t="inlineStr">
        <is>
          <t>…………..</t>
        </is>
      </c>
      <c r="AB202" s="45" t="inlineStr">
        <is>
          <t>…………..</t>
        </is>
      </c>
      <c r="AC202" s="44" t="inlineStr">
        <is>
          <t>……………</t>
        </is>
      </c>
      <c r="AD202" s="57" t="inlineStr">
        <is>
          <t>………</t>
        </is>
      </c>
    </row>
    <row r="203" ht="12.75" customHeight="1" s="123">
      <c r="A203" s="85" t="n">
        <v>201</v>
      </c>
      <c r="B203" s="30" t="inlineStr">
        <is>
          <t>DAC35680037</t>
        </is>
      </c>
      <c r="C203" s="38" t="n">
        <v>37</v>
      </c>
      <c r="D203" s="38" t="n">
        <v>0</v>
      </c>
      <c r="E203" s="38" t="n">
        <v>-120</v>
      </c>
      <c r="F203" s="38" t="n">
        <v>68</v>
      </c>
      <c r="G203" s="38" t="n">
        <v>0</v>
      </c>
      <c r="H203" s="38" t="n">
        <v>-13</v>
      </c>
      <c r="I203" s="38" t="n">
        <v>37</v>
      </c>
      <c r="J203" s="38" t="n">
        <v>0</v>
      </c>
      <c r="K203" s="38" t="n">
        <v>-120</v>
      </c>
      <c r="L203" s="38" t="n">
        <v>35</v>
      </c>
      <c r="M203" s="38" t="n">
        <v>0</v>
      </c>
      <c r="N203" s="38" t="n">
        <v>-12</v>
      </c>
      <c r="O203" s="38" t="inlineStr">
        <is>
          <t>NO</t>
        </is>
      </c>
      <c r="P203" s="38" t="inlineStr">
        <is>
          <t>NO</t>
        </is>
      </c>
      <c r="Q203" s="38" t="inlineStr">
        <is>
          <t>NO</t>
        </is>
      </c>
      <c r="R203" s="38" t="inlineStr">
        <is>
          <t>Axial</t>
        </is>
      </c>
      <c r="S203" s="38" t="n">
        <v>80</v>
      </c>
      <c r="T203" s="38" t="n">
        <v>40</v>
      </c>
      <c r="U203" s="40" t="n">
        <v>62</v>
      </c>
      <c r="V203" s="40" t="n">
        <v>58</v>
      </c>
      <c r="W203" s="38" t="n">
        <v>62</v>
      </c>
      <c r="X203" s="38" t="n">
        <v>58</v>
      </c>
      <c r="Y203" s="36" t="inlineStr">
        <is>
          <t>50-60%</t>
        </is>
      </c>
      <c r="Z203" s="38" t="inlineStr">
        <is>
          <t>Polyrex</t>
        </is>
      </c>
      <c r="AA203" s="55" t="inlineStr">
        <is>
          <t>…………..</t>
        </is>
      </c>
      <c r="AB203" s="45" t="inlineStr">
        <is>
          <t>…………..</t>
        </is>
      </c>
      <c r="AC203" s="44" t="inlineStr">
        <is>
          <t>……………</t>
        </is>
      </c>
      <c r="AD203" s="57" t="inlineStr">
        <is>
          <t>………</t>
        </is>
      </c>
    </row>
    <row r="204" ht="12.75" customHeight="1" s="123">
      <c r="A204" s="85" t="n">
        <v>202</v>
      </c>
      <c r="B204" s="30" t="inlineStr">
        <is>
          <t>DAC35720033</t>
        </is>
      </c>
      <c r="C204" s="38" t="n">
        <v>33</v>
      </c>
      <c r="D204" s="38" t="n">
        <v>0</v>
      </c>
      <c r="E204" s="38" t="n">
        <v>-120</v>
      </c>
      <c r="F204" s="38" t="n">
        <v>72</v>
      </c>
      <c r="G204" s="38" t="n">
        <v>0</v>
      </c>
      <c r="H204" s="38" t="n">
        <v>-13</v>
      </c>
      <c r="I204" s="38" t="n">
        <v>33</v>
      </c>
      <c r="J204" s="38" t="n">
        <v>0</v>
      </c>
      <c r="K204" s="38" t="n">
        <v>-120</v>
      </c>
      <c r="L204" s="38" t="n">
        <v>35</v>
      </c>
      <c r="M204" s="38" t="n">
        <v>0</v>
      </c>
      <c r="N204" s="38" t="n">
        <v>-12</v>
      </c>
      <c r="O204" s="38" t="n"/>
      <c r="P204" s="38" t="n">
        <v>30</v>
      </c>
      <c r="Q204" s="38" t="n">
        <v>80</v>
      </c>
      <c r="R204" s="38" t="n"/>
      <c r="S204" s="38" t="n"/>
      <c r="T204" s="38" t="n"/>
      <c r="U204" s="38" t="n"/>
      <c r="V204" s="38" t="n"/>
      <c r="W204" s="38" t="n"/>
      <c r="X204" s="38" t="n"/>
      <c r="Y204" s="36" t="n"/>
      <c r="Z204" s="38" t="n"/>
      <c r="AA204" s="45" t="inlineStr">
        <is>
          <t>…………..</t>
        </is>
      </c>
      <c r="AB204" s="45" t="inlineStr">
        <is>
          <t>…………..</t>
        </is>
      </c>
      <c r="AC204" s="44" t="inlineStr">
        <is>
          <t>……………</t>
        </is>
      </c>
      <c r="AD204" s="57" t="inlineStr">
        <is>
          <t>………</t>
        </is>
      </c>
    </row>
    <row r="205" ht="12.75" customHeight="1" s="123">
      <c r="A205" s="85" t="n">
        <v>203</v>
      </c>
      <c r="B205" s="30" t="inlineStr">
        <is>
          <t>DAC37720037</t>
        </is>
      </c>
      <c r="C205" s="38" t="n">
        <v>37</v>
      </c>
      <c r="D205" s="38" t="n">
        <v>0</v>
      </c>
      <c r="E205" s="38" t="n">
        <v>-120</v>
      </c>
      <c r="F205" s="38" t="n">
        <v>72</v>
      </c>
      <c r="G205" s="38" t="n">
        <v>0</v>
      </c>
      <c r="H205" s="38" t="n">
        <v>-13</v>
      </c>
      <c r="I205" s="38" t="n">
        <v>37</v>
      </c>
      <c r="J205" s="38" t="n">
        <v>0</v>
      </c>
      <c r="K205" s="38" t="n">
        <v>-250</v>
      </c>
      <c r="L205" s="38" t="n">
        <v>37</v>
      </c>
      <c r="M205" s="38" t="n">
        <v>0</v>
      </c>
      <c r="N205" s="38" t="n">
        <v>-12</v>
      </c>
      <c r="O205" s="38" t="inlineStr">
        <is>
          <t>NO</t>
        </is>
      </c>
      <c r="P205" s="38" t="inlineStr">
        <is>
          <t>NO</t>
        </is>
      </c>
      <c r="Q205" s="38" t="inlineStr">
        <is>
          <t>NO</t>
        </is>
      </c>
      <c r="R205" s="38" t="inlineStr">
        <is>
          <t>Axial</t>
        </is>
      </c>
      <c r="S205" s="38" t="n">
        <v>80</v>
      </c>
      <c r="T205" s="38" t="n">
        <v>30</v>
      </c>
      <c r="U205" s="38" t="n">
        <v>64</v>
      </c>
      <c r="V205" s="38" t="n">
        <v>58</v>
      </c>
      <c r="W205" s="38" t="n">
        <v>64</v>
      </c>
      <c r="X205" s="38" t="n">
        <v>58</v>
      </c>
      <c r="Y205" s="54" t="inlineStr">
        <is>
          <t xml:space="preserve">7,0 - 9,0 </t>
        </is>
      </c>
      <c r="Z205" s="40" t="inlineStr">
        <is>
          <t>Great Wall THC-D</t>
        </is>
      </c>
      <c r="AA205" s="45" t="inlineStr">
        <is>
          <t>NO</t>
        </is>
      </c>
      <c r="AB205" s="45" t="inlineStr">
        <is>
          <t>NO</t>
        </is>
      </c>
      <c r="AC205" s="44" t="n">
        <v>42899</v>
      </c>
      <c r="AD205" s="57" t="n">
        <v>0</v>
      </c>
    </row>
    <row r="206" ht="12.75" customHeight="1" s="123">
      <c r="A206" s="85" t="n">
        <v>204</v>
      </c>
      <c r="B206" s="27" t="inlineStr">
        <is>
          <t>DAC39680037</t>
        </is>
      </c>
      <c r="C206" s="38" t="n">
        <v>37</v>
      </c>
      <c r="D206" s="38" t="n">
        <v>0</v>
      </c>
      <c r="E206" s="38" t="n">
        <v>-120</v>
      </c>
      <c r="F206" s="38" t="n">
        <v>68</v>
      </c>
      <c r="G206" s="38" t="n">
        <v>0</v>
      </c>
      <c r="H206" s="38" t="n">
        <v>-13</v>
      </c>
      <c r="I206" s="38" t="n">
        <v>39</v>
      </c>
      <c r="J206" s="38" t="n">
        <v>0</v>
      </c>
      <c r="K206" s="38" t="n">
        <v>-120</v>
      </c>
      <c r="L206" s="38" t="n">
        <v>39</v>
      </c>
      <c r="M206" s="38" t="n">
        <v>0</v>
      </c>
      <c r="N206" s="38" t="n">
        <v>-12</v>
      </c>
      <c r="O206" s="38" t="inlineStr">
        <is>
          <t>NO</t>
        </is>
      </c>
      <c r="P206" s="38" t="inlineStr">
        <is>
          <t>NO</t>
        </is>
      </c>
      <c r="Q206" s="38" t="inlineStr">
        <is>
          <t>NO</t>
        </is>
      </c>
      <c r="R206" s="38" t="inlineStr">
        <is>
          <t>Axial</t>
        </is>
      </c>
      <c r="S206" s="38" t="n">
        <v>80</v>
      </c>
      <c r="T206" s="38" t="n">
        <v>30</v>
      </c>
      <c r="U206" s="38" t="n">
        <v>64</v>
      </c>
      <c r="V206" s="38" t="n">
        <v>58</v>
      </c>
      <c r="W206" s="38" t="n">
        <v>64</v>
      </c>
      <c r="X206" s="38" t="n">
        <v>58</v>
      </c>
      <c r="Y206" s="36" t="inlineStr">
        <is>
          <t>7,0-9,0</t>
        </is>
      </c>
      <c r="Z206" s="38" t="inlineStr">
        <is>
          <t>Great Wall THC-D</t>
        </is>
      </c>
      <c r="AA206" s="45" t="inlineStr">
        <is>
          <t>NO</t>
        </is>
      </c>
      <c r="AB206" s="45" t="inlineStr">
        <is>
          <t>NO</t>
        </is>
      </c>
      <c r="AC206" s="44" t="n">
        <v>42899</v>
      </c>
      <c r="AD206" s="57" t="n">
        <v>0</v>
      </c>
    </row>
    <row r="207" ht="12.75" customHeight="1" s="123">
      <c r="A207" s="85" t="n">
        <v>205</v>
      </c>
      <c r="B207" s="30" t="inlineStr">
        <is>
          <t>DAC39720037</t>
        </is>
      </c>
      <c r="C207" s="38" t="n">
        <v>37</v>
      </c>
      <c r="D207" s="38" t="n"/>
      <c r="E207" s="38" t="n"/>
      <c r="F207" s="38" t="n">
        <v>72</v>
      </c>
      <c r="G207" s="38" t="n"/>
      <c r="H207" s="38" t="n"/>
      <c r="I207" s="38" t="n">
        <v>37</v>
      </c>
      <c r="J207" s="38" t="n"/>
      <c r="K207" s="38" t="n"/>
      <c r="L207" s="38" t="n">
        <v>39</v>
      </c>
      <c r="M207" s="38" t="n"/>
      <c r="N207" s="38" t="n"/>
      <c r="O207" s="38" t="n"/>
      <c r="P207" s="38" t="n"/>
      <c r="Q207" s="38" t="n"/>
      <c r="R207" s="38" t="n"/>
      <c r="S207" s="38" t="n"/>
      <c r="T207" s="38" t="n"/>
      <c r="U207" s="38" t="n"/>
      <c r="V207" s="38" t="n"/>
      <c r="W207" s="38" t="n"/>
      <c r="X207" s="38" t="n"/>
      <c r="Y207" s="36" t="n"/>
      <c r="Z207" s="38" t="n"/>
      <c r="AA207" s="45" t="inlineStr">
        <is>
          <t>…………..</t>
        </is>
      </c>
      <c r="AB207" s="45" t="inlineStr">
        <is>
          <t>…………..</t>
        </is>
      </c>
      <c r="AC207" s="44" t="inlineStr">
        <is>
          <t>……………</t>
        </is>
      </c>
      <c r="AD207" s="57" t="inlineStr">
        <is>
          <t>………</t>
        </is>
      </c>
    </row>
    <row r="208" ht="12.75" customHeight="1" s="123">
      <c r="A208" s="85" t="n">
        <v>206</v>
      </c>
      <c r="B208" s="30" t="inlineStr">
        <is>
          <t>DAC40108001</t>
        </is>
      </c>
      <c r="C208" s="38" t="n">
        <v>17</v>
      </c>
      <c r="D208" s="38" t="n">
        <v>0</v>
      </c>
      <c r="E208" s="38" t="n">
        <v>-120</v>
      </c>
      <c r="F208" s="38" t="n">
        <v>108</v>
      </c>
      <c r="G208" s="38" t="n">
        <v>0</v>
      </c>
      <c r="H208" s="38" t="n">
        <v>-20</v>
      </c>
      <c r="I208" s="38" t="n">
        <v>32</v>
      </c>
      <c r="J208" s="38" t="n">
        <v>0</v>
      </c>
      <c r="K208" s="38" t="n">
        <v>-240</v>
      </c>
      <c r="L208" s="38" t="n">
        <v>40</v>
      </c>
      <c r="M208" s="38" t="n">
        <v>0</v>
      </c>
      <c r="N208" s="38" t="n">
        <v>-15</v>
      </c>
      <c r="O208" s="38" t="inlineStr">
        <is>
          <t>NO</t>
        </is>
      </c>
      <c r="P208" s="38" t="n">
        <v>40</v>
      </c>
      <c r="Q208" s="38" t="n">
        <v>70</v>
      </c>
      <c r="R208" s="38" t="inlineStr">
        <is>
          <t>NO</t>
        </is>
      </c>
      <c r="S208" s="38" t="inlineStr">
        <is>
          <t>NO</t>
        </is>
      </c>
      <c r="T208" s="38" t="inlineStr">
        <is>
          <t>NO</t>
        </is>
      </c>
      <c r="U208" s="38" t="n">
        <v>64</v>
      </c>
      <c r="V208" s="38" t="n">
        <v>60</v>
      </c>
      <c r="W208" s="38" t="n">
        <v>64</v>
      </c>
      <c r="X208" s="38" t="n">
        <v>60</v>
      </c>
      <c r="Y208" s="38" t="inlineStr">
        <is>
          <t>………………………..</t>
        </is>
      </c>
      <c r="Z208" s="38" t="inlineStr">
        <is>
          <t>………………………..</t>
        </is>
      </c>
      <c r="AA208" s="45" t="inlineStr">
        <is>
          <t>…………..</t>
        </is>
      </c>
      <c r="AB208" s="45" t="inlineStr">
        <is>
          <t>…………..</t>
        </is>
      </c>
      <c r="AC208" s="44" t="inlineStr">
        <is>
          <t>……………</t>
        </is>
      </c>
      <c r="AD208" s="57" t="inlineStr">
        <is>
          <t>………</t>
        </is>
      </c>
    </row>
    <row r="209" ht="12.75" customHeight="1" s="123">
      <c r="A209" s="85" t="n">
        <v>207</v>
      </c>
      <c r="B209" s="30" t="inlineStr">
        <is>
          <t>DAC40720037</t>
        </is>
      </c>
      <c r="C209" s="38" t="n">
        <v>37</v>
      </c>
      <c r="D209" s="38" t="n">
        <v>0</v>
      </c>
      <c r="E209" s="38" t="n">
        <v>-120</v>
      </c>
      <c r="F209" s="38" t="n">
        <v>72</v>
      </c>
      <c r="G209" s="38" t="n">
        <v>0</v>
      </c>
      <c r="H209" s="38" t="n">
        <v>-13</v>
      </c>
      <c r="I209" s="38" t="n">
        <v>37</v>
      </c>
      <c r="J209" s="38" t="n">
        <v>0</v>
      </c>
      <c r="K209" s="38" t="n">
        <v>-120</v>
      </c>
      <c r="L209" s="38" t="n">
        <v>40</v>
      </c>
      <c r="M209" s="38" t="n">
        <v>0</v>
      </c>
      <c r="N209" s="38" t="n">
        <v>-12</v>
      </c>
      <c r="O209" s="38" t="n"/>
      <c r="P209" s="38" t="n"/>
      <c r="Q209" s="38" t="n"/>
      <c r="R209" s="38" t="n"/>
      <c r="S209" s="38" t="n">
        <v>40</v>
      </c>
      <c r="T209" s="38" t="n">
        <v>75</v>
      </c>
      <c r="U209" s="38" t="inlineStr">
        <is>
          <t>64HRC</t>
        </is>
      </c>
      <c r="V209" s="38" t="inlineStr">
        <is>
          <t>58HRC</t>
        </is>
      </c>
      <c r="W209" s="38" t="inlineStr">
        <is>
          <t>64HRC</t>
        </is>
      </c>
      <c r="X209" s="38" t="inlineStr">
        <is>
          <t>58HRC</t>
        </is>
      </c>
      <c r="Y209" s="36" t="inlineStr">
        <is>
          <t>50-60%</t>
        </is>
      </c>
      <c r="Z209" s="38" t="inlineStr">
        <is>
          <t>Polyrex</t>
        </is>
      </c>
      <c r="AA209" s="45" t="inlineStr">
        <is>
          <t>…………..</t>
        </is>
      </c>
      <c r="AB209" s="45" t="inlineStr">
        <is>
          <t>…………..</t>
        </is>
      </c>
      <c r="AC209" s="44" t="inlineStr">
        <is>
          <t>……………</t>
        </is>
      </c>
      <c r="AD209" s="57" t="inlineStr">
        <is>
          <t>………</t>
        </is>
      </c>
    </row>
    <row r="210" ht="12.75" customHeight="1" s="123">
      <c r="A210" s="85" t="n">
        <v>208</v>
      </c>
      <c r="B210" s="30" t="inlineStr">
        <is>
          <t>DAC40720037</t>
        </is>
      </c>
      <c r="C210" s="38" t="n">
        <v>37</v>
      </c>
      <c r="D210" s="38" t="n">
        <v>0</v>
      </c>
      <c r="E210" s="38" t="n">
        <v>-120</v>
      </c>
      <c r="F210" s="38" t="n">
        <v>72</v>
      </c>
      <c r="G210" s="38" t="n">
        <v>0</v>
      </c>
      <c r="H210" s="38" t="n">
        <v>-13</v>
      </c>
      <c r="I210" s="38" t="n">
        <v>37</v>
      </c>
      <c r="J210" s="38" t="n">
        <v>0</v>
      </c>
      <c r="K210" s="38" t="n">
        <v>-120</v>
      </c>
      <c r="L210" s="38" t="n">
        <v>40</v>
      </c>
      <c r="M210" s="38" t="n">
        <v>0</v>
      </c>
      <c r="N210" s="38" t="n">
        <v>-12</v>
      </c>
      <c r="O210" s="38" t="inlineStr">
        <is>
          <t>NO</t>
        </is>
      </c>
      <c r="P210" s="38" t="inlineStr">
        <is>
          <t>NO</t>
        </is>
      </c>
      <c r="Q210" s="38" t="inlineStr">
        <is>
          <t>NO</t>
        </is>
      </c>
      <c r="R210" s="38" t="inlineStr">
        <is>
          <t>………</t>
        </is>
      </c>
      <c r="S210" s="38" t="n">
        <v>30</v>
      </c>
      <c r="T210" s="38" t="n">
        <v>70</v>
      </c>
      <c r="U210" s="38" t="n">
        <v>58</v>
      </c>
      <c r="V210" s="38" t="n">
        <v>62</v>
      </c>
      <c r="W210" s="38" t="n">
        <v>58</v>
      </c>
      <c r="X210" s="38" t="n">
        <v>62</v>
      </c>
      <c r="Y210" s="36" t="inlineStr">
        <is>
          <t>50 - 60%</t>
        </is>
      </c>
      <c r="Z210" s="38" t="inlineStr">
        <is>
          <t>Polyrex</t>
        </is>
      </c>
      <c r="AA210" s="45" t="inlineStr">
        <is>
          <t>…………..</t>
        </is>
      </c>
      <c r="AB210" s="45" t="inlineStr">
        <is>
          <t>…………..</t>
        </is>
      </c>
      <c r="AC210" s="44" t="inlineStr">
        <is>
          <t>……………</t>
        </is>
      </c>
      <c r="AD210" s="57" t="inlineStr">
        <is>
          <t>………</t>
        </is>
      </c>
    </row>
    <row r="211" ht="12.75" customHeight="1" s="123">
      <c r="A211" s="85" t="n">
        <v>209</v>
      </c>
      <c r="B211" s="30" t="inlineStr">
        <is>
          <t>DAC-42820036</t>
        </is>
      </c>
      <c r="C211" s="38" t="n">
        <v>36</v>
      </c>
      <c r="D211" s="38" t="n">
        <v>0</v>
      </c>
      <c r="E211" s="38" t="n">
        <v>-150</v>
      </c>
      <c r="F211" s="38" t="n">
        <v>84</v>
      </c>
      <c r="G211" s="38" t="n">
        <v>0</v>
      </c>
      <c r="H211" s="38" t="n">
        <v>-15</v>
      </c>
      <c r="I211" s="38" t="n">
        <v>36</v>
      </c>
      <c r="J211" s="38" t="n">
        <v>0</v>
      </c>
      <c r="K211" s="38" t="n">
        <v>-150</v>
      </c>
      <c r="L211" s="38" t="n">
        <v>42</v>
      </c>
      <c r="M211" s="38" t="n">
        <v>-0.015</v>
      </c>
      <c r="N211" s="38" t="n">
        <v>-0.027</v>
      </c>
      <c r="O211" s="38" t="inlineStr">
        <is>
          <t>NO</t>
        </is>
      </c>
      <c r="P211" s="38" t="inlineStr">
        <is>
          <t>NO</t>
        </is>
      </c>
      <c r="Q211" s="38" t="inlineStr">
        <is>
          <t>NO</t>
        </is>
      </c>
      <c r="R211" s="38" t="inlineStr">
        <is>
          <t>AXIAL</t>
        </is>
      </c>
      <c r="S211" s="38" t="n">
        <v>135</v>
      </c>
      <c r="T211" s="38" t="n">
        <v>155</v>
      </c>
      <c r="U211" s="38" t="n">
        <v>58</v>
      </c>
      <c r="V211" s="38" t="n">
        <v>64</v>
      </c>
      <c r="W211" s="38" t="n">
        <v>58</v>
      </c>
      <c r="X211" s="38" t="n">
        <v>64</v>
      </c>
      <c r="Y211" s="36" t="inlineStr">
        <is>
          <t>30% 50%</t>
        </is>
      </c>
      <c r="Z211" s="38" t="inlineStr">
        <is>
          <t>Polyrex</t>
        </is>
      </c>
      <c r="AA211" s="45" t="inlineStr">
        <is>
          <t>…………..</t>
        </is>
      </c>
      <c r="AB211" s="45" t="inlineStr">
        <is>
          <t>…………..</t>
        </is>
      </c>
      <c r="AC211" s="44" t="inlineStr">
        <is>
          <t>……………</t>
        </is>
      </c>
      <c r="AD211" s="57" t="inlineStr">
        <is>
          <t>………</t>
        </is>
      </c>
    </row>
    <row r="212" ht="12.75" customHeight="1" s="123">
      <c r="A212" s="85" t="n">
        <v>210</v>
      </c>
      <c r="B212" s="30" t="inlineStr">
        <is>
          <t>DAC42840039</t>
        </is>
      </c>
      <c r="C212" s="38" t="n">
        <v>39</v>
      </c>
      <c r="D212" s="38" t="n">
        <v>0</v>
      </c>
      <c r="E212" s="38" t="n">
        <v>-120</v>
      </c>
      <c r="F212" s="38" t="n">
        <v>84</v>
      </c>
      <c r="G212" s="38" t="n">
        <v>0</v>
      </c>
      <c r="H212" s="38" t="n">
        <v>-15</v>
      </c>
      <c r="I212" s="38" t="n">
        <v>39</v>
      </c>
      <c r="J212" s="38" t="n">
        <v>0</v>
      </c>
      <c r="K212" s="38" t="n">
        <v>-120</v>
      </c>
      <c r="L212" s="38" t="n">
        <v>42</v>
      </c>
      <c r="M212" s="38" t="n">
        <v>0</v>
      </c>
      <c r="N212" s="38" t="n">
        <v>-12</v>
      </c>
      <c r="O212" s="38" t="inlineStr">
        <is>
          <t>NO</t>
        </is>
      </c>
      <c r="P212" s="38" t="inlineStr">
        <is>
          <t>NO</t>
        </is>
      </c>
      <c r="Q212" s="38" t="n"/>
      <c r="R212" s="38" t="n"/>
      <c r="S212" s="38" t="n">
        <v>80</v>
      </c>
      <c r="T212" s="38" t="n">
        <v>30</v>
      </c>
      <c r="U212" s="38" t="inlineStr">
        <is>
          <t>64HRC</t>
        </is>
      </c>
      <c r="V212" s="38" t="inlineStr">
        <is>
          <t>58HRC</t>
        </is>
      </c>
      <c r="W212" s="38" t="inlineStr">
        <is>
          <t>64HRC</t>
        </is>
      </c>
      <c r="X212" s="38" t="inlineStr">
        <is>
          <t>58HRC</t>
        </is>
      </c>
      <c r="Y212" s="36" t="inlineStr">
        <is>
          <t>50-60%</t>
        </is>
      </c>
      <c r="Z212" s="38" t="inlineStr">
        <is>
          <t>Polyrex</t>
        </is>
      </c>
      <c r="AA212" s="45" t="inlineStr">
        <is>
          <t>…………..</t>
        </is>
      </c>
      <c r="AB212" s="45" t="inlineStr">
        <is>
          <t>…………..</t>
        </is>
      </c>
      <c r="AC212" s="44" t="inlineStr">
        <is>
          <t>……………</t>
        </is>
      </c>
      <c r="AD212" s="57" t="inlineStr">
        <is>
          <t>………</t>
        </is>
      </c>
    </row>
    <row r="213" ht="12.75" customHeight="1" s="123">
      <c r="A213" s="85" t="n">
        <v>211</v>
      </c>
      <c r="B213" s="30" t="inlineStr">
        <is>
          <t>DAC42840039</t>
        </is>
      </c>
      <c r="C213" s="38" t="n">
        <v>39</v>
      </c>
      <c r="D213" s="38" t="n">
        <v>0</v>
      </c>
      <c r="E213" s="38" t="n">
        <v>-12</v>
      </c>
      <c r="F213" s="38" t="n">
        <v>84</v>
      </c>
      <c r="G213" s="38" t="n">
        <v>0</v>
      </c>
      <c r="H213" s="38" t="n">
        <v>-15</v>
      </c>
      <c r="I213" s="38" t="n">
        <v>39</v>
      </c>
      <c r="J213" s="38" t="n">
        <v>0</v>
      </c>
      <c r="K213" s="38" t="n">
        <v>-120</v>
      </c>
      <c r="L213" s="38" t="n">
        <v>42</v>
      </c>
      <c r="M213" s="38" t="n">
        <v>0</v>
      </c>
      <c r="N213" s="38" t="n">
        <v>-12</v>
      </c>
      <c r="O213" s="38" t="inlineStr">
        <is>
          <t>NO</t>
        </is>
      </c>
      <c r="P213" s="38" t="inlineStr">
        <is>
          <t>NO</t>
        </is>
      </c>
      <c r="Q213" s="38" t="inlineStr">
        <is>
          <t>NO</t>
        </is>
      </c>
      <c r="R213" s="38" t="inlineStr">
        <is>
          <t>AXIAL</t>
        </is>
      </c>
      <c r="S213" s="38" t="n">
        <v>70</v>
      </c>
      <c r="T213" s="38" t="n">
        <v>30</v>
      </c>
      <c r="U213" s="38" t="n">
        <v>64</v>
      </c>
      <c r="V213" s="38" t="n">
        <v>58</v>
      </c>
      <c r="W213" s="38" t="n">
        <v>64</v>
      </c>
      <c r="X213" s="38" t="n">
        <v>58</v>
      </c>
      <c r="Y213" s="38" t="inlineStr">
        <is>
          <t>50 - 60 %</t>
        </is>
      </c>
      <c r="Z213" s="38" t="inlineStr">
        <is>
          <t>Polyrex</t>
        </is>
      </c>
      <c r="AA213" s="45" t="inlineStr">
        <is>
          <t>………………….</t>
        </is>
      </c>
      <c r="AB213" s="38" t="inlineStr">
        <is>
          <t>………………</t>
        </is>
      </c>
      <c r="AC213" s="44" t="inlineStr">
        <is>
          <t>……………</t>
        </is>
      </c>
      <c r="AD213" s="57" t="inlineStr">
        <is>
          <t>………</t>
        </is>
      </c>
    </row>
    <row r="214" ht="12.75" customHeight="1" s="123">
      <c r="A214" s="85" t="n">
        <v>212</v>
      </c>
      <c r="B214" s="30" t="inlineStr">
        <is>
          <t xml:space="preserve">DAC-42840039 </t>
        </is>
      </c>
      <c r="C214" s="38" t="n">
        <v>39</v>
      </c>
      <c r="D214" s="38" t="n">
        <v>0</v>
      </c>
      <c r="E214" s="38" t="n">
        <v>-120</v>
      </c>
      <c r="F214" s="38" t="n">
        <v>84</v>
      </c>
      <c r="G214" s="38" t="n">
        <v>0</v>
      </c>
      <c r="H214" s="38" t="n">
        <v>-15</v>
      </c>
      <c r="I214" s="38" t="n">
        <v>39</v>
      </c>
      <c r="J214" s="38" t="n">
        <v>0</v>
      </c>
      <c r="K214" s="38" t="n">
        <v>-120</v>
      </c>
      <c r="L214" s="38" t="n">
        <v>42</v>
      </c>
      <c r="M214" s="38" t="n">
        <v>0</v>
      </c>
      <c r="N214" s="38" t="n">
        <v>-13</v>
      </c>
      <c r="O214" s="38" t="inlineStr">
        <is>
          <t>NO</t>
        </is>
      </c>
      <c r="P214" s="38" t="inlineStr">
        <is>
          <t>NO</t>
        </is>
      </c>
      <c r="Q214" s="38" t="inlineStr">
        <is>
          <t>NO</t>
        </is>
      </c>
      <c r="R214" s="38" t="inlineStr">
        <is>
          <t>Axial</t>
        </is>
      </c>
      <c r="S214" s="38" t="n">
        <v>70</v>
      </c>
      <c r="T214" s="38" t="n">
        <v>30</v>
      </c>
      <c r="U214" s="38" t="n">
        <v>64</v>
      </c>
      <c r="V214" s="38" t="n">
        <v>58</v>
      </c>
      <c r="W214" s="38" t="n">
        <v>64</v>
      </c>
      <c r="X214" s="38" t="n">
        <v>58</v>
      </c>
      <c r="Y214" s="36" t="inlineStr">
        <is>
          <t>50 - 60%</t>
        </is>
      </c>
      <c r="Z214" s="38" t="inlineStr">
        <is>
          <t>Polyrex</t>
        </is>
      </c>
      <c r="AA214" s="45" t="inlineStr">
        <is>
          <t>…………..</t>
        </is>
      </c>
      <c r="AB214" s="45" t="inlineStr">
        <is>
          <t>…………..</t>
        </is>
      </c>
      <c r="AC214" s="44" t="inlineStr">
        <is>
          <t>……………</t>
        </is>
      </c>
      <c r="AD214" s="57" t="inlineStr">
        <is>
          <t>………</t>
        </is>
      </c>
    </row>
    <row r="215" ht="12.75" customHeight="1" s="123">
      <c r="A215" s="85" t="n">
        <v>213</v>
      </c>
      <c r="B215" s="30" t="inlineStr">
        <is>
          <t>DAC45800045</t>
        </is>
      </c>
      <c r="C215" s="38" t="n">
        <v>45</v>
      </c>
      <c r="D215" s="38" t="n">
        <v>0</v>
      </c>
      <c r="E215" s="38" t="n">
        <v>-120</v>
      </c>
      <c r="F215" s="38" t="n">
        <v>80</v>
      </c>
      <c r="G215" s="38" t="n">
        <v>0</v>
      </c>
      <c r="H215" s="38" t="n">
        <v>-13</v>
      </c>
      <c r="I215" s="38" t="n">
        <v>45</v>
      </c>
      <c r="J215" s="38" t="n">
        <v>0</v>
      </c>
      <c r="K215" s="38" t="n">
        <v>-240</v>
      </c>
      <c r="L215" s="38" t="n">
        <v>45</v>
      </c>
      <c r="M215" s="38" t="n">
        <v>0</v>
      </c>
      <c r="N215" s="38" t="n">
        <v>-12</v>
      </c>
      <c r="O215" s="38" t="inlineStr">
        <is>
          <t>NO</t>
        </is>
      </c>
      <c r="P215" s="38" t="n">
        <v>60</v>
      </c>
      <c r="Q215" s="38" t="n">
        <v>110</v>
      </c>
      <c r="R215" s="38" t="inlineStr">
        <is>
          <t>NO</t>
        </is>
      </c>
      <c r="S215" s="38" t="inlineStr">
        <is>
          <t>NO</t>
        </is>
      </c>
      <c r="T215" s="38" t="inlineStr">
        <is>
          <t>NO</t>
        </is>
      </c>
      <c r="U215" s="38" t="n">
        <v>64</v>
      </c>
      <c r="V215" s="38" t="n">
        <v>60</v>
      </c>
      <c r="W215" s="38" t="n">
        <v>64</v>
      </c>
      <c r="X215" s="38" t="n">
        <v>60</v>
      </c>
      <c r="Y215" s="38" t="inlineStr">
        <is>
          <t>30%-50%</t>
        </is>
      </c>
      <c r="Z215" s="38" t="inlineStr">
        <is>
          <t>Polyrex</t>
        </is>
      </c>
      <c r="AA215" s="45" t="inlineStr">
        <is>
          <t>…………..</t>
        </is>
      </c>
      <c r="AB215" s="45" t="inlineStr">
        <is>
          <t>…………..</t>
        </is>
      </c>
      <c r="AC215" s="44" t="inlineStr">
        <is>
          <t>……………</t>
        </is>
      </c>
      <c r="AD215" s="57" t="inlineStr">
        <is>
          <t>………</t>
        </is>
      </c>
    </row>
    <row r="216" ht="12.75" customHeight="1" s="123">
      <c r="A216" s="85" t="n">
        <v>214</v>
      </c>
      <c r="B216" s="30" t="inlineStr">
        <is>
          <t>DAC-49840048</t>
        </is>
      </c>
      <c r="C216" s="38" t="n">
        <v>48</v>
      </c>
      <c r="D216" s="38" t="n">
        <v>0</v>
      </c>
      <c r="E216" s="38" t="n">
        <v>-150</v>
      </c>
      <c r="F216" s="38" t="n">
        <v>84</v>
      </c>
      <c r="G216" s="38" t="n">
        <v>0</v>
      </c>
      <c r="H216" s="38" t="n">
        <v>-15</v>
      </c>
      <c r="I216" s="38" t="n">
        <v>48</v>
      </c>
      <c r="J216" s="38" t="n">
        <v>0</v>
      </c>
      <c r="K216" s="38" t="n">
        <v>-150</v>
      </c>
      <c r="L216" s="38" t="n">
        <v>49</v>
      </c>
      <c r="M216" s="38" t="n">
        <v>0</v>
      </c>
      <c r="N216" s="38" t="n">
        <v>-12</v>
      </c>
      <c r="O216" s="38" t="inlineStr">
        <is>
          <t>NO</t>
        </is>
      </c>
      <c r="P216" s="38" t="inlineStr">
        <is>
          <t>NO</t>
        </is>
      </c>
      <c r="Q216" s="38" t="inlineStr">
        <is>
          <t>NO</t>
        </is>
      </c>
      <c r="R216" s="38" t="inlineStr">
        <is>
          <t>………</t>
        </is>
      </c>
      <c r="S216" s="38" t="n">
        <v>30</v>
      </c>
      <c r="T216" s="38" t="n">
        <v>70</v>
      </c>
      <c r="U216" s="38" t="n">
        <v>58</v>
      </c>
      <c r="V216" s="38" t="n">
        <v>62</v>
      </c>
      <c r="W216" s="38" t="n">
        <v>58</v>
      </c>
      <c r="X216" s="38" t="n">
        <v>62</v>
      </c>
      <c r="Y216" s="36" t="inlineStr">
        <is>
          <t>50 - 60%</t>
        </is>
      </c>
      <c r="Z216" s="38" t="inlineStr">
        <is>
          <t>Polyrex</t>
        </is>
      </c>
      <c r="AA216" s="45" t="inlineStr">
        <is>
          <t>…………..</t>
        </is>
      </c>
      <c r="AB216" s="45" t="inlineStr">
        <is>
          <t>…………..</t>
        </is>
      </c>
      <c r="AC216" s="44" t="inlineStr">
        <is>
          <t>……………</t>
        </is>
      </c>
      <c r="AD216" s="57" t="inlineStr">
        <is>
          <t>………</t>
        </is>
      </c>
    </row>
    <row r="217" ht="12.75" customHeight="1" s="123">
      <c r="A217" s="85" t="n">
        <v>215</v>
      </c>
      <c r="B217" s="30" t="inlineStr">
        <is>
          <t>F490306</t>
        </is>
      </c>
      <c r="C217" s="45" t="n">
        <v>19</v>
      </c>
      <c r="D217" s="45" t="n">
        <v>0</v>
      </c>
      <c r="E217" s="38" t="n">
        <v>-120</v>
      </c>
      <c r="F217" s="38" t="n">
        <v>72</v>
      </c>
      <c r="G217" s="38" t="n">
        <v>0</v>
      </c>
      <c r="H217" s="38" t="n">
        <v>-13</v>
      </c>
      <c r="I217" s="38" t="n">
        <v>19</v>
      </c>
      <c r="J217" s="38" t="n">
        <v>0</v>
      </c>
      <c r="K217" s="38" t="n">
        <v>-120</v>
      </c>
      <c r="L217" s="38" t="n">
        <v>30</v>
      </c>
      <c r="M217" s="38" t="n">
        <v>0</v>
      </c>
      <c r="N217" s="38" t="n">
        <v>-10</v>
      </c>
      <c r="O217" s="38" t="inlineStr">
        <is>
          <t>C3</t>
        </is>
      </c>
      <c r="P217" s="38" t="n">
        <v>28</v>
      </c>
      <c r="Q217" s="38" t="n">
        <v>13</v>
      </c>
      <c r="R217" s="38" t="inlineStr">
        <is>
          <t>NO</t>
        </is>
      </c>
      <c r="S217" s="38" t="inlineStr">
        <is>
          <t>NO</t>
        </is>
      </c>
      <c r="T217" s="38" t="inlineStr">
        <is>
          <t>NO</t>
        </is>
      </c>
      <c r="U217" s="38" t="n">
        <v>64</v>
      </c>
      <c r="V217" s="38" t="n">
        <v>58</v>
      </c>
      <c r="W217" s="38" t="n">
        <v>64</v>
      </c>
      <c r="X217" s="38" t="n">
        <v>58</v>
      </c>
      <c r="Y217" s="38" t="inlineStr">
        <is>
          <t>NO</t>
        </is>
      </c>
      <c r="Z217" s="38" t="inlineStr">
        <is>
          <t>NO</t>
        </is>
      </c>
      <c r="AA217" s="45" t="inlineStr">
        <is>
          <t>…………..</t>
        </is>
      </c>
      <c r="AB217" s="45" t="inlineStr">
        <is>
          <t>…………..</t>
        </is>
      </c>
      <c r="AC217" s="44" t="inlineStr">
        <is>
          <t>……………</t>
        </is>
      </c>
      <c r="AD217" s="57" t="inlineStr">
        <is>
          <t>………</t>
        </is>
      </c>
    </row>
    <row r="218" ht="12.75" customHeight="1" s="123">
      <c r="A218" s="85" t="n">
        <v>216</v>
      </c>
      <c r="B218" s="30" t="inlineStr">
        <is>
          <t>HD01-2RLD</t>
        </is>
      </c>
      <c r="C218" s="38" t="n">
        <v>12</v>
      </c>
      <c r="D218" s="38" t="n">
        <v>0</v>
      </c>
      <c r="E218" s="38" t="n">
        <v>-120</v>
      </c>
      <c r="F218" s="38" t="n">
        <v>37</v>
      </c>
      <c r="G218" s="38" t="n">
        <v>0</v>
      </c>
      <c r="H218" s="38" t="n">
        <v>-9</v>
      </c>
      <c r="I218" s="38" t="n">
        <v>12</v>
      </c>
      <c r="J218" s="38" t="n">
        <v>0</v>
      </c>
      <c r="K218" s="38" t="n">
        <v>-120</v>
      </c>
      <c r="L218" s="38" t="n">
        <v>12</v>
      </c>
      <c r="M218" s="38" t="n">
        <v>0</v>
      </c>
      <c r="N218" s="38" t="n">
        <v>-7</v>
      </c>
      <c r="O218" s="38" t="inlineStr">
        <is>
          <t>C3</t>
        </is>
      </c>
      <c r="P218" s="38" t="n">
        <v>25</v>
      </c>
      <c r="Q218" s="38" t="n">
        <v>11</v>
      </c>
      <c r="R218" s="38" t="inlineStr">
        <is>
          <t>NO</t>
        </is>
      </c>
      <c r="S218" s="38" t="inlineStr">
        <is>
          <t>NO</t>
        </is>
      </c>
      <c r="T218" s="38" t="inlineStr">
        <is>
          <t>NO</t>
        </is>
      </c>
      <c r="U218" s="38" t="n">
        <v>64</v>
      </c>
      <c r="V218" s="38" t="n">
        <v>58</v>
      </c>
      <c r="W218" s="38" t="n">
        <v>64</v>
      </c>
      <c r="X218" s="38" t="n">
        <v>58</v>
      </c>
      <c r="Y218" s="38" t="inlineStr">
        <is>
          <t>0,72-1,018</t>
        </is>
      </c>
      <c r="Z218" s="38" t="inlineStr">
        <is>
          <t>Polyrex</t>
        </is>
      </c>
      <c r="AA218" s="45" t="inlineStr">
        <is>
          <t>2,5cNm / 0,025Nm</t>
        </is>
      </c>
      <c r="AB218" s="45" t="inlineStr">
        <is>
          <t>1cNm / 0,010Nm</t>
        </is>
      </c>
      <c r="AC218" s="44" t="n">
        <v>42286</v>
      </c>
      <c r="AD218" s="57" t="n">
        <v>0</v>
      </c>
    </row>
    <row r="219" ht="12.75" customHeight="1" s="123">
      <c r="A219" s="85" t="n">
        <v>217</v>
      </c>
      <c r="B219" s="30" t="inlineStr">
        <is>
          <t>HD01-2RS</t>
        </is>
      </c>
      <c r="C219" s="38" t="n">
        <v>12</v>
      </c>
      <c r="D219" s="38" t="n">
        <v>0</v>
      </c>
      <c r="E219" s="38" t="n">
        <v>-120</v>
      </c>
      <c r="F219" s="38" t="n">
        <v>37</v>
      </c>
      <c r="G219" s="38" t="n">
        <v>0</v>
      </c>
      <c r="H219" s="38" t="n">
        <v>-9</v>
      </c>
      <c r="I219" s="38" t="n">
        <v>12</v>
      </c>
      <c r="J219" s="38" t="n">
        <v>0</v>
      </c>
      <c r="K219" s="38" t="n">
        <v>-120</v>
      </c>
      <c r="L219" s="38" t="n">
        <v>12</v>
      </c>
      <c r="M219" s="38" t="n">
        <v>0</v>
      </c>
      <c r="N219" s="38" t="n">
        <v>-7</v>
      </c>
      <c r="O219" s="38" t="inlineStr">
        <is>
          <t>C3</t>
        </is>
      </c>
      <c r="P219" s="38" t="n">
        <v>11</v>
      </c>
      <c r="Q219" s="38" t="n">
        <v>25</v>
      </c>
      <c r="R219" s="38" t="inlineStr">
        <is>
          <t>NO</t>
        </is>
      </c>
      <c r="S219" s="38" t="inlineStr">
        <is>
          <t>NO</t>
        </is>
      </c>
      <c r="T219" s="38" t="inlineStr">
        <is>
          <t>NO</t>
        </is>
      </c>
      <c r="U219" s="38" t="n">
        <v>64</v>
      </c>
      <c r="V219" s="38" t="n">
        <v>58</v>
      </c>
      <c r="W219" s="38" t="n">
        <v>64</v>
      </c>
      <c r="X219" s="38" t="n">
        <v>58</v>
      </c>
      <c r="Y219" s="38" t="inlineStr">
        <is>
          <t>0,83 - 1,16</t>
        </is>
      </c>
      <c r="Z219" s="38" t="inlineStr">
        <is>
          <t>Polyrex</t>
        </is>
      </c>
      <c r="AA219" s="45" t="inlineStr">
        <is>
          <t>…………..</t>
        </is>
      </c>
      <c r="AB219" s="45" t="inlineStr">
        <is>
          <t>…………..</t>
        </is>
      </c>
      <c r="AC219" s="44" t="inlineStr">
        <is>
          <t>……………</t>
        </is>
      </c>
      <c r="AD219" s="57" t="inlineStr">
        <is>
          <t>………</t>
        </is>
      </c>
    </row>
    <row r="220" ht="12.75" customHeight="1" s="123">
      <c r="A220" s="85" t="n">
        <v>218</v>
      </c>
      <c r="B220" s="30" t="inlineStr">
        <is>
          <t>HD02-2RLD</t>
        </is>
      </c>
      <c r="C220" s="38" t="n">
        <v>13</v>
      </c>
      <c r="D220" s="38" t="n">
        <v>0</v>
      </c>
      <c r="E220" s="38" t="n">
        <v>-120</v>
      </c>
      <c r="F220" s="38" t="n">
        <v>42</v>
      </c>
      <c r="G220" s="38" t="n">
        <v>0</v>
      </c>
      <c r="H220" s="38" t="n">
        <v>-11</v>
      </c>
      <c r="I220" s="38" t="n">
        <v>13</v>
      </c>
      <c r="J220" s="38" t="n">
        <v>0</v>
      </c>
      <c r="K220" s="38" t="n">
        <v>-120</v>
      </c>
      <c r="L220" s="38" t="n">
        <v>15</v>
      </c>
      <c r="M220" s="38" t="n">
        <v>0</v>
      </c>
      <c r="N220" s="38" t="n">
        <v>-8</v>
      </c>
      <c r="O220" s="38" t="inlineStr">
        <is>
          <t>C3</t>
        </is>
      </c>
      <c r="P220" s="38" t="n">
        <v>25</v>
      </c>
      <c r="Q220" s="38" t="n">
        <v>11</v>
      </c>
      <c r="R220" s="38" t="inlineStr">
        <is>
          <t>NO</t>
        </is>
      </c>
      <c r="S220" s="38" t="inlineStr">
        <is>
          <t>NO</t>
        </is>
      </c>
      <c r="T220" s="38" t="inlineStr">
        <is>
          <t>NO</t>
        </is>
      </c>
      <c r="U220" s="38" t="n">
        <v>64</v>
      </c>
      <c r="V220" s="38" t="n">
        <v>58</v>
      </c>
      <c r="W220" s="38" t="n">
        <v>64</v>
      </c>
      <c r="X220" s="38" t="n">
        <v>58</v>
      </c>
      <c r="Y220" s="38" t="inlineStr">
        <is>
          <t>0,96-1,34</t>
        </is>
      </c>
      <c r="Z220" s="38" t="inlineStr">
        <is>
          <t>Polyrex</t>
        </is>
      </c>
      <c r="AA220" s="45" t="inlineStr">
        <is>
          <t>2,8cNm / 0,028Nm</t>
        </is>
      </c>
      <c r="AB220" s="45" t="inlineStr">
        <is>
          <t>1,1cNm / 0,011Nm</t>
        </is>
      </c>
      <c r="AC220" s="44" t="n">
        <v>42286</v>
      </c>
      <c r="AD220" s="57" t="n">
        <v>0</v>
      </c>
    </row>
    <row r="221" ht="12.75" customHeight="1" s="123">
      <c r="A221" s="85" t="n">
        <v>219</v>
      </c>
      <c r="B221" s="30" t="inlineStr">
        <is>
          <t>HD04-2RST</t>
        </is>
      </c>
      <c r="C221" s="38" t="n">
        <v>15</v>
      </c>
      <c r="D221" s="38" t="n">
        <v>0</v>
      </c>
      <c r="E221" s="38" t="n">
        <v>-120</v>
      </c>
      <c r="F221" s="38" t="n">
        <v>52</v>
      </c>
      <c r="G221" s="38" t="n">
        <v>0</v>
      </c>
      <c r="H221" s="38" t="n">
        <v>-13</v>
      </c>
      <c r="I221" s="38" t="n">
        <v>15</v>
      </c>
      <c r="J221" s="38" t="n">
        <v>0</v>
      </c>
      <c r="K221" s="38" t="n">
        <v>-120</v>
      </c>
      <c r="L221" s="38" t="n">
        <v>20</v>
      </c>
      <c r="M221" s="38" t="n">
        <v>0</v>
      </c>
      <c r="N221" s="38" t="n">
        <v>-10</v>
      </c>
      <c r="O221" s="38" t="inlineStr">
        <is>
          <t>C3</t>
        </is>
      </c>
      <c r="P221" s="38" t="n">
        <v>28</v>
      </c>
      <c r="Q221" s="38" t="n">
        <v>13</v>
      </c>
      <c r="R221" s="38" t="inlineStr">
        <is>
          <t>NO</t>
        </is>
      </c>
      <c r="S221" s="38" t="inlineStr">
        <is>
          <t>NO</t>
        </is>
      </c>
      <c r="T221" s="38" t="inlineStr">
        <is>
          <t>NO</t>
        </is>
      </c>
      <c r="U221" s="38" t="n">
        <v>64</v>
      </c>
      <c r="V221" s="38" t="n">
        <v>58</v>
      </c>
      <c r="W221" s="38" t="n">
        <v>64</v>
      </c>
      <c r="X221" s="38" t="n">
        <v>58</v>
      </c>
      <c r="Y221" s="38" t="inlineStr">
        <is>
          <t>4,26-4,87</t>
        </is>
      </c>
      <c r="Z221" s="38" t="inlineStr">
        <is>
          <t>Polyrex</t>
        </is>
      </c>
      <c r="AA221" s="45" t="inlineStr">
        <is>
          <t>2,5cNm/0,025Nm</t>
        </is>
      </c>
      <c r="AB221" s="45" t="inlineStr">
        <is>
          <t>5cNm/0,05Nm</t>
        </is>
      </c>
      <c r="AC221" s="44" t="n">
        <v>42334</v>
      </c>
      <c r="AD221" s="57" t="inlineStr">
        <is>
          <t>A</t>
        </is>
      </c>
    </row>
    <row r="222" ht="12.75" customHeight="1" s="123">
      <c r="A222" s="85" t="n">
        <v>220</v>
      </c>
      <c r="B222" s="30" t="inlineStr">
        <is>
          <t>HD06-2RST</t>
        </is>
      </c>
      <c r="C222" s="38" t="n">
        <v>19</v>
      </c>
      <c r="D222" s="38" t="n">
        <v>0</v>
      </c>
      <c r="E222" s="38" t="n">
        <v>-120</v>
      </c>
      <c r="F222" s="38" t="n">
        <v>72</v>
      </c>
      <c r="G222" s="38" t="n">
        <v>0</v>
      </c>
      <c r="H222" s="38" t="n">
        <v>-13</v>
      </c>
      <c r="I222" s="38" t="n">
        <v>19</v>
      </c>
      <c r="J222" s="38" t="n">
        <v>0</v>
      </c>
      <c r="K222" s="38" t="n">
        <v>-120</v>
      </c>
      <c r="L222" s="38" t="n">
        <v>30</v>
      </c>
      <c r="M222" s="38" t="n">
        <v>0</v>
      </c>
      <c r="N222" s="38" t="n">
        <v>-10</v>
      </c>
      <c r="O222" s="38" t="inlineStr">
        <is>
          <t>C3</t>
        </is>
      </c>
      <c r="P222" s="38" t="n">
        <v>28</v>
      </c>
      <c r="Q222" s="38" t="n">
        <v>13</v>
      </c>
      <c r="R222" s="38" t="inlineStr">
        <is>
          <t>NO</t>
        </is>
      </c>
      <c r="S222" s="38" t="inlineStr">
        <is>
          <t>NO</t>
        </is>
      </c>
      <c r="T222" s="38" t="inlineStr">
        <is>
          <t>NO</t>
        </is>
      </c>
      <c r="U222" s="38" t="n">
        <v>64</v>
      </c>
      <c r="V222" s="38" t="n">
        <v>58</v>
      </c>
      <c r="W222" s="38" t="n">
        <v>64</v>
      </c>
      <c r="X222" s="38" t="n">
        <v>58</v>
      </c>
      <c r="Y222" s="38" t="inlineStr">
        <is>
          <t>9,9-11,3</t>
        </is>
      </c>
      <c r="Z222" s="38" t="inlineStr">
        <is>
          <t>Polyrex</t>
        </is>
      </c>
      <c r="AA222" s="45" t="inlineStr">
        <is>
          <t>12cNm / 0,12Nm</t>
        </is>
      </c>
      <c r="AB222" s="45" t="inlineStr">
        <is>
          <t>5cNm / 0,05Nm</t>
        </is>
      </c>
      <c r="AC222" s="44" t="n">
        <v>42299</v>
      </c>
      <c r="AD222" s="57" t="n">
        <v>0</v>
      </c>
    </row>
    <row r="223" ht="12.75" customHeight="1" s="123">
      <c r="A223" s="85" t="n">
        <v>221</v>
      </c>
      <c r="B223" s="30" t="inlineStr">
        <is>
          <t>HD07-D</t>
        </is>
      </c>
      <c r="C223" s="38" t="n">
        <v>21</v>
      </c>
      <c r="D223" s="38" t="n">
        <v>0</v>
      </c>
      <c r="E223" s="38" t="n">
        <v>-120</v>
      </c>
      <c r="F223" s="38" t="n">
        <v>80</v>
      </c>
      <c r="G223" s="38" t="n">
        <v>0</v>
      </c>
      <c r="H223" s="38" t="n">
        <v>-13</v>
      </c>
      <c r="I223" s="38" t="n">
        <v>21</v>
      </c>
      <c r="J223" s="38" t="n">
        <v>0</v>
      </c>
      <c r="K223" s="38" t="n">
        <v>-120</v>
      </c>
      <c r="L223" s="38" t="n">
        <v>35</v>
      </c>
      <c r="M223" s="38" t="n">
        <v>0</v>
      </c>
      <c r="N223" s="38" t="n">
        <v>-12</v>
      </c>
      <c r="O223" s="38" t="inlineStr">
        <is>
          <t>C3</t>
        </is>
      </c>
      <c r="P223" s="38" t="n">
        <v>33</v>
      </c>
      <c r="Q223" s="38" t="n">
        <v>15</v>
      </c>
      <c r="R223" s="38" t="inlineStr">
        <is>
          <t>NO</t>
        </is>
      </c>
      <c r="S223" s="38" t="inlineStr">
        <is>
          <t>NO</t>
        </is>
      </c>
      <c r="T223" s="38" t="inlineStr">
        <is>
          <t>NO</t>
        </is>
      </c>
      <c r="U223" s="38" t="n">
        <v>64</v>
      </c>
      <c r="V223" s="38" t="n">
        <v>58</v>
      </c>
      <c r="W223" s="38" t="n">
        <v>64</v>
      </c>
      <c r="X223" s="38" t="n">
        <v>58</v>
      </c>
      <c r="Y223" s="38" t="inlineStr">
        <is>
          <t>NO</t>
        </is>
      </c>
      <c r="Z223" s="38" t="inlineStr">
        <is>
          <t>NO</t>
        </is>
      </c>
      <c r="AA223" s="45" t="inlineStr">
        <is>
          <t>NO</t>
        </is>
      </c>
      <c r="AB223" s="38" t="inlineStr">
        <is>
          <t>NO</t>
        </is>
      </c>
      <c r="AC223" s="44" t="n">
        <v>42969</v>
      </c>
      <c r="AD223" s="57" t="n">
        <v>0</v>
      </c>
    </row>
    <row r="224" ht="12.75" customHeight="1" s="123">
      <c r="A224" s="85" t="n">
        <v>222</v>
      </c>
      <c r="B224" s="30" t="inlineStr">
        <is>
          <t>HD09-2RLD</t>
        </is>
      </c>
      <c r="C224" s="38" t="n">
        <v>25</v>
      </c>
      <c r="D224" s="38" t="n">
        <v>0</v>
      </c>
      <c r="E224" s="38" t="n">
        <v>-120</v>
      </c>
      <c r="F224" s="38" t="n">
        <v>100</v>
      </c>
      <c r="G224" s="38" t="n">
        <v>0</v>
      </c>
      <c r="H224" s="38" t="n">
        <v>-15</v>
      </c>
      <c r="I224" s="38" t="n">
        <v>25</v>
      </c>
      <c r="J224" s="38" t="n">
        <v>0</v>
      </c>
      <c r="K224" s="38" t="n">
        <v>-120</v>
      </c>
      <c r="L224" s="38" t="n">
        <v>45</v>
      </c>
      <c r="M224" s="38" t="n">
        <v>0</v>
      </c>
      <c r="N224" s="38" t="n">
        <v>-12</v>
      </c>
      <c r="O224" s="38" t="inlineStr">
        <is>
          <t>C3</t>
        </is>
      </c>
      <c r="P224" s="38" t="n">
        <v>36</v>
      </c>
      <c r="Q224" s="38" t="n">
        <v>18</v>
      </c>
      <c r="R224" s="38" t="inlineStr">
        <is>
          <t>NO</t>
        </is>
      </c>
      <c r="S224" s="38" t="inlineStr">
        <is>
          <t xml:space="preserve"> NO</t>
        </is>
      </c>
      <c r="T224" s="38" t="inlineStr">
        <is>
          <t>NO</t>
        </is>
      </c>
      <c r="U224" s="38" t="n">
        <v>64</v>
      </c>
      <c r="V224" s="38" t="n">
        <v>58</v>
      </c>
      <c r="W224" s="38" t="n">
        <v>64</v>
      </c>
      <c r="X224" s="38" t="n">
        <v>58</v>
      </c>
      <c r="Y224" s="38" t="inlineStr">
        <is>
          <t>25-35%</t>
        </is>
      </c>
      <c r="Z224" s="38" t="inlineStr">
        <is>
          <t>Polyrex</t>
        </is>
      </c>
      <c r="AA224" s="45" t="inlineStr">
        <is>
          <t>NO</t>
        </is>
      </c>
      <c r="AB224" s="38" t="inlineStr">
        <is>
          <t>NO</t>
        </is>
      </c>
      <c r="AC224" s="44" t="n">
        <v>42656</v>
      </c>
      <c r="AD224" s="57" t="n">
        <v>0</v>
      </c>
    </row>
    <row r="225" ht="12.75" customHeight="1" s="123">
      <c r="A225" s="85" t="n">
        <v>223</v>
      </c>
      <c r="B225" s="30" t="inlineStr">
        <is>
          <t>HD10-2RS</t>
        </is>
      </c>
      <c r="C225" s="38" t="n">
        <v>27</v>
      </c>
      <c r="D225" s="38" t="n">
        <v>0</v>
      </c>
      <c r="E225" s="38" t="n">
        <v>-120</v>
      </c>
      <c r="F225" s="38" t="n">
        <v>110</v>
      </c>
      <c r="G225" s="38" t="n">
        <v>0</v>
      </c>
      <c r="H225" s="38" t="n">
        <v>-15</v>
      </c>
      <c r="I225" s="38" t="n">
        <v>27</v>
      </c>
      <c r="J225" s="38" t="n">
        <v>0</v>
      </c>
      <c r="K225" s="38" t="n">
        <v>-120</v>
      </c>
      <c r="L225" s="38" t="n">
        <v>50</v>
      </c>
      <c r="M225" s="38" t="n">
        <v>0</v>
      </c>
      <c r="N225" s="38" t="n">
        <v>-12</v>
      </c>
      <c r="O225" s="38" t="inlineStr">
        <is>
          <t>C3</t>
        </is>
      </c>
      <c r="P225" s="38" t="n">
        <v>36</v>
      </c>
      <c r="Q225" s="38" t="n">
        <v>18</v>
      </c>
      <c r="R225" s="38" t="inlineStr">
        <is>
          <t>NO</t>
        </is>
      </c>
      <c r="S225" s="38" t="inlineStr">
        <is>
          <t>NO</t>
        </is>
      </c>
      <c r="T225" s="38" t="inlineStr">
        <is>
          <t>NO</t>
        </is>
      </c>
      <c r="U225" s="38" t="n">
        <v>64</v>
      </c>
      <c r="V225" s="38" t="n">
        <v>58</v>
      </c>
      <c r="W225" s="38" t="n">
        <v>64</v>
      </c>
      <c r="X225" s="38" t="n">
        <v>58</v>
      </c>
      <c r="Y225" s="36" t="inlineStr">
        <is>
          <t>25%-35%</t>
        </is>
      </c>
      <c r="Z225" s="38" t="inlineStr">
        <is>
          <t>Polyrex</t>
        </is>
      </c>
      <c r="AA225" s="45" t="inlineStr">
        <is>
          <t>18,6cNm / 0,186Nm</t>
        </is>
      </c>
      <c r="AB225" s="45" t="inlineStr">
        <is>
          <t>12,4cNm / 0,124Nm</t>
        </is>
      </c>
      <c r="AC225" s="44" t="n">
        <v>42655</v>
      </c>
      <c r="AD225" s="57" t="n">
        <v>0</v>
      </c>
    </row>
    <row r="226" ht="12.75" customHeight="1" s="123">
      <c r="A226" s="85" t="n">
        <v>224</v>
      </c>
      <c r="B226" s="30" t="inlineStr">
        <is>
          <t>HD10-2RS-C0</t>
        </is>
      </c>
      <c r="C226" s="38" t="n">
        <v>27</v>
      </c>
      <c r="D226" s="38" t="n">
        <v>0</v>
      </c>
      <c r="E226" s="38" t="n">
        <v>-120</v>
      </c>
      <c r="F226" s="38" t="n">
        <v>110</v>
      </c>
      <c r="G226" s="38" t="n">
        <v>0</v>
      </c>
      <c r="H226" s="38" t="n">
        <v>-15</v>
      </c>
      <c r="I226" s="38" t="n">
        <v>27</v>
      </c>
      <c r="J226" s="38" t="n">
        <v>0</v>
      </c>
      <c r="K226" s="38" t="n">
        <v>-120</v>
      </c>
      <c r="L226" s="38" t="n">
        <v>50</v>
      </c>
      <c r="M226" s="38" t="n">
        <v>0</v>
      </c>
      <c r="N226" s="38" t="n">
        <v>-12</v>
      </c>
      <c r="O226" s="38" t="inlineStr">
        <is>
          <t>C0</t>
        </is>
      </c>
      <c r="P226" s="38" t="n">
        <v>23</v>
      </c>
      <c r="Q226" s="38" t="n">
        <v>6</v>
      </c>
      <c r="R226" s="38" t="inlineStr">
        <is>
          <t>NO</t>
        </is>
      </c>
      <c r="S226" s="38" t="inlineStr">
        <is>
          <t>NO</t>
        </is>
      </c>
      <c r="T226" s="38" t="inlineStr">
        <is>
          <t>NO</t>
        </is>
      </c>
      <c r="U226" s="38" t="n">
        <v>64</v>
      </c>
      <c r="V226" s="38" t="n">
        <v>58</v>
      </c>
      <c r="W226" s="38" t="n">
        <v>64</v>
      </c>
      <c r="X226" s="38" t="n">
        <v>58</v>
      </c>
      <c r="Y226" s="36" t="inlineStr">
        <is>
          <t>25%-35%</t>
        </is>
      </c>
      <c r="Z226" s="38" t="inlineStr">
        <is>
          <t>Polyrex</t>
        </is>
      </c>
      <c r="AA226" s="45" t="inlineStr">
        <is>
          <t>18,6cNm / 0,186Nm</t>
        </is>
      </c>
      <c r="AB226" s="45" t="inlineStr">
        <is>
          <t>12,4cNm / 0,124Nm</t>
        </is>
      </c>
      <c r="AC226" s="44" t="n">
        <v>42655</v>
      </c>
      <c r="AD226" s="57" t="n">
        <v>0</v>
      </c>
    </row>
    <row r="227" ht="12.75" customHeight="1" s="123">
      <c r="A227" s="85" t="n">
        <v>225</v>
      </c>
      <c r="B227" s="30" t="inlineStr">
        <is>
          <t>HD11-2RS</t>
        </is>
      </c>
      <c r="C227" s="38" t="n">
        <v>29</v>
      </c>
      <c r="D227" s="38" t="n">
        <v>0</v>
      </c>
      <c r="E227" s="38" t="n">
        <v>-150</v>
      </c>
      <c r="F227" s="38" t="n">
        <v>120</v>
      </c>
      <c r="G227" s="38" t="n">
        <v>0</v>
      </c>
      <c r="H227" s="38" t="n">
        <v>-15</v>
      </c>
      <c r="I227" s="38" t="n">
        <v>29</v>
      </c>
      <c r="J227" s="38" t="n">
        <v>0</v>
      </c>
      <c r="K227" s="38" t="n">
        <v>-150</v>
      </c>
      <c r="L227" s="38" t="n">
        <v>55</v>
      </c>
      <c r="M227" s="38" t="n">
        <v>0</v>
      </c>
      <c r="N227" s="38" t="n">
        <v>-15</v>
      </c>
      <c r="O227" s="38" t="inlineStr">
        <is>
          <t>C3</t>
        </is>
      </c>
      <c r="P227" s="38" t="n">
        <v>43</v>
      </c>
      <c r="Q227" s="38" t="n">
        <v>23</v>
      </c>
      <c r="R227" s="38" t="inlineStr">
        <is>
          <t>NO</t>
        </is>
      </c>
      <c r="S227" s="38" t="inlineStr">
        <is>
          <t>NO</t>
        </is>
      </c>
      <c r="T227" s="38" t="inlineStr">
        <is>
          <t>NO</t>
        </is>
      </c>
      <c r="U227" s="38" t="n">
        <v>64</v>
      </c>
      <c r="V227" s="38" t="n">
        <v>58</v>
      </c>
      <c r="W227" s="38" t="n">
        <v>64</v>
      </c>
      <c r="X227" s="38" t="n">
        <v>58</v>
      </c>
      <c r="Y227" s="36" t="inlineStr">
        <is>
          <t>25%-35%</t>
        </is>
      </c>
      <c r="Z227" s="38" t="inlineStr">
        <is>
          <t>Polyrex</t>
        </is>
      </c>
      <c r="AA227" s="45" t="inlineStr">
        <is>
          <t>44cNm / 0,44Nm</t>
        </is>
      </c>
      <c r="AB227" s="45" t="inlineStr">
        <is>
          <t>30cNm / 0,30Nm</t>
        </is>
      </c>
      <c r="AC227" s="44" t="n">
        <v>42655</v>
      </c>
      <c r="AD227" s="57" t="n">
        <v>0</v>
      </c>
    </row>
    <row r="228" ht="12.75" customHeight="1" s="123">
      <c r="A228" s="85" t="n">
        <v>226</v>
      </c>
      <c r="B228" s="30" t="inlineStr">
        <is>
          <t>HD18-2RS</t>
        </is>
      </c>
      <c r="C228" s="38" t="n">
        <v>43</v>
      </c>
      <c r="D228" s="38" t="n">
        <v>0</v>
      </c>
      <c r="E228" s="38" t="n">
        <v>-200</v>
      </c>
      <c r="F228" s="38" t="n">
        <v>190</v>
      </c>
      <c r="G228" s="38" t="n">
        <v>0</v>
      </c>
      <c r="H228" s="38" t="n">
        <v>-30</v>
      </c>
      <c r="I228" s="38" t="n">
        <v>43</v>
      </c>
      <c r="J228" s="38" t="n">
        <v>0</v>
      </c>
      <c r="K228" s="38" t="n">
        <v>-200</v>
      </c>
      <c r="L228" s="38" t="n">
        <v>90</v>
      </c>
      <c r="M228" s="38" t="n">
        <v>0</v>
      </c>
      <c r="N228" s="38" t="n">
        <v>-20</v>
      </c>
      <c r="O228" s="38" t="inlineStr">
        <is>
          <t>C3</t>
        </is>
      </c>
      <c r="P228" s="38" t="n">
        <v>58</v>
      </c>
      <c r="Q228" s="38" t="n">
        <v>30</v>
      </c>
      <c r="R228" s="38" t="inlineStr">
        <is>
          <t>NO</t>
        </is>
      </c>
      <c r="S228" s="38" t="inlineStr">
        <is>
          <t>NO</t>
        </is>
      </c>
      <c r="T228" s="38" t="inlineStr">
        <is>
          <t>NO</t>
        </is>
      </c>
      <c r="U228" s="38" t="n">
        <v>64</v>
      </c>
      <c r="V228" s="38" t="n">
        <v>58</v>
      </c>
      <c r="W228" s="38" t="n">
        <v>64</v>
      </c>
      <c r="X228" s="38" t="n">
        <v>58</v>
      </c>
      <c r="Y228" s="38" t="inlineStr">
        <is>
          <t>30±5</t>
        </is>
      </c>
      <c r="Z228" s="38" t="inlineStr">
        <is>
          <t>Polyrex</t>
        </is>
      </c>
      <c r="AA228" s="45" t="inlineStr">
        <is>
          <t>standard</t>
        </is>
      </c>
      <c r="AB228" s="38" t="inlineStr">
        <is>
          <t>standard</t>
        </is>
      </c>
      <c r="AC228" s="52" t="n">
        <v>43010</v>
      </c>
      <c r="AD228" s="51" t="n">
        <v>0</v>
      </c>
    </row>
    <row r="229" ht="12.75" customHeight="1" s="123">
      <c r="A229" s="85" t="n">
        <v>227</v>
      </c>
      <c r="B229" s="30" t="inlineStr">
        <is>
          <t>LS00-2RLD</t>
        </is>
      </c>
      <c r="C229" s="38" t="n">
        <v>8</v>
      </c>
      <c r="D229" s="38" t="n">
        <v>0</v>
      </c>
      <c r="E229" s="38" t="n">
        <v>-120</v>
      </c>
      <c r="F229" s="38" t="n">
        <v>26</v>
      </c>
      <c r="G229" s="38" t="n">
        <v>0</v>
      </c>
      <c r="H229" s="38" t="n">
        <v>-9</v>
      </c>
      <c r="I229" s="38" t="n">
        <v>8</v>
      </c>
      <c r="J229" s="38" t="n">
        <v>0</v>
      </c>
      <c r="K229" s="38" t="n">
        <v>-120</v>
      </c>
      <c r="L229" s="38" t="n">
        <v>10</v>
      </c>
      <c r="M229" s="38" t="n">
        <v>0</v>
      </c>
      <c r="N229" s="38" t="n">
        <v>-8</v>
      </c>
      <c r="O229" s="38" t="inlineStr">
        <is>
          <t>C3</t>
        </is>
      </c>
      <c r="P229" s="38" t="n">
        <v>23</v>
      </c>
      <c r="Q229" s="38" t="n">
        <v>8</v>
      </c>
      <c r="R229" s="38" t="inlineStr">
        <is>
          <t>NO</t>
        </is>
      </c>
      <c r="S229" s="38" t="inlineStr">
        <is>
          <t>NO</t>
        </is>
      </c>
      <c r="T229" s="38" t="inlineStr">
        <is>
          <t>NO</t>
        </is>
      </c>
      <c r="U229" s="38" t="n">
        <v>64</v>
      </c>
      <c r="V229" s="38" t="n">
        <v>58</v>
      </c>
      <c r="W229" s="38" t="n">
        <v>64</v>
      </c>
      <c r="X229" s="38" t="n">
        <v>58</v>
      </c>
      <c r="Y229" s="38" t="inlineStr">
        <is>
          <t>0,2-0,3</t>
        </is>
      </c>
      <c r="Z229" s="38" t="inlineStr">
        <is>
          <t>Polyrex</t>
        </is>
      </c>
      <c r="AA229" s="45" t="inlineStr">
        <is>
          <t>0,9cNm / 0,009Nm</t>
        </is>
      </c>
      <c r="AB229" s="45" t="inlineStr">
        <is>
          <t>0,4cNm / 0,004Nm</t>
        </is>
      </c>
      <c r="AC229" s="44" t="n">
        <v>42286</v>
      </c>
      <c r="AD229" s="57" t="n">
        <v>0</v>
      </c>
    </row>
    <row r="230" ht="12.75" customHeight="1" s="123">
      <c r="A230" s="85" t="n">
        <v>228</v>
      </c>
      <c r="B230" s="30" t="inlineStr">
        <is>
          <t>LS01-2RLD</t>
        </is>
      </c>
      <c r="C230" s="38" t="n">
        <v>8</v>
      </c>
      <c r="D230" s="38" t="n">
        <v>0</v>
      </c>
      <c r="E230" s="38" t="n">
        <v>-120</v>
      </c>
      <c r="F230" s="38" t="n">
        <v>28</v>
      </c>
      <c r="G230" s="38" t="n">
        <v>0</v>
      </c>
      <c r="H230" s="38" t="n">
        <v>-9</v>
      </c>
      <c r="I230" s="38" t="n">
        <v>8</v>
      </c>
      <c r="J230" s="38" t="n">
        <v>0</v>
      </c>
      <c r="K230" s="38" t="n">
        <v>-120</v>
      </c>
      <c r="L230" s="38" t="n">
        <v>12</v>
      </c>
      <c r="M230" s="38" t="n">
        <v>0</v>
      </c>
      <c r="N230" s="38" t="n">
        <v>-8</v>
      </c>
      <c r="O230" s="38" t="inlineStr">
        <is>
          <t>C3</t>
        </is>
      </c>
      <c r="P230" s="38" t="n">
        <v>25</v>
      </c>
      <c r="Q230" s="38" t="n">
        <v>11</v>
      </c>
      <c r="R230" s="38" t="inlineStr">
        <is>
          <t>NO</t>
        </is>
      </c>
      <c r="S230" s="38" t="inlineStr">
        <is>
          <t>NO</t>
        </is>
      </c>
      <c r="T230" s="38" t="inlineStr">
        <is>
          <t>NO</t>
        </is>
      </c>
      <c r="U230" s="38" t="n">
        <v>64</v>
      </c>
      <c r="V230" s="38" t="n">
        <v>58</v>
      </c>
      <c r="W230" s="38" t="n">
        <v>64</v>
      </c>
      <c r="X230" s="38" t="n">
        <v>58</v>
      </c>
      <c r="Y230" s="38" t="inlineStr">
        <is>
          <t>0,247 - 0,346</t>
        </is>
      </c>
      <c r="Z230" s="38" t="inlineStr">
        <is>
          <t>Polyrex</t>
        </is>
      </c>
      <c r="AA230" s="45" t="inlineStr">
        <is>
          <t>1cNm / 0,010Nm</t>
        </is>
      </c>
      <c r="AB230" s="45" t="inlineStr">
        <is>
          <t>0,42cNm / 0,0042Nm</t>
        </is>
      </c>
      <c r="AC230" s="44" t="inlineStr">
        <is>
          <t>……………</t>
        </is>
      </c>
      <c r="AD230" s="57" t="inlineStr">
        <is>
          <t>………</t>
        </is>
      </c>
    </row>
    <row r="231" ht="12.75" customHeight="1" s="123">
      <c r="A231" s="85" t="n">
        <v>229</v>
      </c>
      <c r="B231" s="27" t="inlineStr">
        <is>
          <t>LS04-2RST 6-004</t>
        </is>
      </c>
      <c r="C231" s="38" t="n">
        <v>12</v>
      </c>
      <c r="D231" s="38" t="n">
        <v>0</v>
      </c>
      <c r="E231" s="38" t="n">
        <v>-120</v>
      </c>
      <c r="F231" s="38" t="n">
        <v>42</v>
      </c>
      <c r="G231" s="38" t="n">
        <v>0</v>
      </c>
      <c r="H231" s="38" t="n">
        <v>-11</v>
      </c>
      <c r="I231" s="38" t="n">
        <v>12</v>
      </c>
      <c r="J231" s="38" t="n">
        <v>0</v>
      </c>
      <c r="K231" s="38" t="n">
        <v>-120</v>
      </c>
      <c r="L231" s="38" t="n">
        <v>20</v>
      </c>
      <c r="M231" s="38" t="n">
        <v>0</v>
      </c>
      <c r="N231" s="38" t="n">
        <v>-10</v>
      </c>
      <c r="O231" s="38" t="inlineStr">
        <is>
          <t>C3</t>
        </is>
      </c>
      <c r="P231" s="38" t="n">
        <v>13</v>
      </c>
      <c r="Q231" s="38" t="n">
        <v>28</v>
      </c>
      <c r="R231" s="38" t="n"/>
      <c r="S231" s="38" t="n"/>
      <c r="T231" s="38" t="n"/>
      <c r="U231" s="38" t="inlineStr">
        <is>
          <t>58 HRC</t>
        </is>
      </c>
      <c r="V231" s="38" t="inlineStr">
        <is>
          <t>65 HRC</t>
        </is>
      </c>
      <c r="W231" s="38" t="inlineStr">
        <is>
          <t>58 HRC</t>
        </is>
      </c>
      <c r="X231" s="38" t="inlineStr">
        <is>
          <t>65 HRC</t>
        </is>
      </c>
      <c r="Y231" s="36" t="inlineStr">
        <is>
          <t>75±5</t>
        </is>
      </c>
      <c r="Z231" s="38" t="inlineStr">
        <is>
          <t>Polyrex</t>
        </is>
      </c>
      <c r="AA231" s="45" t="n">
        <v>0.0155</v>
      </c>
      <c r="AB231" s="45" t="n">
        <v>0.0332</v>
      </c>
      <c r="AC231" s="44" t="inlineStr">
        <is>
          <t>……………</t>
        </is>
      </c>
      <c r="AD231" s="57" t="inlineStr">
        <is>
          <t>………</t>
        </is>
      </c>
    </row>
    <row r="232" ht="12.75" customHeight="1" s="123">
      <c r="A232" s="85" t="n">
        <v>230</v>
      </c>
      <c r="B232" s="30" t="inlineStr">
        <is>
          <t>LS05-2RLD-China</t>
        </is>
      </c>
      <c r="C232" s="38" t="n">
        <v>12</v>
      </c>
      <c r="D232" s="38" t="n">
        <v>0</v>
      </c>
      <c r="E232" s="38" t="n">
        <v>-120</v>
      </c>
      <c r="F232" s="38" t="n">
        <v>47</v>
      </c>
      <c r="G232" s="38" t="n">
        <v>0</v>
      </c>
      <c r="H232" s="38" t="n">
        <v>-11</v>
      </c>
      <c r="I232" s="38" t="n">
        <v>12</v>
      </c>
      <c r="J232" s="38" t="n">
        <v>0</v>
      </c>
      <c r="K232" s="38" t="n">
        <v>-120</v>
      </c>
      <c r="L232" s="38" t="n">
        <v>25</v>
      </c>
      <c r="M232" s="38" t="n">
        <v>0</v>
      </c>
      <c r="N232" s="38" t="n">
        <v>-10</v>
      </c>
      <c r="O232" s="38" t="inlineStr">
        <is>
          <t>C3</t>
        </is>
      </c>
      <c r="P232" s="38" t="n">
        <v>28</v>
      </c>
      <c r="Q232" s="38" t="n">
        <v>13</v>
      </c>
      <c r="R232" s="38" t="inlineStr">
        <is>
          <t>NO</t>
        </is>
      </c>
      <c r="S232" s="38" t="inlineStr">
        <is>
          <t>NO</t>
        </is>
      </c>
      <c r="T232" s="38" t="inlineStr">
        <is>
          <t>NO</t>
        </is>
      </c>
      <c r="U232" s="38" t="n">
        <v>64</v>
      </c>
      <c r="V232" s="38" t="n">
        <v>58</v>
      </c>
      <c r="W232" s="38" t="n">
        <v>64</v>
      </c>
      <c r="X232" s="38" t="n">
        <v>58</v>
      </c>
      <c r="Y232" s="38" t="inlineStr">
        <is>
          <t>0,86  - 1,2</t>
        </is>
      </c>
      <c r="Z232" s="38" t="inlineStr">
        <is>
          <t>Polyrex</t>
        </is>
      </c>
      <c r="AA232" s="45" t="inlineStr">
        <is>
          <t>2,4cNm / 0,024Nm</t>
        </is>
      </c>
      <c r="AB232" s="38" t="inlineStr">
        <is>
          <t>1cNm / 0,01Nm</t>
        </is>
      </c>
      <c r="AC232" s="44" t="inlineStr">
        <is>
          <t>……………</t>
        </is>
      </c>
      <c r="AD232" s="57" t="inlineStr">
        <is>
          <t>………</t>
        </is>
      </c>
    </row>
    <row r="233" ht="12.75" customHeight="1" s="123">
      <c r="A233" s="85" t="n">
        <v>231</v>
      </c>
      <c r="B233" s="30" t="inlineStr">
        <is>
          <t>LS05-2RST</t>
        </is>
      </c>
      <c r="C233" s="38" t="n">
        <v>12</v>
      </c>
      <c r="D233" s="38" t="n">
        <v>0</v>
      </c>
      <c r="E233" s="38" t="n">
        <v>-120</v>
      </c>
      <c r="F233" s="38" t="n">
        <v>47</v>
      </c>
      <c r="G233" s="38" t="n">
        <v>0</v>
      </c>
      <c r="H233" s="38" t="n">
        <v>-11</v>
      </c>
      <c r="I233" s="38" t="n">
        <v>12</v>
      </c>
      <c r="J233" s="38" t="n">
        <v>0</v>
      </c>
      <c r="K233" s="38" t="n">
        <v>-120</v>
      </c>
      <c r="L233" s="38" t="n">
        <v>25</v>
      </c>
      <c r="M233" s="38" t="n">
        <v>0</v>
      </c>
      <c r="N233" s="38" t="n">
        <v>-10</v>
      </c>
      <c r="O233" s="38" t="inlineStr">
        <is>
          <t>C3</t>
        </is>
      </c>
      <c r="P233" s="38" t="n">
        <v>13</v>
      </c>
      <c r="Q233" s="38" t="n">
        <v>28</v>
      </c>
      <c r="R233" s="38" t="inlineStr">
        <is>
          <t>NO</t>
        </is>
      </c>
      <c r="S233" s="38" t="inlineStr">
        <is>
          <t>NO</t>
        </is>
      </c>
      <c r="T233" s="38" t="inlineStr">
        <is>
          <t>NO</t>
        </is>
      </c>
      <c r="U233" s="38" t="n">
        <v>64</v>
      </c>
      <c r="V233" s="38" t="n">
        <v>58</v>
      </c>
      <c r="W233" s="38" t="n">
        <v>64</v>
      </c>
      <c r="X233" s="38" t="n">
        <v>58</v>
      </c>
      <c r="Y233" s="38" t="inlineStr">
        <is>
          <t>70-80%</t>
        </is>
      </c>
      <c r="Z233" s="38" t="inlineStr">
        <is>
          <t>Huan Gu 2</t>
        </is>
      </c>
      <c r="AA233" s="45" t="inlineStr">
        <is>
          <t>…………..</t>
        </is>
      </c>
      <c r="AB233" s="45" t="inlineStr">
        <is>
          <t>…………..</t>
        </is>
      </c>
      <c r="AC233" s="44" t="inlineStr">
        <is>
          <t>……………</t>
        </is>
      </c>
      <c r="AD233" s="57" t="inlineStr">
        <is>
          <t>………</t>
        </is>
      </c>
    </row>
    <row r="234" ht="12.75" customHeight="1" s="123">
      <c r="A234" s="85" t="n">
        <v>232</v>
      </c>
      <c r="B234" s="30" t="inlineStr">
        <is>
          <t>LS05-2RST</t>
        </is>
      </c>
      <c r="C234" s="38" t="n">
        <v>12</v>
      </c>
      <c r="D234" s="38" t="n">
        <v>0</v>
      </c>
      <c r="E234" s="38" t="n">
        <v>-120</v>
      </c>
      <c r="F234" s="38" t="n">
        <v>47</v>
      </c>
      <c r="G234" s="38" t="n">
        <v>0</v>
      </c>
      <c r="H234" s="38" t="n">
        <v>-11</v>
      </c>
      <c r="I234" s="38" t="n">
        <v>12</v>
      </c>
      <c r="J234" s="38" t="n">
        <v>0</v>
      </c>
      <c r="K234" s="38" t="n">
        <v>-120</v>
      </c>
      <c r="L234" s="38" t="n">
        <v>25</v>
      </c>
      <c r="M234" s="38" t="n">
        <v>0</v>
      </c>
      <c r="N234" s="38" t="n">
        <v>-10</v>
      </c>
      <c r="O234" s="38" t="inlineStr">
        <is>
          <t>C3</t>
        </is>
      </c>
      <c r="P234" s="38" t="n">
        <v>13</v>
      </c>
      <c r="Q234" s="38" t="n">
        <v>28</v>
      </c>
      <c r="R234" s="38" t="inlineStr">
        <is>
          <t>NO</t>
        </is>
      </c>
      <c r="S234" s="38" t="inlineStr">
        <is>
          <t>NO</t>
        </is>
      </c>
      <c r="T234" s="38" t="inlineStr">
        <is>
          <t>NO</t>
        </is>
      </c>
      <c r="U234" s="38" t="n">
        <v>64</v>
      </c>
      <c r="V234" s="38" t="n">
        <v>58</v>
      </c>
      <c r="W234" s="38" t="n">
        <v>64</v>
      </c>
      <c r="X234" s="38" t="n">
        <v>58</v>
      </c>
      <c r="Y234" s="36" t="inlineStr">
        <is>
          <t>2,4-2,75</t>
        </is>
      </c>
      <c r="Z234" s="38" t="inlineStr">
        <is>
          <t>Polyrex</t>
        </is>
      </c>
      <c r="AA234" s="45" t="inlineStr">
        <is>
          <t>…………..</t>
        </is>
      </c>
      <c r="AB234" s="45" t="inlineStr">
        <is>
          <t>…………..</t>
        </is>
      </c>
      <c r="AC234" s="44" t="inlineStr">
        <is>
          <t>……………</t>
        </is>
      </c>
      <c r="AD234" s="57" t="inlineStr">
        <is>
          <t>………</t>
        </is>
      </c>
    </row>
    <row r="235" ht="12.75" customHeight="1" s="123">
      <c r="A235" s="85" t="n">
        <v>233</v>
      </c>
      <c r="B235" s="30" t="inlineStr">
        <is>
          <t>LS05-2RST</t>
        </is>
      </c>
      <c r="C235" s="38" t="n">
        <v>12</v>
      </c>
      <c r="D235" s="38" t="n">
        <v>0</v>
      </c>
      <c r="E235" s="38" t="n">
        <v>-120</v>
      </c>
      <c r="F235" s="38" t="n">
        <v>47</v>
      </c>
      <c r="G235" s="38" t="n">
        <v>0</v>
      </c>
      <c r="H235" s="38" t="n">
        <v>-11</v>
      </c>
      <c r="I235" s="38" t="n">
        <v>12</v>
      </c>
      <c r="J235" s="38" t="n">
        <v>0</v>
      </c>
      <c r="K235" s="38" t="n">
        <v>-120</v>
      </c>
      <c r="L235" s="38" t="n">
        <v>25</v>
      </c>
      <c r="M235" s="38" t="n">
        <v>0</v>
      </c>
      <c r="N235" s="38" t="n">
        <v>-10</v>
      </c>
      <c r="O235" s="38" t="inlineStr">
        <is>
          <t>C3</t>
        </is>
      </c>
      <c r="P235" s="38" t="n">
        <v>28</v>
      </c>
      <c r="Q235" s="38" t="n">
        <v>13</v>
      </c>
      <c r="R235" s="38" t="inlineStr">
        <is>
          <t>NO</t>
        </is>
      </c>
      <c r="S235" s="38" t="inlineStr">
        <is>
          <t>NO</t>
        </is>
      </c>
      <c r="T235" s="38" t="inlineStr">
        <is>
          <t>NO</t>
        </is>
      </c>
      <c r="U235" s="38" t="n">
        <v>64</v>
      </c>
      <c r="V235" s="38" t="n">
        <v>58</v>
      </c>
      <c r="W235" s="38" t="n">
        <v>64</v>
      </c>
      <c r="X235" s="38" t="n">
        <v>58</v>
      </c>
      <c r="Y235" s="36" t="inlineStr">
        <is>
          <t>2,75 - 2,4</t>
        </is>
      </c>
      <c r="Z235" s="38" t="inlineStr">
        <is>
          <t>Polyrex</t>
        </is>
      </c>
      <c r="AA235" s="45" t="inlineStr">
        <is>
          <t>6,5cNm / 0,065Nm</t>
        </is>
      </c>
      <c r="AB235" s="45" t="inlineStr">
        <is>
          <t>3,5cNm / 0,035Nm</t>
        </is>
      </c>
      <c r="AC235" s="44" t="n">
        <v>42706</v>
      </c>
      <c r="AD235" s="57" t="inlineStr">
        <is>
          <t>C</t>
        </is>
      </c>
    </row>
    <row r="236" ht="12.75" customHeight="1" s="123">
      <c r="A236" s="85" t="n">
        <v>234</v>
      </c>
      <c r="B236" s="30" t="inlineStr">
        <is>
          <t>LS05-2RST-01</t>
        </is>
      </c>
      <c r="C236" s="38" t="n">
        <v>12</v>
      </c>
      <c r="D236" s="38" t="n">
        <v>0</v>
      </c>
      <c r="E236" s="38" t="n">
        <v>-120</v>
      </c>
      <c r="F236" s="38" t="n">
        <v>47</v>
      </c>
      <c r="G236" s="38" t="n">
        <v>0</v>
      </c>
      <c r="H236" s="38" t="n">
        <v>-9</v>
      </c>
      <c r="I236" s="38" t="inlineStr">
        <is>
          <t>NO</t>
        </is>
      </c>
      <c r="J236" s="38" t="inlineStr">
        <is>
          <t>NO</t>
        </is>
      </c>
      <c r="K236" s="38" t="inlineStr">
        <is>
          <t>NO</t>
        </is>
      </c>
      <c r="L236" s="38" t="inlineStr">
        <is>
          <t>NO</t>
        </is>
      </c>
      <c r="M236" s="38" t="inlineStr">
        <is>
          <t>NO</t>
        </is>
      </c>
      <c r="N236" s="38" t="inlineStr">
        <is>
          <t>NO</t>
        </is>
      </c>
      <c r="O236" s="38" t="inlineStr">
        <is>
          <t>NO</t>
        </is>
      </c>
      <c r="P236" s="38" t="inlineStr">
        <is>
          <t>NO</t>
        </is>
      </c>
      <c r="Q236" s="38" t="inlineStr">
        <is>
          <t>NO</t>
        </is>
      </c>
      <c r="R236" s="38" t="inlineStr">
        <is>
          <t>NO</t>
        </is>
      </c>
      <c r="S236" s="38" t="inlineStr">
        <is>
          <t>NO</t>
        </is>
      </c>
      <c r="T236" s="38" t="inlineStr">
        <is>
          <t>NO</t>
        </is>
      </c>
      <c r="U236" s="38" t="inlineStr">
        <is>
          <t>NO</t>
        </is>
      </c>
      <c r="V236" s="38" t="inlineStr">
        <is>
          <t>NO</t>
        </is>
      </c>
      <c r="W236" s="38" t="n">
        <v>64</v>
      </c>
      <c r="X236" s="38" t="n">
        <v>58</v>
      </c>
      <c r="Y236" s="38" t="inlineStr">
        <is>
          <t>NO</t>
        </is>
      </c>
      <c r="Z236" s="38" t="inlineStr">
        <is>
          <t>NO</t>
        </is>
      </c>
      <c r="AA236" s="45" t="inlineStr">
        <is>
          <t>NO</t>
        </is>
      </c>
      <c r="AB236" s="38" t="inlineStr">
        <is>
          <t>NO</t>
        </is>
      </c>
      <c r="AC236" s="44" t="n">
        <v>41611</v>
      </c>
      <c r="AD236" s="57" t="n">
        <v>0</v>
      </c>
    </row>
    <row r="237" ht="12.75" customHeight="1" s="123">
      <c r="A237" s="85" t="n">
        <v>235</v>
      </c>
      <c r="B237" s="30" t="inlineStr">
        <is>
          <t>LS05-2RST-02</t>
        </is>
      </c>
      <c r="C237" s="38" t="inlineStr">
        <is>
          <t>NO</t>
        </is>
      </c>
      <c r="D237" s="38" t="inlineStr">
        <is>
          <t>NO</t>
        </is>
      </c>
      <c r="E237" s="38" t="inlineStr">
        <is>
          <t>NO</t>
        </is>
      </c>
      <c r="F237" s="38" t="inlineStr">
        <is>
          <t>NO</t>
        </is>
      </c>
      <c r="G237" s="38" t="inlineStr">
        <is>
          <t>NO</t>
        </is>
      </c>
      <c r="H237" s="38" t="inlineStr">
        <is>
          <t>NO</t>
        </is>
      </c>
      <c r="I237" s="38" t="n">
        <v>12</v>
      </c>
      <c r="J237" s="38" t="n">
        <v>0</v>
      </c>
      <c r="K237" s="38" t="n">
        <v>-120</v>
      </c>
      <c r="L237" s="38" t="n">
        <v>25</v>
      </c>
      <c r="M237" s="38" t="n">
        <v>0</v>
      </c>
      <c r="N237" s="38" t="n">
        <v>-10</v>
      </c>
      <c r="O237" s="38" t="inlineStr">
        <is>
          <t>NO</t>
        </is>
      </c>
      <c r="P237" s="38" t="inlineStr">
        <is>
          <t>NO</t>
        </is>
      </c>
      <c r="Q237" s="38" t="inlineStr">
        <is>
          <t>NO</t>
        </is>
      </c>
      <c r="R237" s="38" t="inlineStr">
        <is>
          <t>NO</t>
        </is>
      </c>
      <c r="S237" s="38" t="inlineStr">
        <is>
          <t>NO</t>
        </is>
      </c>
      <c r="T237" s="38" t="inlineStr">
        <is>
          <t>NO</t>
        </is>
      </c>
      <c r="U237" s="38" t="n">
        <v>64</v>
      </c>
      <c r="V237" s="38" t="n">
        <v>58</v>
      </c>
      <c r="W237" s="38" t="inlineStr">
        <is>
          <t>NO</t>
        </is>
      </c>
      <c r="X237" s="38" t="inlineStr">
        <is>
          <t>NO</t>
        </is>
      </c>
      <c r="Y237" s="38" t="inlineStr">
        <is>
          <t>NO</t>
        </is>
      </c>
      <c r="Z237" s="38" t="inlineStr">
        <is>
          <t>NO</t>
        </is>
      </c>
      <c r="AA237" s="45" t="inlineStr">
        <is>
          <t>NO</t>
        </is>
      </c>
      <c r="AB237" s="38" t="inlineStr">
        <is>
          <t>NO</t>
        </is>
      </c>
      <c r="AC237" s="44" t="n">
        <v>41611</v>
      </c>
      <c r="AD237" s="57" t="n">
        <v>0</v>
      </c>
    </row>
    <row r="238" ht="12.75" customHeight="1" s="123">
      <c r="A238" s="85" t="n">
        <v>236</v>
      </c>
      <c r="B238" s="30" t="inlineStr">
        <is>
          <t>LS05-D-C0</t>
        </is>
      </c>
      <c r="C238" s="38" t="n">
        <v>12</v>
      </c>
      <c r="D238" s="38" t="n">
        <v>0</v>
      </c>
      <c r="E238" s="38" t="n">
        <v>-120</v>
      </c>
      <c r="F238" s="38" t="n">
        <v>47</v>
      </c>
      <c r="G238" s="38" t="n">
        <v>0</v>
      </c>
      <c r="H238" s="38" t="n">
        <v>-11</v>
      </c>
      <c r="I238" s="38" t="n">
        <v>12</v>
      </c>
      <c r="J238" s="38" t="n">
        <v>0</v>
      </c>
      <c r="K238" s="38" t="n">
        <v>-120</v>
      </c>
      <c r="L238" s="38" t="n">
        <v>25</v>
      </c>
      <c r="M238" s="38" t="n">
        <v>0</v>
      </c>
      <c r="N238" s="38" t="n">
        <v>-10</v>
      </c>
      <c r="O238" s="38" t="inlineStr">
        <is>
          <t>C0</t>
        </is>
      </c>
      <c r="P238" s="38" t="n">
        <v>5</v>
      </c>
      <c r="Q238" s="38" t="n">
        <v>20</v>
      </c>
      <c r="R238" s="38" t="inlineStr">
        <is>
          <t>C3</t>
        </is>
      </c>
      <c r="S238" s="38" t="n">
        <v>130</v>
      </c>
      <c r="T238" s="38" t="n">
        <v>155</v>
      </c>
      <c r="U238" s="38" t="n">
        <v>64</v>
      </c>
      <c r="V238" s="38" t="n">
        <v>58</v>
      </c>
      <c r="W238" s="38" t="n">
        <v>64</v>
      </c>
      <c r="X238" s="38" t="n">
        <v>58</v>
      </c>
      <c r="Y238" s="38" t="inlineStr">
        <is>
          <t>NO</t>
        </is>
      </c>
      <c r="Z238" s="38" t="inlineStr">
        <is>
          <t>NO</t>
        </is>
      </c>
      <c r="AA238" s="45" t="inlineStr">
        <is>
          <t>…………..</t>
        </is>
      </c>
      <c r="AB238" s="45" t="inlineStr">
        <is>
          <t>…………..</t>
        </is>
      </c>
      <c r="AC238" s="44" t="inlineStr">
        <is>
          <t>……………</t>
        </is>
      </c>
      <c r="AD238" s="57" t="inlineStr">
        <is>
          <t>………</t>
        </is>
      </c>
    </row>
    <row r="239" ht="12.75" customHeight="1" s="123">
      <c r="A239" s="85" t="n">
        <v>237</v>
      </c>
      <c r="B239" s="30" t="inlineStr">
        <is>
          <t>LS05-D-C3</t>
        </is>
      </c>
      <c r="C239" s="38" t="n">
        <v>12</v>
      </c>
      <c r="D239" s="38" t="n">
        <v>0</v>
      </c>
      <c r="E239" s="38" t="n">
        <v>-120</v>
      </c>
      <c r="F239" s="38" t="n">
        <v>47</v>
      </c>
      <c r="G239" s="38" t="n">
        <v>0</v>
      </c>
      <c r="H239" s="38" t="n">
        <v>-11</v>
      </c>
      <c r="I239" s="38" t="n">
        <v>12</v>
      </c>
      <c r="J239" s="38" t="n">
        <v>0</v>
      </c>
      <c r="K239" s="38" t="n">
        <v>-120</v>
      </c>
      <c r="L239" s="38" t="n">
        <v>25</v>
      </c>
      <c r="M239" s="38" t="n">
        <v>0</v>
      </c>
      <c r="N239" s="38" t="n">
        <v>-10</v>
      </c>
      <c r="O239" s="38" t="inlineStr">
        <is>
          <t>C3</t>
        </is>
      </c>
      <c r="P239" s="38" t="n">
        <v>13</v>
      </c>
      <c r="Q239" s="38" t="n">
        <v>28</v>
      </c>
      <c r="R239" s="38" t="inlineStr">
        <is>
          <t>C3</t>
        </is>
      </c>
      <c r="S239" s="38" t="n">
        <v>130</v>
      </c>
      <c r="T239" s="38" t="n">
        <v>155</v>
      </c>
      <c r="U239" s="38" t="n">
        <v>64</v>
      </c>
      <c r="V239" s="38" t="n">
        <v>58</v>
      </c>
      <c r="W239" s="38" t="n">
        <v>64</v>
      </c>
      <c r="X239" s="38" t="n">
        <v>58</v>
      </c>
      <c r="Y239" s="38" t="inlineStr">
        <is>
          <t>NO</t>
        </is>
      </c>
      <c r="Z239" s="38" t="inlineStr">
        <is>
          <t>NO</t>
        </is>
      </c>
      <c r="AA239" s="45" t="inlineStr">
        <is>
          <t>…………..</t>
        </is>
      </c>
      <c r="AB239" s="45" t="inlineStr">
        <is>
          <t>…………..</t>
        </is>
      </c>
      <c r="AC239" s="44" t="inlineStr">
        <is>
          <t>……………</t>
        </is>
      </c>
      <c r="AD239" s="57" t="inlineStr">
        <is>
          <t>………</t>
        </is>
      </c>
    </row>
    <row r="240" ht="12.75" customHeight="1" s="123">
      <c r="A240" s="85" t="n">
        <v>238</v>
      </c>
      <c r="B240" s="30" t="inlineStr">
        <is>
          <t>LS05-ZZ</t>
        </is>
      </c>
      <c r="C240" s="38" t="n">
        <v>12</v>
      </c>
      <c r="D240" s="38" t="n">
        <v>0</v>
      </c>
      <c r="E240" s="38" t="n">
        <v>-120</v>
      </c>
      <c r="F240" s="38" t="n">
        <v>47</v>
      </c>
      <c r="G240" s="38" t="n">
        <v>0</v>
      </c>
      <c r="H240" s="38" t="n">
        <v>-11</v>
      </c>
      <c r="I240" s="38" t="n">
        <v>12</v>
      </c>
      <c r="J240" s="38" t="n">
        <v>0</v>
      </c>
      <c r="K240" s="38" t="n">
        <v>-120</v>
      </c>
      <c r="L240" s="38" t="n">
        <v>25</v>
      </c>
      <c r="M240" s="38" t="n">
        <v>0</v>
      </c>
      <c r="N240" s="38" t="n">
        <v>-10</v>
      </c>
      <c r="O240" s="38" t="inlineStr">
        <is>
          <t>C3</t>
        </is>
      </c>
      <c r="P240" s="38" t="n">
        <v>13</v>
      </c>
      <c r="Q240" s="38" t="n">
        <v>28</v>
      </c>
      <c r="R240" s="38" t="inlineStr">
        <is>
          <t>NO</t>
        </is>
      </c>
      <c r="S240" s="38" t="inlineStr">
        <is>
          <t>NO</t>
        </is>
      </c>
      <c r="T240" s="38" t="inlineStr">
        <is>
          <t>NO</t>
        </is>
      </c>
      <c r="U240" s="38" t="n">
        <v>64</v>
      </c>
      <c r="V240" s="38" t="n">
        <v>58</v>
      </c>
      <c r="W240" s="38" t="n">
        <v>64</v>
      </c>
      <c r="X240" s="38" t="n">
        <v>58</v>
      </c>
      <c r="Y240" s="38" t="inlineStr">
        <is>
          <t>0,8  - 1</t>
        </is>
      </c>
      <c r="Z240" s="38" t="inlineStr">
        <is>
          <t>Polyrex</t>
        </is>
      </c>
      <c r="AA240" s="45" t="inlineStr">
        <is>
          <t>…………..</t>
        </is>
      </c>
      <c r="AB240" s="45" t="inlineStr">
        <is>
          <t>…………..</t>
        </is>
      </c>
      <c r="AC240" s="44" t="inlineStr">
        <is>
          <t>……………</t>
        </is>
      </c>
      <c r="AD240" s="57" t="inlineStr">
        <is>
          <t>………</t>
        </is>
      </c>
    </row>
    <row r="241" ht="12.75" customHeight="1" s="123">
      <c r="A241" s="85" t="n">
        <v>239</v>
      </c>
      <c r="B241" s="30" t="inlineStr">
        <is>
          <t>LS06-2RLD</t>
        </is>
      </c>
      <c r="C241" s="38" t="n">
        <v>13</v>
      </c>
      <c r="D241" s="38" t="n">
        <v>0</v>
      </c>
      <c r="E241" s="38" t="n">
        <v>-120</v>
      </c>
      <c r="F241" s="38" t="n">
        <v>55</v>
      </c>
      <c r="G241" s="38" t="n">
        <v>0</v>
      </c>
      <c r="H241" s="38" t="n">
        <v>-13</v>
      </c>
      <c r="I241" s="38" t="n">
        <v>13</v>
      </c>
      <c r="J241" s="38" t="n">
        <v>0</v>
      </c>
      <c r="K241" s="38" t="n">
        <v>-120</v>
      </c>
      <c r="L241" s="38" t="n">
        <v>30</v>
      </c>
      <c r="M241" s="38" t="n">
        <v>0</v>
      </c>
      <c r="N241" s="38" t="n">
        <v>-10</v>
      </c>
      <c r="O241" s="45" t="inlineStr">
        <is>
          <t>C3</t>
        </is>
      </c>
      <c r="P241" s="38" t="n">
        <v>28</v>
      </c>
      <c r="Q241" s="38" t="n">
        <v>13</v>
      </c>
      <c r="R241" s="45" t="inlineStr">
        <is>
          <t>NO</t>
        </is>
      </c>
      <c r="S241" s="45" t="inlineStr">
        <is>
          <t>NO</t>
        </is>
      </c>
      <c r="T241" s="45" t="inlineStr">
        <is>
          <t>NO</t>
        </is>
      </c>
      <c r="U241" s="38" t="n">
        <v>64</v>
      </c>
      <c r="V241" s="38" t="n">
        <v>58</v>
      </c>
      <c r="W241" s="38" t="n">
        <v>64</v>
      </c>
      <c r="X241" s="38" t="n">
        <v>58</v>
      </c>
      <c r="Y241" s="45" t="inlineStr">
        <is>
          <t>1,2-1,67</t>
        </is>
      </c>
      <c r="Z241" s="45" t="inlineStr">
        <is>
          <t>Polyrex</t>
        </is>
      </c>
      <c r="AA241" s="45" t="inlineStr">
        <is>
          <t>2,7cNm / 0,027Nm</t>
        </is>
      </c>
      <c r="AB241" s="45" t="inlineStr">
        <is>
          <t>1,2cNm / 0,012Nm</t>
        </is>
      </c>
      <c r="AC241" s="44" t="inlineStr">
        <is>
          <t>……………</t>
        </is>
      </c>
      <c r="AD241" s="57" t="inlineStr">
        <is>
          <t>………</t>
        </is>
      </c>
    </row>
    <row r="242" ht="12.75" customHeight="1" s="123">
      <c r="A242" s="85" t="n">
        <v>240</v>
      </c>
      <c r="B242" s="30" t="inlineStr">
        <is>
          <t>LS06-2RS</t>
        </is>
      </c>
      <c r="C242" s="38" t="n">
        <v>13</v>
      </c>
      <c r="D242" s="38" t="n">
        <v>0</v>
      </c>
      <c r="E242" s="38" t="n">
        <v>-120</v>
      </c>
      <c r="F242" s="38" t="n">
        <v>55</v>
      </c>
      <c r="G242" s="38" t="n">
        <v>0</v>
      </c>
      <c r="H242" s="38" t="n">
        <v>-13</v>
      </c>
      <c r="I242" s="38" t="n">
        <v>13</v>
      </c>
      <c r="J242" s="38" t="n">
        <v>0</v>
      </c>
      <c r="K242" s="38" t="n">
        <v>-120</v>
      </c>
      <c r="L242" s="38" t="n">
        <v>30</v>
      </c>
      <c r="M242" s="38" t="n">
        <v>0</v>
      </c>
      <c r="N242" s="38" t="n">
        <v>-10</v>
      </c>
      <c r="O242" s="45" t="inlineStr">
        <is>
          <t>C3</t>
        </is>
      </c>
      <c r="P242" s="38" t="n">
        <v>28</v>
      </c>
      <c r="Q242" s="38" t="n">
        <v>13</v>
      </c>
      <c r="R242" s="45" t="inlineStr">
        <is>
          <t>NO</t>
        </is>
      </c>
      <c r="S242" s="45" t="inlineStr">
        <is>
          <t>NO</t>
        </is>
      </c>
      <c r="T242" s="45" t="inlineStr">
        <is>
          <t>NO</t>
        </is>
      </c>
      <c r="U242" s="38" t="n">
        <v>64</v>
      </c>
      <c r="V242" s="38" t="n">
        <v>58</v>
      </c>
      <c r="W242" s="38" t="n">
        <v>64</v>
      </c>
      <c r="X242" s="38" t="n">
        <v>58</v>
      </c>
      <c r="Y242" s="45" t="inlineStr">
        <is>
          <t>1,2-1,67</t>
        </is>
      </c>
      <c r="Z242" s="45" t="inlineStr">
        <is>
          <t>Polyrex</t>
        </is>
      </c>
      <c r="AA242" s="45" t="inlineStr">
        <is>
          <t>2,7cNm / 0,027Nm</t>
        </is>
      </c>
      <c r="AB242" s="45" t="inlineStr">
        <is>
          <t>1,2cNm / 0,012Nm</t>
        </is>
      </c>
      <c r="AC242" s="44" t="n">
        <v>42807</v>
      </c>
      <c r="AD242" s="57" t="n">
        <v>0</v>
      </c>
    </row>
    <row r="243" ht="12.75" customHeight="1" s="123">
      <c r="A243" s="85" t="n">
        <v>241</v>
      </c>
      <c r="B243" s="30" t="inlineStr">
        <is>
          <t>LS06-2RST-01</t>
        </is>
      </c>
      <c r="C243" s="38" t="n">
        <v>13</v>
      </c>
      <c r="D243" s="38" t="n">
        <v>0</v>
      </c>
      <c r="E243" s="38" t="n">
        <v>-120</v>
      </c>
      <c r="F243" s="38" t="n">
        <v>55</v>
      </c>
      <c r="G243" s="38" t="n">
        <v>0</v>
      </c>
      <c r="H243" s="38" t="n">
        <v>-13</v>
      </c>
      <c r="I243" s="38" t="inlineStr">
        <is>
          <t>NO</t>
        </is>
      </c>
      <c r="J243" s="38" t="inlineStr">
        <is>
          <t>NO</t>
        </is>
      </c>
      <c r="K243" s="38" t="inlineStr">
        <is>
          <t>NO</t>
        </is>
      </c>
      <c r="L243" s="38" t="inlineStr">
        <is>
          <t>NO</t>
        </is>
      </c>
      <c r="M243" s="38" t="inlineStr">
        <is>
          <t>NO</t>
        </is>
      </c>
      <c r="N243" s="38" t="inlineStr">
        <is>
          <t>NO</t>
        </is>
      </c>
      <c r="O243" s="38" t="inlineStr">
        <is>
          <t>NO</t>
        </is>
      </c>
      <c r="P243" s="38" t="inlineStr">
        <is>
          <t>NO</t>
        </is>
      </c>
      <c r="Q243" s="38" t="inlineStr">
        <is>
          <t>NO</t>
        </is>
      </c>
      <c r="R243" s="38" t="inlineStr">
        <is>
          <t>NO</t>
        </is>
      </c>
      <c r="S243" s="38" t="inlineStr">
        <is>
          <t>NO</t>
        </is>
      </c>
      <c r="T243" s="38" t="inlineStr">
        <is>
          <t>NO</t>
        </is>
      </c>
      <c r="U243" s="38" t="n">
        <v>64</v>
      </c>
      <c r="V243" s="38" t="n">
        <v>58</v>
      </c>
      <c r="W243" s="38" t="n">
        <v>64</v>
      </c>
      <c r="X243" s="38" t="n">
        <v>58</v>
      </c>
      <c r="Y243" s="38" t="inlineStr">
        <is>
          <t>NO</t>
        </is>
      </c>
      <c r="Z243" s="38" t="inlineStr">
        <is>
          <t>NO</t>
        </is>
      </c>
      <c r="AA243" s="45" t="inlineStr">
        <is>
          <t>NO</t>
        </is>
      </c>
      <c r="AB243" s="45" t="inlineStr">
        <is>
          <t>NO</t>
        </is>
      </c>
      <c r="AC243" s="52" t="n">
        <v>42389</v>
      </c>
      <c r="AD243" s="51" t="inlineStr">
        <is>
          <t>C</t>
        </is>
      </c>
    </row>
    <row r="244" ht="12.75" customHeight="1" s="123">
      <c r="A244" s="85" t="n">
        <v>242</v>
      </c>
      <c r="B244" s="30" t="inlineStr">
        <is>
          <t>LS06-2RST-02</t>
        </is>
      </c>
      <c r="C244" s="38" t="inlineStr">
        <is>
          <t>NO</t>
        </is>
      </c>
      <c r="D244" s="38" t="inlineStr">
        <is>
          <t>NO</t>
        </is>
      </c>
      <c r="E244" s="38" t="inlineStr">
        <is>
          <t>NO</t>
        </is>
      </c>
      <c r="F244" s="38" t="inlineStr">
        <is>
          <t>NO</t>
        </is>
      </c>
      <c r="G244" s="38" t="inlineStr">
        <is>
          <t>NO</t>
        </is>
      </c>
      <c r="H244" s="38" t="inlineStr">
        <is>
          <t>NO</t>
        </is>
      </c>
      <c r="I244" s="38" t="n">
        <v>13</v>
      </c>
      <c r="J244" s="38" t="n">
        <v>0</v>
      </c>
      <c r="K244" s="38" t="n">
        <v>-120</v>
      </c>
      <c r="L244" s="38" t="n">
        <v>30</v>
      </c>
      <c r="M244" s="38" t="n">
        <v>0</v>
      </c>
      <c r="N244" s="38" t="n">
        <v>-10</v>
      </c>
      <c r="O244" s="38" t="inlineStr">
        <is>
          <t>NO</t>
        </is>
      </c>
      <c r="P244" s="38" t="inlineStr">
        <is>
          <t>NO</t>
        </is>
      </c>
      <c r="Q244" s="38" t="inlineStr">
        <is>
          <t>NO</t>
        </is>
      </c>
      <c r="R244" s="38" t="inlineStr">
        <is>
          <t>NO</t>
        </is>
      </c>
      <c r="S244" s="38" t="inlineStr">
        <is>
          <t>NO</t>
        </is>
      </c>
      <c r="T244" s="38" t="inlineStr">
        <is>
          <t>NO</t>
        </is>
      </c>
      <c r="U244" s="38" t="n">
        <v>64</v>
      </c>
      <c r="V244" s="38" t="n">
        <v>58</v>
      </c>
      <c r="W244" s="38" t="n">
        <v>64</v>
      </c>
      <c r="X244" s="38" t="n">
        <v>58</v>
      </c>
      <c r="Y244" s="38" t="inlineStr">
        <is>
          <t>NO</t>
        </is>
      </c>
      <c r="Z244" s="38" t="inlineStr">
        <is>
          <t>NO</t>
        </is>
      </c>
      <c r="AA244" s="45" t="inlineStr">
        <is>
          <t>NO</t>
        </is>
      </c>
      <c r="AB244" s="45" t="inlineStr">
        <is>
          <t>NO</t>
        </is>
      </c>
      <c r="AC244" s="52" t="n">
        <v>42389</v>
      </c>
      <c r="AD244" s="51" t="inlineStr">
        <is>
          <t>C</t>
        </is>
      </c>
    </row>
    <row r="245" ht="12.75" customHeight="1" s="123">
      <c r="A245" s="85" t="n">
        <v>243</v>
      </c>
      <c r="B245" s="30" t="inlineStr">
        <is>
          <t>LS06-D-C3</t>
        </is>
      </c>
      <c r="C245" s="38" t="n">
        <v>13</v>
      </c>
      <c r="D245" s="38" t="n">
        <v>0</v>
      </c>
      <c r="E245" s="38" t="n">
        <v>-120</v>
      </c>
      <c r="F245" s="38" t="n">
        <v>55</v>
      </c>
      <c r="G245" s="38" t="n">
        <v>0</v>
      </c>
      <c r="H245" s="38" t="n">
        <v>-13</v>
      </c>
      <c r="I245" s="38" t="n">
        <v>13</v>
      </c>
      <c r="J245" s="38" t="n">
        <v>0</v>
      </c>
      <c r="K245" s="38" t="n">
        <v>-120</v>
      </c>
      <c r="L245" s="38" t="n">
        <v>30</v>
      </c>
      <c r="M245" s="38" t="n">
        <v>0</v>
      </c>
      <c r="N245" s="38" t="n">
        <v>-10</v>
      </c>
      <c r="O245" s="38" t="inlineStr">
        <is>
          <t>C3</t>
        </is>
      </c>
      <c r="P245" s="38" t="n">
        <v>13</v>
      </c>
      <c r="Q245" s="38" t="n">
        <v>28</v>
      </c>
      <c r="R245" s="38" t="inlineStr">
        <is>
          <t>NO</t>
        </is>
      </c>
      <c r="S245" s="38" t="inlineStr">
        <is>
          <t>NO</t>
        </is>
      </c>
      <c r="T245" s="38" t="inlineStr">
        <is>
          <t>NO</t>
        </is>
      </c>
      <c r="U245" s="38" t="n">
        <v>64</v>
      </c>
      <c r="V245" s="38" t="n">
        <v>58</v>
      </c>
      <c r="W245" s="38" t="n">
        <v>64</v>
      </c>
      <c r="X245" s="38" t="n">
        <v>58</v>
      </c>
      <c r="Y245" s="38" t="inlineStr">
        <is>
          <t>NO</t>
        </is>
      </c>
      <c r="Z245" s="38" t="inlineStr">
        <is>
          <t>NO</t>
        </is>
      </c>
      <c r="AA245" s="45" t="inlineStr">
        <is>
          <t>…………..</t>
        </is>
      </c>
      <c r="AB245" s="45" t="inlineStr">
        <is>
          <t>…………..</t>
        </is>
      </c>
      <c r="AC245" s="44" t="inlineStr">
        <is>
          <t>……………</t>
        </is>
      </c>
      <c r="AD245" s="57" t="inlineStr">
        <is>
          <t>………</t>
        </is>
      </c>
    </row>
    <row r="246" ht="12.75" customHeight="1" s="123">
      <c r="A246" s="85" t="n">
        <v>244</v>
      </c>
      <c r="B246" s="30" t="inlineStr">
        <is>
          <t>LS06-ZZ</t>
        </is>
      </c>
      <c r="C246" s="38" t="n">
        <v>13</v>
      </c>
      <c r="D246" s="38" t="n">
        <v>0</v>
      </c>
      <c r="E246" s="38" t="n">
        <v>-120</v>
      </c>
      <c r="F246" s="38" t="n">
        <v>55</v>
      </c>
      <c r="G246" s="38" t="n">
        <v>0</v>
      </c>
      <c r="H246" s="38" t="n">
        <v>-13</v>
      </c>
      <c r="I246" s="38" t="n">
        <v>13</v>
      </c>
      <c r="J246" s="38" t="n">
        <v>0</v>
      </c>
      <c r="K246" s="38" t="n">
        <v>-120</v>
      </c>
      <c r="L246" s="38" t="n">
        <v>30</v>
      </c>
      <c r="M246" s="38" t="n">
        <v>0</v>
      </c>
      <c r="N246" s="38" t="n">
        <v>-10</v>
      </c>
      <c r="O246" s="45" t="inlineStr">
        <is>
          <t>C3</t>
        </is>
      </c>
      <c r="P246" s="38" t="n">
        <v>28</v>
      </c>
      <c r="Q246" s="38" t="n">
        <v>13</v>
      </c>
      <c r="R246" s="45" t="inlineStr">
        <is>
          <t>NO</t>
        </is>
      </c>
      <c r="S246" s="45" t="inlineStr">
        <is>
          <t>NO</t>
        </is>
      </c>
      <c r="T246" s="45" t="inlineStr">
        <is>
          <t>NO</t>
        </is>
      </c>
      <c r="U246" s="38" t="n">
        <v>64</v>
      </c>
      <c r="V246" s="38" t="n">
        <v>58</v>
      </c>
      <c r="W246" s="38" t="n">
        <v>64</v>
      </c>
      <c r="X246" s="38" t="n">
        <v>58</v>
      </c>
      <c r="Y246" s="45" t="inlineStr">
        <is>
          <t>NO</t>
        </is>
      </c>
      <c r="Z246" s="45" t="inlineStr">
        <is>
          <t>NO</t>
        </is>
      </c>
      <c r="AA246" s="45" t="inlineStr">
        <is>
          <t>NO</t>
        </is>
      </c>
      <c r="AB246" s="45" t="inlineStr">
        <is>
          <t>NO</t>
        </is>
      </c>
      <c r="AC246" s="44" t="n">
        <v>42837</v>
      </c>
      <c r="AD246" s="57" t="n">
        <v>0</v>
      </c>
    </row>
    <row r="247" ht="12.75" customHeight="1" s="123">
      <c r="A247" s="85" t="n">
        <v>245</v>
      </c>
      <c r="B247" s="30" t="inlineStr">
        <is>
          <t>LS09-2RLD</t>
        </is>
      </c>
      <c r="C247" s="38" t="n">
        <v>16</v>
      </c>
      <c r="D247" s="38" t="n">
        <v>0</v>
      </c>
      <c r="E247" s="38" t="n">
        <v>-120</v>
      </c>
      <c r="F247" s="38" t="n">
        <v>75</v>
      </c>
      <c r="G247" s="38" t="n">
        <v>0</v>
      </c>
      <c r="H247" s="38" t="n">
        <v>-13</v>
      </c>
      <c r="I247" s="38" t="n">
        <v>16</v>
      </c>
      <c r="J247" s="38" t="n">
        <v>0</v>
      </c>
      <c r="K247" s="38" t="n">
        <v>-120</v>
      </c>
      <c r="L247" s="38" t="n">
        <v>45</v>
      </c>
      <c r="M247" s="38" t="n">
        <v>0</v>
      </c>
      <c r="N247" s="38" t="n">
        <v>-12</v>
      </c>
      <c r="O247" s="38" t="inlineStr">
        <is>
          <t>C3</t>
        </is>
      </c>
      <c r="P247" s="38" t="n">
        <v>36</v>
      </c>
      <c r="Q247" s="38" t="n">
        <v>18</v>
      </c>
      <c r="R247" s="38" t="inlineStr">
        <is>
          <t>NO</t>
        </is>
      </c>
      <c r="S247" s="38" t="inlineStr">
        <is>
          <t>NO</t>
        </is>
      </c>
      <c r="T247" s="38" t="inlineStr">
        <is>
          <t>NO</t>
        </is>
      </c>
      <c r="U247" s="38" t="n">
        <v>64</v>
      </c>
      <c r="V247" s="38" t="n">
        <v>58</v>
      </c>
      <c r="W247" s="38" t="n">
        <v>64</v>
      </c>
      <c r="X247" s="38" t="n">
        <v>58</v>
      </c>
      <c r="Y247" s="38" t="inlineStr">
        <is>
          <t>2,8-3,97gr</t>
        </is>
      </c>
      <c r="Z247" s="38" t="inlineStr">
        <is>
          <t>Polyrex</t>
        </is>
      </c>
      <c r="AA247" s="45" t="inlineStr">
        <is>
          <t>NO</t>
        </is>
      </c>
      <c r="AB247" s="38" t="inlineStr">
        <is>
          <t>NO</t>
        </is>
      </c>
      <c r="AC247" s="44" t="n">
        <v>42870</v>
      </c>
      <c r="AD247" s="57" t="n">
        <v>0</v>
      </c>
    </row>
    <row r="248" ht="12.75" customHeight="1" s="123">
      <c r="A248" s="85" t="n">
        <v>246</v>
      </c>
      <c r="B248" s="30" t="inlineStr">
        <is>
          <t>LS09-2RST</t>
        </is>
      </c>
      <c r="C248" s="38" t="n">
        <v>16</v>
      </c>
      <c r="D248" s="38" t="n">
        <v>0</v>
      </c>
      <c r="E248" s="38" t="n">
        <v>-120</v>
      </c>
      <c r="F248" s="38" t="n">
        <v>75</v>
      </c>
      <c r="G248" s="38" t="n">
        <v>0</v>
      </c>
      <c r="H248" s="38" t="n">
        <v>-13</v>
      </c>
      <c r="I248" s="38" t="n">
        <v>16</v>
      </c>
      <c r="J248" s="38" t="n">
        <v>0</v>
      </c>
      <c r="K248" s="38" t="n">
        <v>-120</v>
      </c>
      <c r="L248" s="38" t="n">
        <v>45</v>
      </c>
      <c r="M248" s="38" t="n">
        <v>0</v>
      </c>
      <c r="N248" s="38" t="n">
        <v>-12</v>
      </c>
      <c r="O248" s="38" t="inlineStr">
        <is>
          <t>C3</t>
        </is>
      </c>
      <c r="P248" s="38" t="n">
        <v>36</v>
      </c>
      <c r="Q248" s="38" t="n">
        <v>18</v>
      </c>
      <c r="R248" s="38" t="inlineStr">
        <is>
          <t>NO</t>
        </is>
      </c>
      <c r="S248" s="38" t="inlineStr">
        <is>
          <t>NO</t>
        </is>
      </c>
      <c r="T248" s="38" t="inlineStr">
        <is>
          <t>NO</t>
        </is>
      </c>
      <c r="U248" s="38" t="n">
        <v>64</v>
      </c>
      <c r="V248" s="38" t="n">
        <v>58</v>
      </c>
      <c r="W248" s="38" t="n">
        <v>64</v>
      </c>
      <c r="X248" s="38" t="n">
        <v>58</v>
      </c>
      <c r="Y248" s="38" t="inlineStr">
        <is>
          <t>7,93-9,06gr</t>
        </is>
      </c>
      <c r="Z248" s="38" t="inlineStr">
        <is>
          <t>Polyrex</t>
        </is>
      </c>
      <c r="AA248" s="45" t="inlineStr">
        <is>
          <t>Reporte de inspección</t>
        </is>
      </c>
      <c r="AB248" s="45" t="inlineStr">
        <is>
          <t>Reporte de inspección</t>
        </is>
      </c>
      <c r="AC248" s="44" t="n">
        <v>42656</v>
      </c>
      <c r="AD248" s="57" t="n">
        <v>0</v>
      </c>
    </row>
    <row r="249" ht="12.75" customHeight="1" s="123">
      <c r="A249" s="85" t="n">
        <v>247</v>
      </c>
      <c r="B249" s="30" t="inlineStr">
        <is>
          <t>LS11-2RS</t>
        </is>
      </c>
      <c r="C249" s="38" t="n">
        <v>18</v>
      </c>
      <c r="D249" s="38" t="n">
        <v>0</v>
      </c>
      <c r="E249" s="38" t="n">
        <v>-150</v>
      </c>
      <c r="F249" s="38" t="n">
        <v>90</v>
      </c>
      <c r="G249" s="38" t="n">
        <v>0</v>
      </c>
      <c r="H249" s="38" t="n">
        <v>-15</v>
      </c>
      <c r="I249" s="38" t="n">
        <v>18</v>
      </c>
      <c r="J249" s="38" t="n">
        <v>0</v>
      </c>
      <c r="K249" s="38" t="n">
        <v>-150</v>
      </c>
      <c r="L249" s="38" t="n">
        <v>55</v>
      </c>
      <c r="M249" s="38" t="n">
        <v>0</v>
      </c>
      <c r="N249" s="38" t="n">
        <v>-15</v>
      </c>
      <c r="O249" s="38" t="inlineStr">
        <is>
          <t>C3</t>
        </is>
      </c>
      <c r="P249" s="38" t="n">
        <v>43</v>
      </c>
      <c r="Q249" s="38" t="n">
        <v>23</v>
      </c>
      <c r="R249" s="38" t="inlineStr">
        <is>
          <t>NO</t>
        </is>
      </c>
      <c r="S249" s="38" t="inlineStr">
        <is>
          <t>NO</t>
        </is>
      </c>
      <c r="T249" s="38" t="inlineStr">
        <is>
          <t>NO</t>
        </is>
      </c>
      <c r="U249" s="38" t="n">
        <v>64</v>
      </c>
      <c r="V249" s="38" t="n">
        <v>58</v>
      </c>
      <c r="W249" s="38" t="n">
        <v>64</v>
      </c>
      <c r="X249" s="38" t="n">
        <v>58</v>
      </c>
      <c r="Y249" s="38" t="inlineStr">
        <is>
          <t>4.3225 - 6.0515</t>
        </is>
      </c>
      <c r="Z249" s="38" t="inlineStr">
        <is>
          <t>Polyrex</t>
        </is>
      </c>
      <c r="AA249" s="45" t="inlineStr">
        <is>
          <t xml:space="preserve">Medium </t>
        </is>
      </c>
      <c r="AB249" s="38" t="inlineStr">
        <is>
          <t>Medium</t>
        </is>
      </c>
      <c r="AC249" s="52" t="n">
        <v>42992</v>
      </c>
      <c r="AD249" s="51" t="n">
        <v>0</v>
      </c>
    </row>
    <row r="250" ht="12.75" customHeight="1" s="123">
      <c r="A250" s="85" t="n">
        <v>248</v>
      </c>
      <c r="B250" s="30" t="inlineStr">
        <is>
          <t>LS11-2RST</t>
        </is>
      </c>
      <c r="C250" s="38" t="n">
        <v>18</v>
      </c>
      <c r="D250" s="38" t="n">
        <v>0</v>
      </c>
      <c r="E250" s="38" t="n">
        <v>-150</v>
      </c>
      <c r="F250" s="38" t="n">
        <v>90</v>
      </c>
      <c r="G250" s="38" t="n">
        <v>0</v>
      </c>
      <c r="H250" s="38" t="n">
        <v>-15</v>
      </c>
      <c r="I250" s="38" t="n">
        <v>18</v>
      </c>
      <c r="J250" s="38" t="n">
        <v>0</v>
      </c>
      <c r="K250" s="38" t="n">
        <v>-150</v>
      </c>
      <c r="L250" s="38" t="n">
        <v>55</v>
      </c>
      <c r="M250" s="38" t="n">
        <v>0</v>
      </c>
      <c r="N250" s="38" t="n">
        <v>-15</v>
      </c>
      <c r="O250" s="38" t="inlineStr">
        <is>
          <t>C3</t>
        </is>
      </c>
      <c r="P250" s="38" t="n">
        <v>23</v>
      </c>
      <c r="Q250" s="38" t="n">
        <v>43</v>
      </c>
      <c r="R250" s="38" t="n"/>
      <c r="S250" s="38" t="n"/>
      <c r="T250" s="38" t="n"/>
      <c r="U250" s="38" t="inlineStr">
        <is>
          <t>64HRc</t>
        </is>
      </c>
      <c r="V250" s="38" t="inlineStr">
        <is>
          <t>58HRc</t>
        </is>
      </c>
      <c r="W250" s="38" t="inlineStr">
        <is>
          <t>64HRc</t>
        </is>
      </c>
      <c r="X250" s="38" t="inlineStr">
        <is>
          <t>58HRc</t>
        </is>
      </c>
      <c r="Y250" s="36" t="n"/>
      <c r="Z250" s="38" t="n"/>
      <c r="AA250" s="45" t="inlineStr">
        <is>
          <t>…………..</t>
        </is>
      </c>
      <c r="AB250" s="45" t="inlineStr">
        <is>
          <t>…………..</t>
        </is>
      </c>
      <c r="AC250" s="44" t="inlineStr">
        <is>
          <t>……………</t>
        </is>
      </c>
      <c r="AD250" s="57" t="inlineStr">
        <is>
          <t>………</t>
        </is>
      </c>
    </row>
    <row r="251" ht="12.75" customHeight="1" s="123">
      <c r="A251" s="85" t="n">
        <v>249</v>
      </c>
      <c r="B251" s="30" t="inlineStr">
        <is>
          <t>LS11-D</t>
        </is>
      </c>
      <c r="C251" s="38" t="n">
        <v>18</v>
      </c>
      <c r="D251" s="38" t="n">
        <v>0</v>
      </c>
      <c r="E251" s="38" t="n">
        <v>-150</v>
      </c>
      <c r="F251" s="38" t="n">
        <v>90</v>
      </c>
      <c r="G251" s="38" t="n">
        <v>0</v>
      </c>
      <c r="H251" s="38" t="n">
        <v>-15</v>
      </c>
      <c r="I251" s="38" t="n">
        <v>18</v>
      </c>
      <c r="J251" s="38" t="n">
        <v>0</v>
      </c>
      <c r="K251" s="38" t="n">
        <v>-150</v>
      </c>
      <c r="L251" s="38" t="n">
        <v>55</v>
      </c>
      <c r="M251" s="38" t="n">
        <v>0</v>
      </c>
      <c r="N251" s="38" t="n">
        <v>-15</v>
      </c>
      <c r="O251" s="38" t="inlineStr">
        <is>
          <t>C3</t>
        </is>
      </c>
      <c r="P251" s="38" t="n">
        <v>43</v>
      </c>
      <c r="Q251" s="38" t="n">
        <v>23</v>
      </c>
      <c r="R251" s="38" t="inlineStr">
        <is>
          <t>NO</t>
        </is>
      </c>
      <c r="S251" s="38" t="inlineStr">
        <is>
          <t>NO</t>
        </is>
      </c>
      <c r="T251" s="38" t="inlineStr">
        <is>
          <t>NO</t>
        </is>
      </c>
      <c r="U251" s="38" t="n">
        <v>64</v>
      </c>
      <c r="V251" s="38" t="n">
        <v>58</v>
      </c>
      <c r="W251" s="38" t="n">
        <v>64</v>
      </c>
      <c r="X251" s="38" t="n">
        <v>58</v>
      </c>
      <c r="Y251" s="36" t="inlineStr">
        <is>
          <t>NO</t>
        </is>
      </c>
      <c r="Z251" s="38" t="inlineStr">
        <is>
          <t>NO</t>
        </is>
      </c>
      <c r="AA251" s="45" t="inlineStr">
        <is>
          <t>NO</t>
        </is>
      </c>
      <c r="AB251" s="45" t="inlineStr">
        <is>
          <t>NO</t>
        </is>
      </c>
      <c r="AC251" s="44" t="n">
        <v>42992</v>
      </c>
      <c r="AD251" s="57" t="n">
        <v>0</v>
      </c>
    </row>
    <row r="252" ht="12.75" customHeight="1" s="123">
      <c r="A252" s="85" t="n">
        <v>250</v>
      </c>
      <c r="B252" s="27" t="inlineStr">
        <is>
          <t>LS13</t>
        </is>
      </c>
      <c r="C252" s="38" t="n">
        <v>18</v>
      </c>
      <c r="D252" s="38" t="n">
        <v>0</v>
      </c>
      <c r="E252" s="38" t="n">
        <v>-150</v>
      </c>
      <c r="F252" s="38" t="n">
        <v>100</v>
      </c>
      <c r="G252" s="38" t="n">
        <v>0</v>
      </c>
      <c r="H252" s="38" t="n">
        <v>-15</v>
      </c>
      <c r="I252" s="38" t="n">
        <v>18</v>
      </c>
      <c r="J252" s="38" t="n">
        <v>0</v>
      </c>
      <c r="K252" s="38" t="n">
        <v>-150</v>
      </c>
      <c r="L252" s="38" t="n">
        <v>65</v>
      </c>
      <c r="M252" s="38" t="n">
        <v>0</v>
      </c>
      <c r="N252" s="38" t="n">
        <v>-15</v>
      </c>
      <c r="O252" s="38" t="inlineStr">
        <is>
          <t>C3</t>
        </is>
      </c>
      <c r="P252" s="38" t="n">
        <v>13</v>
      </c>
      <c r="Q252" s="38" t="n">
        <v>28</v>
      </c>
      <c r="R252" s="38" t="n"/>
      <c r="S252" s="38" t="n"/>
      <c r="T252" s="38" t="n"/>
      <c r="U252" s="38" t="inlineStr">
        <is>
          <t>58 HRC</t>
        </is>
      </c>
      <c r="V252" s="38" t="inlineStr">
        <is>
          <t>64 HRC</t>
        </is>
      </c>
      <c r="W252" s="38" t="inlineStr">
        <is>
          <t>58 HRC</t>
        </is>
      </c>
      <c r="X252" s="38" t="inlineStr">
        <is>
          <t>64 HRC</t>
        </is>
      </c>
      <c r="Y252" s="36" t="inlineStr">
        <is>
          <t>NO</t>
        </is>
      </c>
      <c r="Z252" s="38" t="inlineStr">
        <is>
          <t>NO</t>
        </is>
      </c>
      <c r="AA252" s="45" t="inlineStr">
        <is>
          <t>NO</t>
        </is>
      </c>
      <c r="AB252" s="45" t="inlineStr">
        <is>
          <t>NO</t>
        </is>
      </c>
      <c r="AC252" s="44" t="inlineStr">
        <is>
          <t>……………</t>
        </is>
      </c>
      <c r="AD252" s="57" t="inlineStr">
        <is>
          <t>………</t>
        </is>
      </c>
    </row>
    <row r="253" ht="12.75" customHeight="1" s="123">
      <c r="A253" s="85" t="n">
        <v>251</v>
      </c>
      <c r="B253" s="30" t="inlineStr">
        <is>
          <t>LS15-2RS</t>
        </is>
      </c>
      <c r="C253" s="38" t="n">
        <v>20</v>
      </c>
      <c r="D253" s="38" t="n">
        <v>0</v>
      </c>
      <c r="E253" s="38" t="n">
        <v>-150</v>
      </c>
      <c r="F253" s="38" t="n">
        <v>115</v>
      </c>
      <c r="G253" s="38" t="n">
        <v>0</v>
      </c>
      <c r="H253" s="38" t="n">
        <v>-15</v>
      </c>
      <c r="I253" s="38" t="n">
        <v>20</v>
      </c>
      <c r="J253" s="38" t="n">
        <v>0</v>
      </c>
      <c r="K253" s="38" t="n">
        <v>-150</v>
      </c>
      <c r="L253" s="38" t="n">
        <v>75</v>
      </c>
      <c r="M253" s="38" t="n">
        <v>0</v>
      </c>
      <c r="N253" s="38" t="n">
        <v>-15</v>
      </c>
      <c r="O253" s="38" t="inlineStr">
        <is>
          <t>C3</t>
        </is>
      </c>
      <c r="P253" s="38" t="n">
        <v>51</v>
      </c>
      <c r="Q253" s="38" t="n">
        <v>25</v>
      </c>
      <c r="R253" s="38" t="inlineStr">
        <is>
          <t>NO</t>
        </is>
      </c>
      <c r="S253" s="38" t="inlineStr">
        <is>
          <t>NO</t>
        </is>
      </c>
      <c r="T253" s="38" t="inlineStr">
        <is>
          <t>NO</t>
        </is>
      </c>
      <c r="U253" s="38" t="n">
        <v>64</v>
      </c>
      <c r="V253" s="38" t="n">
        <v>58</v>
      </c>
      <c r="W253" s="38" t="n">
        <v>64</v>
      </c>
      <c r="X253" s="38" t="n">
        <v>58</v>
      </c>
      <c r="Y253" s="36" t="inlineStr">
        <is>
          <t>25%-35%</t>
        </is>
      </c>
      <c r="Z253" s="38" t="inlineStr">
        <is>
          <t>Polyrex</t>
        </is>
      </c>
      <c r="AA253" s="45" t="inlineStr">
        <is>
          <t>NO</t>
        </is>
      </c>
      <c r="AB253" s="38" t="inlineStr">
        <is>
          <t>NO</t>
        </is>
      </c>
      <c r="AC253" s="44" t="n">
        <v>42655</v>
      </c>
      <c r="AD253" s="57" t="n">
        <v>0</v>
      </c>
    </row>
    <row r="254" ht="12.75" customHeight="1" s="123">
      <c r="A254" s="85" t="n">
        <v>252</v>
      </c>
      <c r="B254" s="30" t="inlineStr">
        <is>
          <t>LS16-2RS</t>
        </is>
      </c>
      <c r="C254" s="38" t="n">
        <v>22</v>
      </c>
      <c r="D254" s="38" t="n">
        <v>0</v>
      </c>
      <c r="E254" s="38" t="n">
        <v>-150</v>
      </c>
      <c r="F254" s="38" t="n">
        <v>125</v>
      </c>
      <c r="G254" s="38" t="n">
        <v>0</v>
      </c>
      <c r="H254" s="38" t="n">
        <v>-18</v>
      </c>
      <c r="I254" s="38" t="n">
        <v>22</v>
      </c>
      <c r="J254" s="38" t="n">
        <v>0</v>
      </c>
      <c r="K254" s="38" t="n">
        <v>-150</v>
      </c>
      <c r="L254" s="38" t="n">
        <v>80</v>
      </c>
      <c r="M254" s="38" t="n">
        <v>0</v>
      </c>
      <c r="N254" s="38" t="n">
        <v>-15</v>
      </c>
      <c r="O254" s="38" t="inlineStr">
        <is>
          <t>C3</t>
        </is>
      </c>
      <c r="P254" s="38" t="n">
        <v>25</v>
      </c>
      <c r="Q254" s="38" t="n">
        <v>51</v>
      </c>
      <c r="R254" s="38" t="inlineStr">
        <is>
          <t>NO</t>
        </is>
      </c>
      <c r="S254" s="38" t="inlineStr">
        <is>
          <t>NO</t>
        </is>
      </c>
      <c r="T254" s="38" t="inlineStr">
        <is>
          <t>NO</t>
        </is>
      </c>
      <c r="U254" s="38" t="n">
        <v>64</v>
      </c>
      <c r="V254" s="38" t="n">
        <v>58</v>
      </c>
      <c r="W254" s="38" t="n">
        <v>64</v>
      </c>
      <c r="X254" s="38" t="n">
        <v>58</v>
      </c>
      <c r="Y254" s="38" t="inlineStr">
        <is>
          <t>8,91 - 12,48</t>
        </is>
      </c>
      <c r="Z254" s="38" t="inlineStr">
        <is>
          <t>Polyrex</t>
        </is>
      </c>
      <c r="AA254" s="45" t="inlineStr">
        <is>
          <t>15cNm / 0,15Nm</t>
        </is>
      </c>
      <c r="AB254" s="45" t="inlineStr">
        <is>
          <t>9cNm / 0,09Nm</t>
        </is>
      </c>
      <c r="AC254" s="44" t="inlineStr">
        <is>
          <t>……………</t>
        </is>
      </c>
      <c r="AD254" s="57" t="inlineStr">
        <is>
          <t>………</t>
        </is>
      </c>
    </row>
    <row r="255" ht="12.75" customHeight="1" s="123">
      <c r="A255" s="85" t="n">
        <v>253</v>
      </c>
      <c r="B255" s="28" t="inlineStr">
        <is>
          <t>LS17-2RS</t>
        </is>
      </c>
      <c r="C255" s="38" t="n">
        <v>22</v>
      </c>
      <c r="D255" s="38" t="n">
        <v>0</v>
      </c>
      <c r="E255" s="38" t="n">
        <v>-200</v>
      </c>
      <c r="F255" s="38" t="n">
        <v>130</v>
      </c>
      <c r="G255" s="38" t="n">
        <v>0</v>
      </c>
      <c r="H255" s="38" t="n">
        <v>-18</v>
      </c>
      <c r="I255" s="38" t="n">
        <v>22</v>
      </c>
      <c r="J255" s="38" t="n">
        <v>0</v>
      </c>
      <c r="K255" s="38" t="n">
        <v>-200</v>
      </c>
      <c r="L255" s="38" t="n">
        <v>85</v>
      </c>
      <c r="M255" s="38" t="n">
        <v>0</v>
      </c>
      <c r="N255" s="38" t="n">
        <v>-20</v>
      </c>
      <c r="O255" s="38" t="inlineStr">
        <is>
          <t>C3</t>
        </is>
      </c>
      <c r="P255" s="38" t="n">
        <v>58</v>
      </c>
      <c r="Q255" s="38" t="n">
        <v>30</v>
      </c>
      <c r="R255" s="38" t="inlineStr">
        <is>
          <t>NO</t>
        </is>
      </c>
      <c r="S255" s="38" t="inlineStr">
        <is>
          <t>NO</t>
        </is>
      </c>
      <c r="T255" s="38" t="inlineStr">
        <is>
          <t>NO</t>
        </is>
      </c>
      <c r="U255" s="38" t="n">
        <v>64</v>
      </c>
      <c r="V255" s="38" t="n">
        <v>58</v>
      </c>
      <c r="W255" s="38" t="n">
        <v>64</v>
      </c>
      <c r="X255" s="38" t="n">
        <v>58</v>
      </c>
      <c r="Y255" s="36" t="inlineStr">
        <is>
          <t>25%-35%</t>
        </is>
      </c>
      <c r="Z255" s="38" t="inlineStr">
        <is>
          <t>Polyrex</t>
        </is>
      </c>
      <c r="AA255" s="45" t="inlineStr">
        <is>
          <t>NO</t>
        </is>
      </c>
      <c r="AB255" s="45" t="inlineStr">
        <is>
          <t>NO</t>
        </is>
      </c>
      <c r="AC255" s="44" t="n">
        <v>42655</v>
      </c>
      <c r="AD255" s="57" t="n">
        <v>0</v>
      </c>
    </row>
    <row r="256" ht="12.75" customHeight="1" s="123">
      <c r="A256" s="85" t="n">
        <v>254</v>
      </c>
      <c r="B256" s="27" t="inlineStr">
        <is>
          <t>LS18-2RS</t>
        </is>
      </c>
      <c r="C256" s="38" t="n">
        <v>24</v>
      </c>
      <c r="D256" s="38" t="n">
        <v>0</v>
      </c>
      <c r="E256" s="38" t="n">
        <v>-200</v>
      </c>
      <c r="F256" s="38" t="n">
        <v>140</v>
      </c>
      <c r="G256" s="38" t="n">
        <v>0</v>
      </c>
      <c r="H256" s="38" t="n">
        <v>-18</v>
      </c>
      <c r="I256" s="38" t="n">
        <v>24</v>
      </c>
      <c r="J256" s="38" t="n">
        <v>0</v>
      </c>
      <c r="K256" s="38" t="n">
        <v>-200</v>
      </c>
      <c r="L256" s="38" t="n">
        <v>90</v>
      </c>
      <c r="M256" s="38" t="n">
        <v>0</v>
      </c>
      <c r="N256" s="38" t="n">
        <v>-20</v>
      </c>
      <c r="O256" s="38" t="inlineStr">
        <is>
          <t>C0</t>
        </is>
      </c>
      <c r="P256" s="38" t="n">
        <v>36</v>
      </c>
      <c r="Q256" s="38" t="n">
        <v>12</v>
      </c>
      <c r="R256" s="38" t="inlineStr">
        <is>
          <t>NO</t>
        </is>
      </c>
      <c r="S256" s="38" t="inlineStr">
        <is>
          <t>NO</t>
        </is>
      </c>
      <c r="T256" s="38" t="inlineStr">
        <is>
          <t>NO</t>
        </is>
      </c>
      <c r="U256" s="38" t="n">
        <v>64</v>
      </c>
      <c r="V256" s="38" t="n">
        <v>58</v>
      </c>
      <c r="W256" s="38" t="n">
        <v>64</v>
      </c>
      <c r="X256" s="38" t="n">
        <v>58</v>
      </c>
      <c r="Y256" s="36" t="inlineStr">
        <is>
          <t>25%-35%</t>
        </is>
      </c>
      <c r="Z256" s="38" t="inlineStr">
        <is>
          <t>Polyrex</t>
        </is>
      </c>
      <c r="AA256" s="45" t="inlineStr">
        <is>
          <t>30cNm / 0,30Nm</t>
        </is>
      </c>
      <c r="AB256" s="45" t="inlineStr">
        <is>
          <t>20cNm / 0,20Nm</t>
        </is>
      </c>
      <c r="AC256" s="44" t="n">
        <v>42655</v>
      </c>
      <c r="AD256" s="57" t="n">
        <v>0</v>
      </c>
    </row>
    <row r="257" ht="12.75" customHeight="1" s="123">
      <c r="A257" s="85" t="n">
        <v>255</v>
      </c>
      <c r="B257" s="30" t="inlineStr">
        <is>
          <t>LS20-2RS</t>
        </is>
      </c>
      <c r="C257" s="38" t="n">
        <v>24</v>
      </c>
      <c r="D257" s="38" t="n">
        <v>0</v>
      </c>
      <c r="E257" s="38" t="n">
        <v>-200</v>
      </c>
      <c r="F257" s="38" t="n">
        <v>150</v>
      </c>
      <c r="G257" s="38" t="n">
        <v>0</v>
      </c>
      <c r="H257" s="38" t="n">
        <v>-18</v>
      </c>
      <c r="I257" s="38" t="n">
        <v>24</v>
      </c>
      <c r="J257" s="38" t="n">
        <v>0</v>
      </c>
      <c r="K257" s="38" t="n">
        <v>-20</v>
      </c>
      <c r="L257" s="38" t="n">
        <v>100</v>
      </c>
      <c r="M257" s="38" t="n">
        <v>0</v>
      </c>
      <c r="N257" s="38" t="n">
        <v>-20</v>
      </c>
      <c r="O257" s="38" t="inlineStr">
        <is>
          <t>C3</t>
        </is>
      </c>
      <c r="P257" s="38" t="n">
        <v>58</v>
      </c>
      <c r="Q257" s="38" t="n">
        <v>30</v>
      </c>
      <c r="R257" s="38" t="inlineStr">
        <is>
          <t>NO</t>
        </is>
      </c>
      <c r="S257" s="38" t="inlineStr">
        <is>
          <t>NO</t>
        </is>
      </c>
      <c r="T257" s="38" t="inlineStr">
        <is>
          <t>NO</t>
        </is>
      </c>
      <c r="U257" s="38" t="n">
        <v>64</v>
      </c>
      <c r="V257" s="38" t="n">
        <v>58</v>
      </c>
      <c r="W257" s="38" t="n">
        <v>64</v>
      </c>
      <c r="X257" s="38" t="n">
        <v>58</v>
      </c>
      <c r="Y257" s="36" t="inlineStr">
        <is>
          <t>25%-35%</t>
        </is>
      </c>
      <c r="Z257" s="38" t="inlineStr">
        <is>
          <t>Polyrex</t>
        </is>
      </c>
      <c r="AA257" s="45" t="inlineStr">
        <is>
          <t>NO</t>
        </is>
      </c>
      <c r="AB257" s="38" t="inlineStr">
        <is>
          <t>NO</t>
        </is>
      </c>
      <c r="AC257" s="44" t="n">
        <v>42655</v>
      </c>
      <c r="AD257" s="57" t="n">
        <v>0</v>
      </c>
    </row>
    <row r="258" ht="12.75" customHeight="1" s="123">
      <c r="A258" s="85" t="n">
        <v>256</v>
      </c>
      <c r="B258" s="30" t="inlineStr">
        <is>
          <t>LS24-2RS</t>
        </is>
      </c>
      <c r="C258" s="38" t="n">
        <v>24</v>
      </c>
      <c r="D258" s="38" t="n">
        <v>0</v>
      </c>
      <c r="E258" s="38" t="n">
        <v>-200</v>
      </c>
      <c r="F258" s="38" t="n">
        <v>140</v>
      </c>
      <c r="G258" s="38" t="n">
        <v>0</v>
      </c>
      <c r="H258" s="38" t="n">
        <v>-18</v>
      </c>
      <c r="I258" s="38" t="n">
        <v>24</v>
      </c>
      <c r="J258" s="38" t="n">
        <v>0</v>
      </c>
      <c r="K258" s="38" t="n">
        <v>-200</v>
      </c>
      <c r="L258" s="38" t="n">
        <v>90</v>
      </c>
      <c r="M258" s="38" t="n">
        <v>0</v>
      </c>
      <c r="N258" s="38" t="n">
        <v>-20</v>
      </c>
      <c r="O258" s="38" t="inlineStr">
        <is>
          <t>C3</t>
        </is>
      </c>
      <c r="P258" s="38" t="n">
        <v>58</v>
      </c>
      <c r="Q258" s="38" t="n">
        <v>30</v>
      </c>
      <c r="R258" s="38" t="inlineStr">
        <is>
          <t>NO</t>
        </is>
      </c>
      <c r="S258" s="38" t="inlineStr">
        <is>
          <t>NO</t>
        </is>
      </c>
      <c r="T258" s="38" t="inlineStr">
        <is>
          <t>NO</t>
        </is>
      </c>
      <c r="U258" s="38" t="n">
        <v>64</v>
      </c>
      <c r="V258" s="38" t="n">
        <v>58</v>
      </c>
      <c r="W258" s="38" t="n">
        <v>64</v>
      </c>
      <c r="X258" s="38" t="n">
        <v>58</v>
      </c>
      <c r="Y258" s="36" t="inlineStr">
        <is>
          <t>25%-35%</t>
        </is>
      </c>
      <c r="Z258" s="38" t="inlineStr">
        <is>
          <t>Polyrex</t>
        </is>
      </c>
      <c r="AA258" s="45" t="inlineStr">
        <is>
          <t>NO</t>
        </is>
      </c>
      <c r="AB258" s="38" t="inlineStr">
        <is>
          <t>NO</t>
        </is>
      </c>
      <c r="AC258" s="44" t="n">
        <v>42655</v>
      </c>
      <c r="AD258" s="57" t="n">
        <v>0</v>
      </c>
    </row>
    <row r="259" ht="12.75" customHeight="1" s="123">
      <c r="A259" s="85" t="n">
        <v>257</v>
      </c>
      <c r="B259" s="30" t="inlineStr">
        <is>
          <t>B&amp;P-041-LS26-2RS-ZJYH</t>
        </is>
      </c>
      <c r="C259" s="38" t="n">
        <v>33</v>
      </c>
      <c r="D259" s="38" t="n">
        <v>0</v>
      </c>
      <c r="E259" s="38" t="n">
        <v>-250</v>
      </c>
      <c r="F259" s="38" t="n">
        <v>200</v>
      </c>
      <c r="G259" s="38" t="n">
        <v>0</v>
      </c>
      <c r="H259" s="38" t="n">
        <v>-30</v>
      </c>
      <c r="I259" s="38" t="n">
        <v>33</v>
      </c>
      <c r="J259" s="38" t="n">
        <v>0</v>
      </c>
      <c r="K259" s="38" t="n">
        <v>-250</v>
      </c>
      <c r="L259" s="38" t="n">
        <v>130</v>
      </c>
      <c r="M259" s="38" t="n">
        <v>0</v>
      </c>
      <c r="N259" s="38" t="n">
        <v>-25</v>
      </c>
      <c r="O259" s="38" t="inlineStr">
        <is>
          <t>C3</t>
        </is>
      </c>
      <c r="P259" s="38" t="n">
        <v>81</v>
      </c>
      <c r="Q259" s="38" t="n">
        <v>41</v>
      </c>
      <c r="R259" s="38" t="inlineStr">
        <is>
          <t>NO</t>
        </is>
      </c>
      <c r="S259" s="38" t="inlineStr">
        <is>
          <t>NO</t>
        </is>
      </c>
      <c r="T259" s="38" t="inlineStr">
        <is>
          <t>NO</t>
        </is>
      </c>
      <c r="U259" s="38" t="n">
        <v>64</v>
      </c>
      <c r="V259" s="38" t="n">
        <v>58</v>
      </c>
      <c r="W259" s="38" t="n">
        <v>64</v>
      </c>
      <c r="X259" s="38" t="n">
        <v>58</v>
      </c>
      <c r="Y259" s="36" t="inlineStr">
        <is>
          <t>25%-35%</t>
        </is>
      </c>
      <c r="Z259" s="38" t="inlineStr">
        <is>
          <t>Polyrex</t>
        </is>
      </c>
      <c r="AA259" s="45" t="inlineStr">
        <is>
          <t>NO</t>
        </is>
      </c>
      <c r="AB259" s="38" t="inlineStr">
        <is>
          <t>NO</t>
        </is>
      </c>
      <c r="AC259" s="44" t="n">
        <v>45236</v>
      </c>
      <c r="AD259" s="57" t="n">
        <v>0</v>
      </c>
    </row>
    <row r="260" ht="12.75" customHeight="1" s="123">
      <c r="A260" s="85" t="n">
        <v>258</v>
      </c>
      <c r="B260" s="31" t="inlineStr">
        <is>
          <t>B&amp;P-041-LS28-2RS-HLBR</t>
        </is>
      </c>
      <c r="C260" s="38" t="n">
        <v>33</v>
      </c>
      <c r="D260" s="38" t="n">
        <v>0</v>
      </c>
      <c r="E260" s="38" t="n">
        <v>-250</v>
      </c>
      <c r="F260" s="38" t="n">
        <v>210</v>
      </c>
      <c r="G260" s="38" t="n">
        <v>0</v>
      </c>
      <c r="H260" s="38" t="n">
        <v>-30</v>
      </c>
      <c r="I260" s="38" t="n">
        <v>33</v>
      </c>
      <c r="J260" s="38" t="n">
        <v>0</v>
      </c>
      <c r="K260" s="38" t="n">
        <v>-250</v>
      </c>
      <c r="L260" s="38" t="n">
        <v>140</v>
      </c>
      <c r="M260" s="38" t="n">
        <v>0</v>
      </c>
      <c r="N260" s="38" t="n">
        <v>-25</v>
      </c>
      <c r="O260" s="38" t="inlineStr">
        <is>
          <t>C3</t>
        </is>
      </c>
      <c r="P260" s="38" t="n">
        <v>81</v>
      </c>
      <c r="Q260" s="38" t="n">
        <v>41</v>
      </c>
      <c r="R260" s="38" t="inlineStr">
        <is>
          <t>NO</t>
        </is>
      </c>
      <c r="S260" s="38" t="inlineStr">
        <is>
          <t>NO</t>
        </is>
      </c>
      <c r="T260" s="38" t="inlineStr">
        <is>
          <t>NO</t>
        </is>
      </c>
      <c r="U260" s="38" t="n">
        <v>64</v>
      </c>
      <c r="V260" s="38" t="n">
        <v>58</v>
      </c>
      <c r="W260" s="38" t="n">
        <v>64</v>
      </c>
      <c r="X260" s="38" t="n">
        <v>58</v>
      </c>
      <c r="Y260" s="36" t="inlineStr">
        <is>
          <t>25%-35%</t>
        </is>
      </c>
      <c r="Z260" s="38" t="inlineStr">
        <is>
          <t>Polyrex</t>
        </is>
      </c>
      <c r="AA260" s="45" t="n"/>
      <c r="AB260" s="38" t="n"/>
      <c r="AC260" s="44" t="n">
        <v>44516</v>
      </c>
      <c r="AD260" s="57" t="inlineStr">
        <is>
          <t>A</t>
        </is>
      </c>
    </row>
    <row r="261" ht="12.75" customHeight="1" s="123">
      <c r="A261" s="85" t="n">
        <v>259</v>
      </c>
      <c r="B261" s="30" t="inlineStr">
        <is>
          <t>MG-206RR3</t>
        </is>
      </c>
      <c r="C261" s="38" t="n">
        <v>19</v>
      </c>
      <c r="D261" s="38" t="n">
        <v>25</v>
      </c>
      <c r="E261" s="38" t="n">
        <v>25</v>
      </c>
      <c r="F261" s="38" t="n">
        <v>70</v>
      </c>
      <c r="G261" s="38" t="n">
        <v>0</v>
      </c>
      <c r="H261" s="38" t="n">
        <v>-11</v>
      </c>
      <c r="I261" s="38" t="n">
        <v>21.75</v>
      </c>
      <c r="J261" s="38" t="n">
        <v>0</v>
      </c>
      <c r="K261" s="38" t="n">
        <v>-120</v>
      </c>
      <c r="L261" s="38" t="n">
        <v>24</v>
      </c>
      <c r="M261" s="38" t="n">
        <v>15</v>
      </c>
      <c r="N261" s="38" t="n">
        <v>5</v>
      </c>
      <c r="O261" s="38" t="inlineStr">
        <is>
          <t>C0</t>
        </is>
      </c>
      <c r="P261" s="38" t="n">
        <v>5</v>
      </c>
      <c r="Q261" s="38" t="n">
        <v>20</v>
      </c>
      <c r="R261" s="38" t="inlineStr">
        <is>
          <t>NO</t>
        </is>
      </c>
      <c r="S261" s="38" t="inlineStr">
        <is>
          <t>NO</t>
        </is>
      </c>
      <c r="T261" s="38" t="inlineStr">
        <is>
          <t>NO</t>
        </is>
      </c>
      <c r="U261" s="38" t="n">
        <v>64</v>
      </c>
      <c r="V261" s="38" t="n">
        <v>58</v>
      </c>
      <c r="W261" s="38" t="n">
        <v>64</v>
      </c>
      <c r="X261" s="38" t="n">
        <v>58</v>
      </c>
      <c r="Y261" s="42" t="inlineStr">
        <is>
          <t>3,68gr</t>
        </is>
      </c>
      <c r="Z261" s="38" t="inlineStr">
        <is>
          <t>Microlube GL 262</t>
        </is>
      </c>
      <c r="AA261" s="45" t="inlineStr">
        <is>
          <t>36cNm/0,36Nm</t>
        </is>
      </c>
      <c r="AB261" s="45" t="inlineStr">
        <is>
          <t>24cNm/0,24Nm</t>
        </is>
      </c>
      <c r="AC261" s="44" t="inlineStr">
        <is>
          <t>……………</t>
        </is>
      </c>
      <c r="AD261" s="57" t="inlineStr">
        <is>
          <t>………</t>
        </is>
      </c>
    </row>
    <row r="262" ht="12.75" customHeight="1" s="123">
      <c r="A262" s="85" t="n">
        <v>260</v>
      </c>
      <c r="B262" s="30" t="inlineStr">
        <is>
          <t>MG206RR3-01</t>
        </is>
      </c>
      <c r="C262" s="38" t="n">
        <v>19</v>
      </c>
      <c r="D262" s="38" t="n">
        <v>25</v>
      </c>
      <c r="E262" s="38" t="n">
        <v>25</v>
      </c>
      <c r="F262" s="38" t="n">
        <v>70</v>
      </c>
      <c r="G262" s="38" t="n">
        <v>0</v>
      </c>
      <c r="H262" s="38" t="n">
        <v>-11</v>
      </c>
      <c r="I262" s="38" t="inlineStr">
        <is>
          <t>NO</t>
        </is>
      </c>
      <c r="J262" s="38" t="inlineStr">
        <is>
          <t>NO</t>
        </is>
      </c>
      <c r="K262" s="38" t="inlineStr">
        <is>
          <t>NO</t>
        </is>
      </c>
      <c r="L262" s="38" t="inlineStr">
        <is>
          <t>NO</t>
        </is>
      </c>
      <c r="M262" s="38" t="inlineStr">
        <is>
          <t>NO</t>
        </is>
      </c>
      <c r="N262" s="38" t="inlineStr">
        <is>
          <t>NO</t>
        </is>
      </c>
      <c r="O262" s="38" t="inlineStr">
        <is>
          <t>NO</t>
        </is>
      </c>
      <c r="P262" s="38" t="inlineStr">
        <is>
          <t>NO</t>
        </is>
      </c>
      <c r="Q262" s="38" t="inlineStr">
        <is>
          <t>NO</t>
        </is>
      </c>
      <c r="R262" s="38" t="inlineStr">
        <is>
          <t>NO</t>
        </is>
      </c>
      <c r="S262" s="38" t="inlineStr">
        <is>
          <t>NO</t>
        </is>
      </c>
      <c r="T262" s="38" t="inlineStr">
        <is>
          <t>NO</t>
        </is>
      </c>
      <c r="U262" s="38" t="inlineStr">
        <is>
          <t>NO</t>
        </is>
      </c>
      <c r="V262" s="38" t="inlineStr">
        <is>
          <t>NO</t>
        </is>
      </c>
      <c r="W262" s="38" t="n">
        <v>64</v>
      </c>
      <c r="X262" s="38" t="n">
        <v>58</v>
      </c>
      <c r="Y262" s="42" t="inlineStr">
        <is>
          <t>NO</t>
        </is>
      </c>
      <c r="Z262" s="38" t="inlineStr">
        <is>
          <t>NO</t>
        </is>
      </c>
      <c r="AA262" s="45" t="inlineStr">
        <is>
          <t>NO</t>
        </is>
      </c>
      <c r="AB262" s="45" t="inlineStr">
        <is>
          <t>NO</t>
        </is>
      </c>
      <c r="AC262" s="52" t="n">
        <v>41459</v>
      </c>
      <c r="AD262" s="51" t="n">
        <v>0</v>
      </c>
    </row>
    <row r="263" ht="12.75" customHeight="1" s="123">
      <c r="A263" s="85" t="n">
        <v>261</v>
      </c>
      <c r="B263" s="30" t="inlineStr">
        <is>
          <t>MG206RR3-02</t>
        </is>
      </c>
      <c r="C263" s="38" t="inlineStr">
        <is>
          <t>NO</t>
        </is>
      </c>
      <c r="D263" s="38" t="inlineStr">
        <is>
          <t>NO</t>
        </is>
      </c>
      <c r="E263" s="38" t="inlineStr">
        <is>
          <t>NO</t>
        </is>
      </c>
      <c r="F263" s="38" t="inlineStr">
        <is>
          <t>NO</t>
        </is>
      </c>
      <c r="G263" s="38" t="inlineStr">
        <is>
          <t>NO</t>
        </is>
      </c>
      <c r="H263" s="38" t="inlineStr">
        <is>
          <t>NO</t>
        </is>
      </c>
      <c r="I263" s="38" t="n">
        <v>21.75</v>
      </c>
      <c r="J263" s="38" t="n">
        <v>0</v>
      </c>
      <c r="K263" s="38" t="n">
        <v>-120</v>
      </c>
      <c r="L263" s="38" t="n">
        <v>24</v>
      </c>
      <c r="M263" s="38" t="n">
        <v>15</v>
      </c>
      <c r="N263" s="38" t="n">
        <v>5</v>
      </c>
      <c r="O263" s="38" t="inlineStr">
        <is>
          <t>NO</t>
        </is>
      </c>
      <c r="P263" s="38" t="inlineStr">
        <is>
          <t>NO</t>
        </is>
      </c>
      <c r="Q263" s="38" t="inlineStr">
        <is>
          <t>NO</t>
        </is>
      </c>
      <c r="R263" s="38" t="inlineStr">
        <is>
          <t>NO</t>
        </is>
      </c>
      <c r="S263" s="38" t="inlineStr">
        <is>
          <t>NO</t>
        </is>
      </c>
      <c r="T263" s="38" t="inlineStr">
        <is>
          <t>NO</t>
        </is>
      </c>
      <c r="U263" s="38" t="n">
        <v>64</v>
      </c>
      <c r="V263" s="38" t="n">
        <v>58</v>
      </c>
      <c r="W263" s="38" t="inlineStr">
        <is>
          <t>NO</t>
        </is>
      </c>
      <c r="X263" s="38" t="inlineStr">
        <is>
          <t>NO</t>
        </is>
      </c>
      <c r="Y263" s="42" t="inlineStr">
        <is>
          <t>NO</t>
        </is>
      </c>
      <c r="Z263" s="38" t="inlineStr">
        <is>
          <t>NO</t>
        </is>
      </c>
      <c r="AA263" s="45" t="inlineStr">
        <is>
          <t>NO</t>
        </is>
      </c>
      <c r="AB263" s="45" t="inlineStr">
        <is>
          <t>NO</t>
        </is>
      </c>
      <c r="AC263" s="44" t="inlineStr">
        <is>
          <t>……………</t>
        </is>
      </c>
      <c r="AD263" s="57" t="inlineStr">
        <is>
          <t>………</t>
        </is>
      </c>
    </row>
    <row r="264" ht="12.75" customHeight="1" s="123">
      <c r="A264" s="85" t="n">
        <v>262</v>
      </c>
      <c r="B264" s="30" t="inlineStr">
        <is>
          <t>MG206RR3-A1</t>
        </is>
      </c>
      <c r="C264" s="38" t="n">
        <v>19.2</v>
      </c>
      <c r="D264" s="38" t="n">
        <v>20</v>
      </c>
      <c r="E264" s="38" t="n">
        <v>20</v>
      </c>
      <c r="F264" s="38" t="n">
        <v>70.2</v>
      </c>
      <c r="G264" s="38" t="n">
        <v>30</v>
      </c>
      <c r="H264" s="38" t="n">
        <v>30</v>
      </c>
      <c r="I264" s="38" t="inlineStr">
        <is>
          <t>NO</t>
        </is>
      </c>
      <c r="J264" s="38" t="inlineStr">
        <is>
          <t>NO</t>
        </is>
      </c>
      <c r="K264" s="38" t="inlineStr">
        <is>
          <t>NO</t>
        </is>
      </c>
      <c r="L264" s="38" t="inlineStr">
        <is>
          <t>NO</t>
        </is>
      </c>
      <c r="M264" s="38" t="inlineStr">
        <is>
          <t>NO</t>
        </is>
      </c>
      <c r="N264" s="38" t="inlineStr">
        <is>
          <t>NO</t>
        </is>
      </c>
      <c r="O264" s="38" t="inlineStr">
        <is>
          <t>NO</t>
        </is>
      </c>
      <c r="P264" s="38" t="inlineStr">
        <is>
          <t>NO</t>
        </is>
      </c>
      <c r="Q264" s="38" t="inlineStr">
        <is>
          <t>NO</t>
        </is>
      </c>
      <c r="R264" s="38" t="inlineStr">
        <is>
          <t>NO</t>
        </is>
      </c>
      <c r="S264" s="38" t="inlineStr">
        <is>
          <t>NO</t>
        </is>
      </c>
      <c r="T264" s="38" t="inlineStr">
        <is>
          <t>NO</t>
        </is>
      </c>
      <c r="U264" s="38" t="inlineStr">
        <is>
          <t>NO</t>
        </is>
      </c>
      <c r="V264" s="38" t="inlineStr">
        <is>
          <t>NO</t>
        </is>
      </c>
      <c r="W264" s="38" t="n">
        <v>64</v>
      </c>
      <c r="X264" s="38" t="n">
        <v>58</v>
      </c>
      <c r="Y264" s="38" t="inlineStr">
        <is>
          <t>NO</t>
        </is>
      </c>
      <c r="Z264" s="38" t="inlineStr">
        <is>
          <t>NO</t>
        </is>
      </c>
      <c r="AA264" s="45" t="inlineStr">
        <is>
          <t>NO</t>
        </is>
      </c>
      <c r="AB264" s="38" t="inlineStr">
        <is>
          <t>NO</t>
        </is>
      </c>
      <c r="AC264" s="44" t="n">
        <v>41465</v>
      </c>
      <c r="AD264" s="57" t="n">
        <v>0</v>
      </c>
    </row>
    <row r="265" ht="12.75" customHeight="1" s="123">
      <c r="A265" s="85" t="n">
        <v>263</v>
      </c>
      <c r="B265" s="30" t="inlineStr">
        <is>
          <t>MG206RR3-A2</t>
        </is>
      </c>
      <c r="C265" s="38" t="inlineStr">
        <is>
          <t>NO</t>
        </is>
      </c>
      <c r="D265" s="38" t="inlineStr">
        <is>
          <t>NO</t>
        </is>
      </c>
      <c r="E265" s="38" t="inlineStr">
        <is>
          <t>NO</t>
        </is>
      </c>
      <c r="F265" s="38" t="inlineStr">
        <is>
          <t>NO</t>
        </is>
      </c>
      <c r="G265" s="38" t="inlineStr">
        <is>
          <t>NO</t>
        </is>
      </c>
      <c r="H265" s="38" t="inlineStr">
        <is>
          <t>NO</t>
        </is>
      </c>
      <c r="I265" s="38" t="n">
        <v>21.95</v>
      </c>
      <c r="J265" s="38" t="n">
        <v>20</v>
      </c>
      <c r="K265" s="38" t="n">
        <v>20</v>
      </c>
      <c r="L265" s="38" t="n">
        <v>23.78</v>
      </c>
      <c r="M265" s="38" t="n">
        <v>40</v>
      </c>
      <c r="N265" s="38" t="n">
        <v>40</v>
      </c>
      <c r="O265" s="38" t="inlineStr">
        <is>
          <t>NO</t>
        </is>
      </c>
      <c r="P265" s="38" t="inlineStr">
        <is>
          <t>NO</t>
        </is>
      </c>
      <c r="Q265" s="38" t="inlineStr">
        <is>
          <t>NO</t>
        </is>
      </c>
      <c r="R265" s="38" t="inlineStr">
        <is>
          <t>NO</t>
        </is>
      </c>
      <c r="S265" s="38" t="inlineStr">
        <is>
          <t>NO</t>
        </is>
      </c>
      <c r="T265" s="38" t="inlineStr">
        <is>
          <t>NO</t>
        </is>
      </c>
      <c r="U265" s="38" t="n">
        <v>64</v>
      </c>
      <c r="V265" s="38" t="n">
        <v>58</v>
      </c>
      <c r="W265" s="38" t="inlineStr">
        <is>
          <t>NO</t>
        </is>
      </c>
      <c r="X265" s="38" t="inlineStr">
        <is>
          <t>NO</t>
        </is>
      </c>
      <c r="Y265" s="38" t="inlineStr">
        <is>
          <t>NO</t>
        </is>
      </c>
      <c r="Z265" s="38" t="inlineStr">
        <is>
          <t>NO</t>
        </is>
      </c>
      <c r="AA265" s="45" t="inlineStr">
        <is>
          <t>NO</t>
        </is>
      </c>
      <c r="AB265" s="38" t="inlineStr">
        <is>
          <t>NO</t>
        </is>
      </c>
      <c r="AC265" s="44" t="n">
        <v>41465</v>
      </c>
      <c r="AD265" s="57" t="n">
        <v>0</v>
      </c>
    </row>
    <row r="266" ht="12.75" customHeight="1" s="123">
      <c r="A266" s="85" t="n">
        <v>264</v>
      </c>
      <c r="B266" s="30" t="inlineStr">
        <is>
          <t>MG5306RR3-01</t>
        </is>
      </c>
      <c r="C266" s="38" t="n">
        <v>30</v>
      </c>
      <c r="D266" s="38" t="n">
        <v>0</v>
      </c>
      <c r="E266" s="38" t="n">
        <v>-120</v>
      </c>
      <c r="F266" s="38" t="n">
        <v>70</v>
      </c>
      <c r="G266" s="38" t="n">
        <v>0</v>
      </c>
      <c r="H266" s="38" t="n">
        <v>-11</v>
      </c>
      <c r="I266" s="38" t="inlineStr">
        <is>
          <t>NO</t>
        </is>
      </c>
      <c r="J266" s="38" t="inlineStr">
        <is>
          <t>NO</t>
        </is>
      </c>
      <c r="K266" s="38" t="inlineStr">
        <is>
          <t>NO</t>
        </is>
      </c>
      <c r="L266" s="38" t="inlineStr">
        <is>
          <t>NO</t>
        </is>
      </c>
      <c r="M266" s="38" t="inlineStr">
        <is>
          <t>NO</t>
        </is>
      </c>
      <c r="N266" s="38" t="inlineStr">
        <is>
          <t>NO</t>
        </is>
      </c>
      <c r="O266" s="38" t="inlineStr">
        <is>
          <t>NO</t>
        </is>
      </c>
      <c r="P266" s="38" t="inlineStr">
        <is>
          <t>NO</t>
        </is>
      </c>
      <c r="Q266" s="38" t="inlineStr">
        <is>
          <t>NO</t>
        </is>
      </c>
      <c r="R266" s="38" t="inlineStr">
        <is>
          <t>NO</t>
        </is>
      </c>
      <c r="S266" s="38" t="inlineStr">
        <is>
          <t>NO</t>
        </is>
      </c>
      <c r="T266" s="38" t="inlineStr">
        <is>
          <t>NO</t>
        </is>
      </c>
      <c r="U266" s="38" t="inlineStr">
        <is>
          <t>NO</t>
        </is>
      </c>
      <c r="V266" s="38" t="inlineStr">
        <is>
          <t>NO</t>
        </is>
      </c>
      <c r="W266" s="38" t="n">
        <v>64</v>
      </c>
      <c r="X266" s="38" t="n">
        <v>58</v>
      </c>
      <c r="Y266" s="38" t="inlineStr">
        <is>
          <t>NO</t>
        </is>
      </c>
      <c r="Z266" s="38" t="inlineStr">
        <is>
          <t>NO</t>
        </is>
      </c>
      <c r="AA266" s="45" t="inlineStr">
        <is>
          <t>NO</t>
        </is>
      </c>
      <c r="AB266" s="38" t="inlineStr">
        <is>
          <t>NO</t>
        </is>
      </c>
      <c r="AC266" s="44" t="inlineStr">
        <is>
          <t>……………</t>
        </is>
      </c>
      <c r="AD266" s="57" t="inlineStr">
        <is>
          <t>………</t>
        </is>
      </c>
    </row>
    <row r="267" ht="12.75" customHeight="1" s="123">
      <c r="A267" s="85" t="n">
        <v>265</v>
      </c>
      <c r="B267" s="30" t="inlineStr">
        <is>
          <t>MG5306RR3-02</t>
        </is>
      </c>
      <c r="C267" s="38" t="inlineStr">
        <is>
          <t>NO</t>
        </is>
      </c>
      <c r="D267" s="38" t="inlineStr">
        <is>
          <t>NO</t>
        </is>
      </c>
      <c r="E267" s="38" t="inlineStr">
        <is>
          <t>NO</t>
        </is>
      </c>
      <c r="F267" s="38" t="inlineStr">
        <is>
          <t>NO</t>
        </is>
      </c>
      <c r="G267" s="38" t="inlineStr">
        <is>
          <t>NO</t>
        </is>
      </c>
      <c r="H267" s="38" t="inlineStr">
        <is>
          <t>NO</t>
        </is>
      </c>
      <c r="I267" s="38" t="n">
        <v>35</v>
      </c>
      <c r="J267" s="38" t="n">
        <v>0</v>
      </c>
      <c r="K267" s="38" t="n">
        <v>-120</v>
      </c>
      <c r="L267" s="38" t="n">
        <v>24</v>
      </c>
      <c r="M267" s="38" t="n">
        <v>30</v>
      </c>
      <c r="N267" s="38" t="n">
        <v>-20</v>
      </c>
      <c r="O267" s="38" t="inlineStr">
        <is>
          <t>NO</t>
        </is>
      </c>
      <c r="P267" s="38" t="inlineStr">
        <is>
          <t>NO</t>
        </is>
      </c>
      <c r="Q267" s="38" t="inlineStr">
        <is>
          <t>NO</t>
        </is>
      </c>
      <c r="R267" s="38" t="inlineStr">
        <is>
          <t>NO</t>
        </is>
      </c>
      <c r="S267" s="38" t="inlineStr">
        <is>
          <t>NO</t>
        </is>
      </c>
      <c r="T267" s="38" t="inlineStr">
        <is>
          <t>NO</t>
        </is>
      </c>
      <c r="U267" s="38" t="inlineStr">
        <is>
          <t>NO</t>
        </is>
      </c>
      <c r="V267" s="38" t="inlineStr">
        <is>
          <t>NO</t>
        </is>
      </c>
      <c r="W267" s="38" t="n">
        <v>58</v>
      </c>
      <c r="X267" s="38" t="n">
        <v>64</v>
      </c>
      <c r="Y267" s="38" t="inlineStr">
        <is>
          <t>NO</t>
        </is>
      </c>
      <c r="Z267" s="38" t="inlineStr">
        <is>
          <t>NO</t>
        </is>
      </c>
      <c r="AA267" s="45" t="inlineStr">
        <is>
          <t>NO</t>
        </is>
      </c>
      <c r="AB267" s="38" t="inlineStr">
        <is>
          <t>NO</t>
        </is>
      </c>
      <c r="AC267" s="44" t="inlineStr">
        <is>
          <t>……………</t>
        </is>
      </c>
      <c r="AD267" s="57" t="inlineStr">
        <is>
          <t>………</t>
        </is>
      </c>
    </row>
    <row r="268" ht="12.75" customHeight="1" s="123">
      <c r="A268" s="85" t="n">
        <v>266</v>
      </c>
      <c r="B268" s="30" t="inlineStr">
        <is>
          <t>MS00-2RLD</t>
        </is>
      </c>
      <c r="C268" s="38" t="n">
        <v>9</v>
      </c>
      <c r="D268" s="38" t="n">
        <v>0</v>
      </c>
      <c r="E268" s="38" t="n">
        <v>-120</v>
      </c>
      <c r="F268" s="38" t="n">
        <v>30</v>
      </c>
      <c r="G268" s="38" t="n">
        <v>0</v>
      </c>
      <c r="H268" s="38" t="n">
        <v>-9</v>
      </c>
      <c r="I268" s="38" t="n">
        <v>9</v>
      </c>
      <c r="J268" s="38" t="n">
        <v>0</v>
      </c>
      <c r="K268" s="38" t="n">
        <v>-120</v>
      </c>
      <c r="L268" s="38" t="n">
        <v>10</v>
      </c>
      <c r="M268" s="38" t="n">
        <v>0</v>
      </c>
      <c r="N268" s="38" t="n">
        <v>-8</v>
      </c>
      <c r="O268" s="38" t="inlineStr">
        <is>
          <t>C3</t>
        </is>
      </c>
      <c r="P268" s="38" t="n">
        <v>25</v>
      </c>
      <c r="Q268" s="38" t="n">
        <v>11</v>
      </c>
      <c r="R268" s="38" t="inlineStr">
        <is>
          <t>NO</t>
        </is>
      </c>
      <c r="S268" s="38" t="inlineStr">
        <is>
          <t>NO</t>
        </is>
      </c>
      <c r="T268" s="38" t="inlineStr">
        <is>
          <t>NO</t>
        </is>
      </c>
      <c r="U268" s="38" t="n">
        <v>64</v>
      </c>
      <c r="V268" s="38" t="n">
        <v>58</v>
      </c>
      <c r="W268" s="38" t="n">
        <v>64</v>
      </c>
      <c r="X268" s="38" t="n">
        <v>58</v>
      </c>
      <c r="Y268" s="38" t="inlineStr">
        <is>
          <t>0,278-0,389</t>
        </is>
      </c>
      <c r="Z268" s="38" t="inlineStr">
        <is>
          <t>Polyrex</t>
        </is>
      </c>
      <c r="AA268" s="45" t="inlineStr">
        <is>
          <t>1,5cNm / 0,015Nm</t>
        </is>
      </c>
      <c r="AB268" s="45" t="inlineStr">
        <is>
          <t>0,6cNm / 0,006Nm</t>
        </is>
      </c>
      <c r="AC268" s="44" t="n">
        <v>42272</v>
      </c>
      <c r="AD268" s="57" t="n">
        <v>0</v>
      </c>
    </row>
    <row r="269" ht="12.75" customHeight="1" s="123">
      <c r="A269" s="85" t="n">
        <v>267</v>
      </c>
      <c r="B269" s="30" t="inlineStr">
        <is>
          <t>MS00-2RST</t>
        </is>
      </c>
      <c r="C269" s="38" t="n">
        <v>9</v>
      </c>
      <c r="D269" s="38" t="n">
        <v>0</v>
      </c>
      <c r="E269" s="38" t="n">
        <v>-120</v>
      </c>
      <c r="F269" s="38" t="n">
        <v>30</v>
      </c>
      <c r="G269" s="38" t="n">
        <v>0</v>
      </c>
      <c r="H269" s="38" t="n">
        <v>-9</v>
      </c>
      <c r="I269" s="38" t="n">
        <v>9</v>
      </c>
      <c r="J269" s="38" t="n">
        <v>0</v>
      </c>
      <c r="K269" s="38" t="n">
        <v>-120</v>
      </c>
      <c r="L269" s="38" t="n">
        <v>10</v>
      </c>
      <c r="M269" s="38" t="n">
        <v>0</v>
      </c>
      <c r="N269" s="38" t="n">
        <v>-8</v>
      </c>
      <c r="O269" s="38" t="inlineStr">
        <is>
          <t>C3</t>
        </is>
      </c>
      <c r="P269" s="38" t="n">
        <v>23</v>
      </c>
      <c r="Q269" s="38" t="n">
        <v>8</v>
      </c>
      <c r="R269" s="38" t="inlineStr">
        <is>
          <t>NO</t>
        </is>
      </c>
      <c r="S269" s="38" t="inlineStr">
        <is>
          <t>NO</t>
        </is>
      </c>
      <c r="T269" s="38" t="inlineStr">
        <is>
          <t>NO</t>
        </is>
      </c>
      <c r="U269" s="38" t="n">
        <v>64</v>
      </c>
      <c r="V269" s="38" t="n">
        <v>58</v>
      </c>
      <c r="W269" s="38" t="n">
        <v>58</v>
      </c>
      <c r="X269" s="38" t="n">
        <v>64</v>
      </c>
      <c r="Y269" s="38" t="inlineStr">
        <is>
          <t>70-80%</t>
        </is>
      </c>
      <c r="Z269" s="38" t="inlineStr">
        <is>
          <t>Polyrex</t>
        </is>
      </c>
      <c r="AA269" s="45" t="inlineStr">
        <is>
          <t>…………..</t>
        </is>
      </c>
      <c r="AB269" s="45" t="inlineStr">
        <is>
          <t>…………..</t>
        </is>
      </c>
      <c r="AC269" s="44" t="inlineStr">
        <is>
          <t>……………</t>
        </is>
      </c>
      <c r="AD269" s="57" t="inlineStr">
        <is>
          <t>………</t>
        </is>
      </c>
    </row>
    <row r="270" ht="12.75" customHeight="1" s="123">
      <c r="A270" s="85" t="n">
        <v>268</v>
      </c>
      <c r="B270" s="30" t="inlineStr">
        <is>
          <t>MS01-2RST</t>
        </is>
      </c>
      <c r="C270" s="38" t="n">
        <v>10</v>
      </c>
      <c r="D270" s="38" t="n">
        <v>2</v>
      </c>
      <c r="E270" s="38" t="n">
        <v>-120</v>
      </c>
      <c r="F270" s="38" t="n">
        <v>32</v>
      </c>
      <c r="G270" s="38" t="n">
        <v>0</v>
      </c>
      <c r="H270" s="38" t="n">
        <v>-11</v>
      </c>
      <c r="I270" s="38" t="n">
        <v>10</v>
      </c>
      <c r="J270" s="38" t="n">
        <v>2</v>
      </c>
      <c r="K270" s="38" t="n">
        <v>-120</v>
      </c>
      <c r="L270" s="38" t="n">
        <v>12</v>
      </c>
      <c r="M270" s="38" t="n">
        <v>0</v>
      </c>
      <c r="N270" s="38" t="n">
        <v>-8</v>
      </c>
      <c r="O270" s="38" t="inlineStr">
        <is>
          <t>C3</t>
        </is>
      </c>
      <c r="P270" s="38" t="n">
        <v>25</v>
      </c>
      <c r="Q270" s="38" t="n">
        <v>11</v>
      </c>
      <c r="R270" s="38" t="inlineStr">
        <is>
          <t>NO</t>
        </is>
      </c>
      <c r="S270" s="38" t="inlineStr">
        <is>
          <t>NO</t>
        </is>
      </c>
      <c r="T270" s="38" t="inlineStr">
        <is>
          <t>NO</t>
        </is>
      </c>
      <c r="U270" s="38" t="n">
        <v>64</v>
      </c>
      <c r="V270" s="38" t="n">
        <v>58</v>
      </c>
      <c r="W270" s="38" t="n">
        <v>64</v>
      </c>
      <c r="X270" s="38" t="n">
        <v>58</v>
      </c>
      <c r="Y270" s="38" t="inlineStr">
        <is>
          <t>1,15 - 1,31</t>
        </is>
      </c>
      <c r="Z270" s="38" t="inlineStr">
        <is>
          <t>Polyrex</t>
        </is>
      </c>
      <c r="AA270" s="45" t="inlineStr">
        <is>
          <t>4cNm/0,04Nm</t>
        </is>
      </c>
      <c r="AB270" s="45" t="inlineStr">
        <is>
          <t>1,2cNm/0,012Nm</t>
        </is>
      </c>
      <c r="AC270" s="44" t="n">
        <v>42334</v>
      </c>
      <c r="AD270" s="57" t="inlineStr">
        <is>
          <t>A</t>
        </is>
      </c>
    </row>
    <row r="271" ht="12.75" customHeight="1" s="123">
      <c r="A271" s="85" t="n">
        <v>269</v>
      </c>
      <c r="B271" s="31" t="inlineStr">
        <is>
          <t>MS01-ZZ</t>
        </is>
      </c>
      <c r="C271" s="38" t="n">
        <v>10</v>
      </c>
      <c r="D271" s="38" t="n">
        <v>0</v>
      </c>
      <c r="E271" s="38" t="n">
        <v>-120</v>
      </c>
      <c r="F271" s="38" t="n">
        <v>32</v>
      </c>
      <c r="G271" s="38" t="n">
        <v>0</v>
      </c>
      <c r="H271" s="38" t="n">
        <v>-11</v>
      </c>
      <c r="I271" s="38" t="n">
        <v>10</v>
      </c>
      <c r="J271" s="38" t="n">
        <v>0</v>
      </c>
      <c r="K271" s="38" t="n">
        <v>-120</v>
      </c>
      <c r="L271" s="38" t="n">
        <v>12</v>
      </c>
      <c r="M271" s="38" t="n">
        <v>0</v>
      </c>
      <c r="N271" s="38" t="n">
        <v>-8</v>
      </c>
      <c r="O271" s="38" t="inlineStr">
        <is>
          <t>C3</t>
        </is>
      </c>
      <c r="P271" s="38" t="n">
        <v>25</v>
      </c>
      <c r="Q271" s="38" t="n">
        <v>11</v>
      </c>
      <c r="R271" s="38" t="inlineStr">
        <is>
          <t>NO</t>
        </is>
      </c>
      <c r="S271" s="38" t="inlineStr">
        <is>
          <t>NO</t>
        </is>
      </c>
      <c r="T271" s="38" t="inlineStr">
        <is>
          <t>NO</t>
        </is>
      </c>
      <c r="U271" s="38" t="n">
        <v>64</v>
      </c>
      <c r="V271" s="38" t="n">
        <v>58</v>
      </c>
      <c r="W271" s="38" t="n">
        <v>64</v>
      </c>
      <c r="X271" s="38" t="n">
        <v>58</v>
      </c>
      <c r="Y271" s="38" t="inlineStr">
        <is>
          <t>0,4-0,6</t>
        </is>
      </c>
      <c r="Z271" s="38" t="inlineStr">
        <is>
          <t>Polyrex</t>
        </is>
      </c>
      <c r="AA271" s="45" t="inlineStr">
        <is>
          <t>NO</t>
        </is>
      </c>
      <c r="AB271" s="38" t="inlineStr">
        <is>
          <t>NO</t>
        </is>
      </c>
      <c r="AC271" s="44" t="inlineStr">
        <is>
          <t>……………</t>
        </is>
      </c>
      <c r="AD271" s="57" t="inlineStr">
        <is>
          <t>………</t>
        </is>
      </c>
    </row>
    <row r="272" ht="12.75" customHeight="1" s="123">
      <c r="A272" s="85" t="n">
        <v>270</v>
      </c>
      <c r="B272" s="27" t="inlineStr">
        <is>
          <t>MS02-2RLD</t>
        </is>
      </c>
      <c r="C272" s="38" t="n">
        <v>11</v>
      </c>
      <c r="D272" s="38" t="n">
        <v>0</v>
      </c>
      <c r="E272" s="38" t="n">
        <v>-120</v>
      </c>
      <c r="F272" s="38" t="n">
        <v>35</v>
      </c>
      <c r="G272" s="38" t="n">
        <v>0</v>
      </c>
      <c r="H272" s="38" t="n">
        <v>-11</v>
      </c>
      <c r="I272" s="38" t="n">
        <v>11</v>
      </c>
      <c r="J272" s="38" t="n">
        <v>0</v>
      </c>
      <c r="K272" s="38" t="n">
        <v>-120</v>
      </c>
      <c r="L272" s="38" t="n">
        <v>15</v>
      </c>
      <c r="M272" s="38" t="n">
        <v>0</v>
      </c>
      <c r="N272" s="38" t="n">
        <v>-8</v>
      </c>
      <c r="O272" s="38" t="inlineStr">
        <is>
          <t>C3</t>
        </is>
      </c>
      <c r="P272" s="38" t="n">
        <v>25</v>
      </c>
      <c r="Q272" s="38" t="n">
        <v>11</v>
      </c>
      <c r="R272" s="38" t="inlineStr">
        <is>
          <t>NO</t>
        </is>
      </c>
      <c r="S272" s="38" t="inlineStr">
        <is>
          <t>NO</t>
        </is>
      </c>
      <c r="T272" s="38" t="inlineStr">
        <is>
          <t>NO</t>
        </is>
      </c>
      <c r="U272" s="38" t="n">
        <v>64</v>
      </c>
      <c r="V272" s="38" t="n">
        <v>58</v>
      </c>
      <c r="W272" s="38" t="n">
        <v>64</v>
      </c>
      <c r="X272" s="38" t="n">
        <v>58</v>
      </c>
      <c r="Y272" s="38" t="inlineStr">
        <is>
          <t>0,5 - 0,7</t>
        </is>
      </c>
      <c r="Z272" s="38" t="inlineStr">
        <is>
          <t>Polyrex</t>
        </is>
      </c>
      <c r="AA272" s="45" t="inlineStr">
        <is>
          <t>1,6cNm / 0,016Nm</t>
        </is>
      </c>
      <c r="AB272" s="45" t="inlineStr">
        <is>
          <t>0,63cNm / 0,0063Nm</t>
        </is>
      </c>
      <c r="AC272" s="44" t="inlineStr">
        <is>
          <t>……………</t>
        </is>
      </c>
      <c r="AD272" s="57" t="inlineStr">
        <is>
          <t>………</t>
        </is>
      </c>
    </row>
    <row r="273" ht="12.75" customHeight="1" s="123">
      <c r="A273" s="85" t="n">
        <v>271</v>
      </c>
      <c r="B273" s="30" t="inlineStr">
        <is>
          <t>MS02-D-01</t>
        </is>
      </c>
      <c r="C273" s="38" t="n">
        <v>11</v>
      </c>
      <c r="D273" s="38" t="n">
        <v>0</v>
      </c>
      <c r="E273" s="38" t="n">
        <v>-120</v>
      </c>
      <c r="F273" s="38" t="n">
        <v>35</v>
      </c>
      <c r="G273" s="38" t="n">
        <v>0</v>
      </c>
      <c r="H273" s="38" t="n">
        <v>-11</v>
      </c>
      <c r="I273" s="38" t="inlineStr">
        <is>
          <t>NO</t>
        </is>
      </c>
      <c r="J273" s="38" t="inlineStr">
        <is>
          <t>NO</t>
        </is>
      </c>
      <c r="K273" s="38" t="inlineStr">
        <is>
          <t>NO</t>
        </is>
      </c>
      <c r="L273" s="38" t="inlineStr">
        <is>
          <t>NO</t>
        </is>
      </c>
      <c r="M273" s="38" t="inlineStr">
        <is>
          <t>NO</t>
        </is>
      </c>
      <c r="N273" s="38" t="inlineStr">
        <is>
          <t>NO</t>
        </is>
      </c>
      <c r="O273" s="38" t="inlineStr">
        <is>
          <t>NO</t>
        </is>
      </c>
      <c r="P273" s="38" t="inlineStr">
        <is>
          <t>NO</t>
        </is>
      </c>
      <c r="Q273" s="38" t="inlineStr">
        <is>
          <t>NO</t>
        </is>
      </c>
      <c r="R273" s="38" t="inlineStr">
        <is>
          <t>NO</t>
        </is>
      </c>
      <c r="S273" s="38" t="inlineStr">
        <is>
          <t>NO</t>
        </is>
      </c>
      <c r="T273" s="38" t="inlineStr">
        <is>
          <t>NO</t>
        </is>
      </c>
      <c r="U273" s="38" t="inlineStr">
        <is>
          <t>NO</t>
        </is>
      </c>
      <c r="V273" s="38" t="inlineStr">
        <is>
          <t>NO</t>
        </is>
      </c>
      <c r="W273" s="38" t="n">
        <v>64</v>
      </c>
      <c r="X273" s="38" t="n">
        <v>58</v>
      </c>
      <c r="Y273" s="38" t="inlineStr">
        <is>
          <t>NO</t>
        </is>
      </c>
      <c r="Z273" s="38" t="inlineStr">
        <is>
          <t>NO</t>
        </is>
      </c>
      <c r="AA273" s="45" t="inlineStr">
        <is>
          <t>NO</t>
        </is>
      </c>
      <c r="AB273" s="38" t="inlineStr">
        <is>
          <t>NO</t>
        </is>
      </c>
      <c r="AC273" s="44" t="n">
        <v>42413</v>
      </c>
      <c r="AD273" s="57" t="n">
        <v>0</v>
      </c>
    </row>
    <row r="274" ht="12.75" customHeight="1" s="123">
      <c r="A274" s="85" t="n">
        <v>272</v>
      </c>
      <c r="B274" s="30" t="inlineStr">
        <is>
          <t>MS02-D-02</t>
        </is>
      </c>
      <c r="C274" s="38" t="inlineStr">
        <is>
          <t>NO</t>
        </is>
      </c>
      <c r="D274" s="38" t="inlineStr">
        <is>
          <t>NO</t>
        </is>
      </c>
      <c r="E274" s="38" t="inlineStr">
        <is>
          <t>NO</t>
        </is>
      </c>
      <c r="F274" s="38" t="inlineStr">
        <is>
          <t>NO</t>
        </is>
      </c>
      <c r="G274" s="38" t="inlineStr">
        <is>
          <t>NO</t>
        </is>
      </c>
      <c r="H274" s="38" t="inlineStr">
        <is>
          <t>NO</t>
        </is>
      </c>
      <c r="I274" s="38" t="n">
        <v>11</v>
      </c>
      <c r="J274" s="38" t="n">
        <v>0</v>
      </c>
      <c r="K274" s="38" t="n">
        <v>-120</v>
      </c>
      <c r="L274" s="38" t="n">
        <v>15</v>
      </c>
      <c r="M274" s="38" t="n">
        <v>0</v>
      </c>
      <c r="N274" s="38" t="n">
        <v>-11</v>
      </c>
      <c r="O274" s="38" t="inlineStr">
        <is>
          <t>NO</t>
        </is>
      </c>
      <c r="P274" s="38" t="inlineStr">
        <is>
          <t>NO</t>
        </is>
      </c>
      <c r="Q274" s="38" t="inlineStr">
        <is>
          <t>NO</t>
        </is>
      </c>
      <c r="R274" s="38" t="inlineStr">
        <is>
          <t>NO</t>
        </is>
      </c>
      <c r="S274" s="38" t="inlineStr">
        <is>
          <t>NO</t>
        </is>
      </c>
      <c r="T274" s="38" t="inlineStr">
        <is>
          <t>NO</t>
        </is>
      </c>
      <c r="U274" s="38" t="n">
        <v>64</v>
      </c>
      <c r="V274" s="38" t="n">
        <v>58</v>
      </c>
      <c r="W274" s="38" t="inlineStr">
        <is>
          <t>NO</t>
        </is>
      </c>
      <c r="X274" s="38" t="inlineStr">
        <is>
          <t>NO</t>
        </is>
      </c>
      <c r="Y274" s="38" t="inlineStr">
        <is>
          <t>NO</t>
        </is>
      </c>
      <c r="Z274" s="38" t="inlineStr">
        <is>
          <t>NO</t>
        </is>
      </c>
      <c r="AA274" s="45" t="inlineStr">
        <is>
          <t>NO</t>
        </is>
      </c>
      <c r="AB274" s="38" t="inlineStr">
        <is>
          <t>NO</t>
        </is>
      </c>
      <c r="AC274" s="44" t="n">
        <v>42412</v>
      </c>
      <c r="AD274" s="57" t="n">
        <v>0</v>
      </c>
    </row>
    <row r="275" ht="12.75" customHeight="1" s="123">
      <c r="A275" s="85" t="n">
        <v>273</v>
      </c>
      <c r="B275" s="30" t="inlineStr">
        <is>
          <t>MS03-2RLD</t>
        </is>
      </c>
      <c r="C275" s="38" t="n">
        <v>12</v>
      </c>
      <c r="D275" s="38" t="n">
        <v>0</v>
      </c>
      <c r="E275" s="38" t="n">
        <v>-120</v>
      </c>
      <c r="F275" s="38" t="n">
        <v>40</v>
      </c>
      <c r="G275" s="38" t="n">
        <v>0</v>
      </c>
      <c r="H275" s="38" t="n">
        <v>-11</v>
      </c>
      <c r="I275" s="38" t="n">
        <v>12</v>
      </c>
      <c r="J275" s="38" t="n">
        <v>0</v>
      </c>
      <c r="K275" s="38" t="n">
        <v>-120</v>
      </c>
      <c r="L275" s="38" t="n">
        <v>17</v>
      </c>
      <c r="M275" s="38" t="n">
        <v>0</v>
      </c>
      <c r="N275" s="38" t="n">
        <v>-9</v>
      </c>
      <c r="O275" s="45" t="inlineStr">
        <is>
          <t>C3</t>
        </is>
      </c>
      <c r="P275" s="38" t="n">
        <v>25</v>
      </c>
      <c r="Q275" s="38" t="n">
        <v>11</v>
      </c>
      <c r="R275" s="38" t="inlineStr">
        <is>
          <t>NO</t>
        </is>
      </c>
      <c r="S275" s="38" t="inlineStr">
        <is>
          <t>NO</t>
        </is>
      </c>
      <c r="T275" s="38" t="inlineStr">
        <is>
          <t>NO</t>
        </is>
      </c>
      <c r="U275" s="38" t="n">
        <v>64</v>
      </c>
      <c r="V275" s="38" t="n">
        <v>58</v>
      </c>
      <c r="W275" s="38" t="n">
        <v>64</v>
      </c>
      <c r="X275" s="38" t="n">
        <v>58</v>
      </c>
      <c r="Y275" s="36" t="inlineStr">
        <is>
          <t>0,7-1</t>
        </is>
      </c>
      <c r="Z275" s="38" t="inlineStr">
        <is>
          <t>Polyrex</t>
        </is>
      </c>
      <c r="AA275" s="45" t="inlineStr">
        <is>
          <t>2,8cNm / 0,028Nm</t>
        </is>
      </c>
      <c r="AB275" s="45" t="inlineStr">
        <is>
          <t>1,2cNm / 0,012Nm</t>
        </is>
      </c>
      <c r="AC275" s="44" t="inlineStr">
        <is>
          <t>……………</t>
        </is>
      </c>
      <c r="AD275" s="57" t="inlineStr">
        <is>
          <t>………</t>
        </is>
      </c>
    </row>
    <row r="276" ht="12.75" customHeight="1" s="123">
      <c r="A276" s="85" t="n">
        <v>274</v>
      </c>
      <c r="B276" s="30" t="inlineStr">
        <is>
          <t>MS03-2RS</t>
        </is>
      </c>
      <c r="C276" s="38" t="n">
        <v>12</v>
      </c>
      <c r="D276" s="38" t="n">
        <v>0</v>
      </c>
      <c r="E276" s="38" t="n">
        <v>-120</v>
      </c>
      <c r="F276" s="38" t="n">
        <v>40</v>
      </c>
      <c r="G276" s="38" t="n">
        <v>0</v>
      </c>
      <c r="H276" s="38" t="n">
        <v>-11</v>
      </c>
      <c r="I276" s="38" t="n">
        <v>12</v>
      </c>
      <c r="J276" s="38" t="n">
        <v>0</v>
      </c>
      <c r="K276" s="38" t="n">
        <v>-120</v>
      </c>
      <c r="L276" s="38" t="n">
        <v>17</v>
      </c>
      <c r="M276" s="38" t="n">
        <v>0</v>
      </c>
      <c r="N276" s="38" t="n">
        <v>-9</v>
      </c>
      <c r="O276" s="45" t="inlineStr">
        <is>
          <t>C3</t>
        </is>
      </c>
      <c r="P276" s="38" t="n">
        <v>25</v>
      </c>
      <c r="Q276" s="38" t="n">
        <v>11</v>
      </c>
      <c r="R276" s="38" t="inlineStr">
        <is>
          <t>NO</t>
        </is>
      </c>
      <c r="S276" s="38" t="inlineStr">
        <is>
          <t>NO</t>
        </is>
      </c>
      <c r="T276" s="38" t="inlineStr">
        <is>
          <t>NO</t>
        </is>
      </c>
      <c r="U276" s="38" t="n">
        <v>64</v>
      </c>
      <c r="V276" s="38" t="n">
        <v>58</v>
      </c>
      <c r="W276" s="38" t="n">
        <v>64</v>
      </c>
      <c r="X276" s="38" t="n">
        <v>58</v>
      </c>
      <c r="Y276" s="36" t="inlineStr">
        <is>
          <t>0,7-1</t>
        </is>
      </c>
      <c r="Z276" s="38" t="inlineStr">
        <is>
          <t>Polyrex</t>
        </is>
      </c>
      <c r="AA276" s="45" t="inlineStr">
        <is>
          <t>2,8cNm / 0,028Nm</t>
        </is>
      </c>
      <c r="AB276" s="45" t="inlineStr">
        <is>
          <t>1,2cNm / 0,012Nm</t>
        </is>
      </c>
      <c r="AC276" s="44" t="n">
        <v>42828</v>
      </c>
      <c r="AD276" s="57" t="n">
        <v>0</v>
      </c>
    </row>
    <row r="277" ht="12.75" customHeight="1" s="123">
      <c r="A277" s="85" t="n">
        <v>275</v>
      </c>
      <c r="B277" s="30" t="inlineStr">
        <is>
          <t>MS03-2RST-01</t>
        </is>
      </c>
      <c r="C277" s="38" t="n">
        <v>12</v>
      </c>
      <c r="D277" s="38" t="n">
        <v>0</v>
      </c>
      <c r="E277" s="38" t="n">
        <v>-120</v>
      </c>
      <c r="F277" s="38" t="n">
        <v>40</v>
      </c>
      <c r="G277" s="38" t="n">
        <v>0</v>
      </c>
      <c r="H277" s="38" t="n">
        <v>-11</v>
      </c>
      <c r="I277" s="38" t="inlineStr">
        <is>
          <t>NO</t>
        </is>
      </c>
      <c r="J277" s="38" t="inlineStr">
        <is>
          <t>NO</t>
        </is>
      </c>
      <c r="K277" s="38" t="inlineStr">
        <is>
          <t>NO</t>
        </is>
      </c>
      <c r="L277" s="38" t="inlineStr">
        <is>
          <t>NO</t>
        </is>
      </c>
      <c r="M277" s="38" t="inlineStr">
        <is>
          <t>NO</t>
        </is>
      </c>
      <c r="N277" s="38" t="inlineStr">
        <is>
          <t>NO</t>
        </is>
      </c>
      <c r="O277" s="38" t="inlineStr">
        <is>
          <t>NO</t>
        </is>
      </c>
      <c r="P277" s="38" t="inlineStr">
        <is>
          <t>NO</t>
        </is>
      </c>
      <c r="Q277" s="38" t="inlineStr">
        <is>
          <t>NO</t>
        </is>
      </c>
      <c r="R277" s="38" t="inlineStr">
        <is>
          <t>NO</t>
        </is>
      </c>
      <c r="S277" s="38" t="inlineStr">
        <is>
          <t>NO</t>
        </is>
      </c>
      <c r="T277" s="38" t="inlineStr">
        <is>
          <t>NO</t>
        </is>
      </c>
      <c r="U277" s="38" t="inlineStr">
        <is>
          <t>NO</t>
        </is>
      </c>
      <c r="V277" s="38" t="inlineStr">
        <is>
          <t>NO</t>
        </is>
      </c>
      <c r="W277" s="38" t="n">
        <v>64</v>
      </c>
      <c r="X277" s="38" t="n">
        <v>58</v>
      </c>
      <c r="Y277" s="36" t="inlineStr">
        <is>
          <t>NO</t>
        </is>
      </c>
      <c r="Z277" s="38" t="inlineStr">
        <is>
          <t>NO</t>
        </is>
      </c>
      <c r="AA277" s="45" t="inlineStr">
        <is>
          <t>NO</t>
        </is>
      </c>
      <c r="AB277" s="45" t="inlineStr">
        <is>
          <t>NO</t>
        </is>
      </c>
      <c r="AC277" s="52" t="n">
        <v>41988</v>
      </c>
      <c r="AD277" s="51" t="inlineStr">
        <is>
          <t>B</t>
        </is>
      </c>
    </row>
    <row r="278" ht="12.75" customHeight="1" s="123">
      <c r="A278" s="85" t="n">
        <v>276</v>
      </c>
      <c r="B278" s="30" t="inlineStr">
        <is>
          <t>MS03-2RST-02</t>
        </is>
      </c>
      <c r="C278" s="38" t="inlineStr">
        <is>
          <t>NO</t>
        </is>
      </c>
      <c r="D278" s="38" t="inlineStr">
        <is>
          <t>NO</t>
        </is>
      </c>
      <c r="E278" s="38" t="inlineStr">
        <is>
          <t>NO</t>
        </is>
      </c>
      <c r="F278" s="38" t="inlineStr">
        <is>
          <t>NO</t>
        </is>
      </c>
      <c r="G278" s="38" t="inlineStr">
        <is>
          <t>NO</t>
        </is>
      </c>
      <c r="H278" s="38" t="inlineStr">
        <is>
          <t>NO</t>
        </is>
      </c>
      <c r="I278" s="38" t="n">
        <v>12</v>
      </c>
      <c r="J278" s="38" t="n">
        <v>0</v>
      </c>
      <c r="K278" s="38" t="n">
        <v>-120</v>
      </c>
      <c r="L278" s="38" t="n">
        <v>17</v>
      </c>
      <c r="M278" s="38" t="n">
        <v>0</v>
      </c>
      <c r="N278" s="38" t="n">
        <v>-8</v>
      </c>
      <c r="O278" s="38" t="inlineStr">
        <is>
          <t>NO</t>
        </is>
      </c>
      <c r="P278" s="38" t="inlineStr">
        <is>
          <t>NO</t>
        </is>
      </c>
      <c r="Q278" s="38" t="inlineStr">
        <is>
          <t>NO</t>
        </is>
      </c>
      <c r="R278" s="38" t="inlineStr">
        <is>
          <t>NO</t>
        </is>
      </c>
      <c r="S278" s="38" t="inlineStr">
        <is>
          <t>NO</t>
        </is>
      </c>
      <c r="T278" s="38" t="inlineStr">
        <is>
          <t>NO</t>
        </is>
      </c>
      <c r="U278" s="38" t="n">
        <v>64</v>
      </c>
      <c r="V278" s="38" t="n">
        <v>58</v>
      </c>
      <c r="W278" s="38" t="inlineStr">
        <is>
          <t>NO</t>
        </is>
      </c>
      <c r="X278" s="38" t="inlineStr">
        <is>
          <t>NO</t>
        </is>
      </c>
      <c r="Y278" s="38" t="inlineStr">
        <is>
          <t>NO</t>
        </is>
      </c>
      <c r="Z278" s="38" t="inlineStr">
        <is>
          <t>NO</t>
        </is>
      </c>
      <c r="AA278" s="45" t="inlineStr">
        <is>
          <t>NO</t>
        </is>
      </c>
      <c r="AB278" s="38" t="inlineStr">
        <is>
          <t>NO</t>
        </is>
      </c>
      <c r="AC278" s="52" t="n">
        <v>41186</v>
      </c>
      <c r="AD278" s="51" t="inlineStr">
        <is>
          <t>A</t>
        </is>
      </c>
    </row>
    <row r="279" ht="12.75" customHeight="1" s="123">
      <c r="A279" s="85" t="n">
        <v>277</v>
      </c>
      <c r="B279" s="30" t="inlineStr">
        <is>
          <t>MS03-2RST-C0</t>
        </is>
      </c>
      <c r="C279" s="38" t="n">
        <v>12</v>
      </c>
      <c r="D279" s="38" t="n">
        <v>0</v>
      </c>
      <c r="E279" s="38" t="n">
        <v>-120</v>
      </c>
      <c r="F279" s="38" t="n">
        <v>40</v>
      </c>
      <c r="G279" s="38" t="n">
        <v>0</v>
      </c>
      <c r="H279" s="38" t="n">
        <v>-11</v>
      </c>
      <c r="I279" s="38" t="n">
        <v>12</v>
      </c>
      <c r="J279" s="38" t="n">
        <v>0</v>
      </c>
      <c r="K279" s="38" t="n">
        <v>-120</v>
      </c>
      <c r="L279" s="38" t="n">
        <v>17</v>
      </c>
      <c r="M279" s="38" t="n">
        <v>0</v>
      </c>
      <c r="N279" s="38" t="n">
        <v>-8</v>
      </c>
      <c r="O279" s="38" t="inlineStr">
        <is>
          <t>C0</t>
        </is>
      </c>
      <c r="P279" s="38" t="n">
        <v>3</v>
      </c>
      <c r="Q279" s="38" t="n">
        <v>18</v>
      </c>
      <c r="R279" s="38" t="inlineStr">
        <is>
          <t>NO</t>
        </is>
      </c>
      <c r="S279" s="38" t="inlineStr">
        <is>
          <t>NO</t>
        </is>
      </c>
      <c r="T279" s="38" t="inlineStr">
        <is>
          <t>NO</t>
        </is>
      </c>
      <c r="U279" s="38" t="inlineStr">
        <is>
          <t>64HRC</t>
        </is>
      </c>
      <c r="V279" s="38" t="inlineStr">
        <is>
          <t>58HRC</t>
        </is>
      </c>
      <c r="W279" s="38" t="inlineStr">
        <is>
          <t>64HRC</t>
        </is>
      </c>
      <c r="X279" s="38" t="inlineStr">
        <is>
          <t>58HRC</t>
        </is>
      </c>
      <c r="Y279" s="36" t="inlineStr">
        <is>
          <t>1,7 - 2,0</t>
        </is>
      </c>
      <c r="Z279" s="38" t="inlineStr">
        <is>
          <t>Polyrex</t>
        </is>
      </c>
      <c r="AA279" s="45" t="inlineStr">
        <is>
          <t>2,68cNm / 0,0268Nm</t>
        </is>
      </c>
      <c r="AB279" s="45" t="inlineStr">
        <is>
          <t>1,62cNm / 0,0162Nm</t>
        </is>
      </c>
      <c r="AC279" s="44" t="inlineStr">
        <is>
          <t>……………</t>
        </is>
      </c>
      <c r="AD279" s="57" t="inlineStr">
        <is>
          <t>………</t>
        </is>
      </c>
    </row>
    <row r="280" ht="12.75" customHeight="1" s="123">
      <c r="A280" s="85" t="n">
        <v>278</v>
      </c>
      <c r="B280" s="30" t="inlineStr">
        <is>
          <t>MS03-D-C0</t>
        </is>
      </c>
      <c r="C280" s="38" t="n">
        <v>12</v>
      </c>
      <c r="D280" s="38" t="n">
        <v>0</v>
      </c>
      <c r="E280" s="38" t="n">
        <v>-120</v>
      </c>
      <c r="F280" s="38" t="n">
        <v>40</v>
      </c>
      <c r="G280" s="38" t="n">
        <v>0</v>
      </c>
      <c r="H280" s="38" t="n">
        <v>-11</v>
      </c>
      <c r="I280" s="38" t="n">
        <v>12</v>
      </c>
      <c r="J280" s="38" t="n">
        <v>0</v>
      </c>
      <c r="K280" s="38" t="n">
        <v>-120</v>
      </c>
      <c r="L280" s="38" t="n">
        <v>17</v>
      </c>
      <c r="M280" s="38" t="n">
        <v>0</v>
      </c>
      <c r="N280" s="38" t="n">
        <v>-8</v>
      </c>
      <c r="O280" s="38" t="inlineStr">
        <is>
          <t>C0</t>
        </is>
      </c>
      <c r="P280" s="38" t="n">
        <v>3</v>
      </c>
      <c r="Q280" s="38" t="n">
        <v>18</v>
      </c>
      <c r="R280" s="38" t="inlineStr">
        <is>
          <t>NO</t>
        </is>
      </c>
      <c r="S280" s="38" t="inlineStr">
        <is>
          <t>NO</t>
        </is>
      </c>
      <c r="T280" s="38" t="inlineStr">
        <is>
          <t>NO</t>
        </is>
      </c>
      <c r="U280" s="38" t="inlineStr">
        <is>
          <t>64HRC</t>
        </is>
      </c>
      <c r="V280" s="38" t="inlineStr">
        <is>
          <t>58HRC</t>
        </is>
      </c>
      <c r="W280" s="38" t="inlineStr">
        <is>
          <t>64HRC</t>
        </is>
      </c>
      <c r="X280" s="38" t="inlineStr">
        <is>
          <t>58HRC</t>
        </is>
      </c>
      <c r="Y280" s="43" t="inlineStr">
        <is>
          <t>NO</t>
        </is>
      </c>
      <c r="Z280" s="45" t="inlineStr">
        <is>
          <t>NO</t>
        </is>
      </c>
      <c r="AA280" s="45" t="inlineStr">
        <is>
          <t>…………..</t>
        </is>
      </c>
      <c r="AB280" s="45" t="inlineStr">
        <is>
          <t>…………..</t>
        </is>
      </c>
      <c r="AC280" s="44" t="inlineStr">
        <is>
          <t>……………</t>
        </is>
      </c>
      <c r="AD280" s="57" t="inlineStr">
        <is>
          <t>………</t>
        </is>
      </c>
    </row>
    <row r="281" ht="12.75" customHeight="1" s="123">
      <c r="A281" s="85" t="n">
        <v>279</v>
      </c>
      <c r="B281" s="30" t="inlineStr">
        <is>
          <t>MS03-D-C3</t>
        </is>
      </c>
      <c r="C281" s="38" t="n">
        <v>12</v>
      </c>
      <c r="D281" s="38" t="n">
        <v>0</v>
      </c>
      <c r="E281" s="38" t="n">
        <v>-120</v>
      </c>
      <c r="F281" s="38" t="n">
        <v>40</v>
      </c>
      <c r="G281" s="38" t="n">
        <v>0</v>
      </c>
      <c r="H281" s="38" t="n">
        <v>-11</v>
      </c>
      <c r="I281" s="38" t="n">
        <v>12</v>
      </c>
      <c r="J281" s="38" t="n">
        <v>0</v>
      </c>
      <c r="K281" s="38" t="n">
        <v>-120</v>
      </c>
      <c r="L281" s="38" t="n">
        <v>17</v>
      </c>
      <c r="M281" s="38" t="n">
        <v>0</v>
      </c>
      <c r="N281" s="38" t="n">
        <v>-8</v>
      </c>
      <c r="O281" s="38" t="inlineStr">
        <is>
          <t>C3</t>
        </is>
      </c>
      <c r="P281" s="38" t="n">
        <v>11</v>
      </c>
      <c r="Q281" s="38" t="n">
        <v>25</v>
      </c>
      <c r="R281" s="38" t="inlineStr">
        <is>
          <t>NO</t>
        </is>
      </c>
      <c r="S281" s="38" t="inlineStr">
        <is>
          <t>NO</t>
        </is>
      </c>
      <c r="T281" s="38" t="inlineStr">
        <is>
          <t>NO</t>
        </is>
      </c>
      <c r="U281" s="38" t="inlineStr">
        <is>
          <t>64HRC</t>
        </is>
      </c>
      <c r="V281" s="38" t="inlineStr">
        <is>
          <t>58HRC</t>
        </is>
      </c>
      <c r="W281" s="38" t="inlineStr">
        <is>
          <t>64HRC</t>
        </is>
      </c>
      <c r="X281" s="38" t="inlineStr">
        <is>
          <t>58HRC</t>
        </is>
      </c>
      <c r="Y281" s="43" t="inlineStr">
        <is>
          <t>NO</t>
        </is>
      </c>
      <c r="Z281" s="45" t="inlineStr">
        <is>
          <t>NO</t>
        </is>
      </c>
      <c r="AA281" s="45" t="inlineStr">
        <is>
          <t>…………..</t>
        </is>
      </c>
      <c r="AB281" s="45" t="inlineStr">
        <is>
          <t>…………..</t>
        </is>
      </c>
      <c r="AC281" s="44" t="inlineStr">
        <is>
          <t>……………</t>
        </is>
      </c>
      <c r="AD281" s="57" t="inlineStr">
        <is>
          <t>………</t>
        </is>
      </c>
    </row>
    <row r="282" ht="12.75" customHeight="1" s="123">
      <c r="A282" s="85" t="n">
        <v>280</v>
      </c>
      <c r="B282" s="30" t="inlineStr">
        <is>
          <t>MS03-ZZ</t>
        </is>
      </c>
      <c r="C282" s="38" t="n">
        <v>12</v>
      </c>
      <c r="D282" s="38" t="n">
        <v>0</v>
      </c>
      <c r="E282" s="38" t="n">
        <v>-120</v>
      </c>
      <c r="F282" s="38" t="n">
        <v>40</v>
      </c>
      <c r="G282" s="38" t="n">
        <v>0</v>
      </c>
      <c r="H282" s="38" t="n">
        <v>-11</v>
      </c>
      <c r="I282" s="38" t="n">
        <v>12</v>
      </c>
      <c r="J282" s="38" t="n">
        <v>0</v>
      </c>
      <c r="K282" s="38" t="n">
        <v>-120</v>
      </c>
      <c r="L282" s="38" t="n">
        <v>17</v>
      </c>
      <c r="M282" s="38" t="n">
        <v>0</v>
      </c>
      <c r="N282" s="38" t="n">
        <v>-9</v>
      </c>
      <c r="O282" s="45" t="inlineStr">
        <is>
          <t>C3</t>
        </is>
      </c>
      <c r="P282" s="38" t="n">
        <v>25</v>
      </c>
      <c r="Q282" s="38" t="n">
        <v>11</v>
      </c>
      <c r="R282" s="38" t="inlineStr">
        <is>
          <t>NO</t>
        </is>
      </c>
      <c r="S282" s="38" t="inlineStr">
        <is>
          <t>NO</t>
        </is>
      </c>
      <c r="T282" s="38" t="inlineStr">
        <is>
          <t>NO</t>
        </is>
      </c>
      <c r="U282" s="38" t="n">
        <v>64</v>
      </c>
      <c r="V282" s="38" t="n">
        <v>58</v>
      </c>
      <c r="W282" s="38" t="n">
        <v>64</v>
      </c>
      <c r="X282" s="38" t="n">
        <v>58</v>
      </c>
      <c r="Y282" s="36" t="inlineStr">
        <is>
          <t>0,68-0,96</t>
        </is>
      </c>
      <c r="Z282" s="38" t="inlineStr">
        <is>
          <t>Polyrex</t>
        </is>
      </c>
      <c r="AA282" s="45" t="inlineStr">
        <is>
          <t>NO</t>
        </is>
      </c>
      <c r="AB282" s="45" t="inlineStr">
        <is>
          <t>NO</t>
        </is>
      </c>
      <c r="AC282" s="44" t="inlineStr">
        <is>
          <t>……………</t>
        </is>
      </c>
      <c r="AD282" s="57" t="inlineStr">
        <is>
          <t>………</t>
        </is>
      </c>
    </row>
    <row r="283" ht="12.75" customHeight="1" s="123">
      <c r="A283" s="85" t="n">
        <v>281</v>
      </c>
      <c r="B283" s="30" t="inlineStr">
        <is>
          <t>MS04-2RLD</t>
        </is>
      </c>
      <c r="C283" s="38" t="n">
        <v>14</v>
      </c>
      <c r="D283" s="38" t="n">
        <v>0</v>
      </c>
      <c r="E283" s="38" t="n">
        <v>-120</v>
      </c>
      <c r="F283" s="38" t="n">
        <v>47</v>
      </c>
      <c r="G283" s="38" t="n">
        <v>0</v>
      </c>
      <c r="H283" s="38" t="n">
        <v>-11</v>
      </c>
      <c r="I283" s="38" t="n">
        <v>14</v>
      </c>
      <c r="J283" s="38" t="n">
        <v>0</v>
      </c>
      <c r="K283" s="38" t="n">
        <v>-120</v>
      </c>
      <c r="L283" s="38" t="n">
        <v>20</v>
      </c>
      <c r="M283" s="38" t="n">
        <v>0</v>
      </c>
      <c r="N283" s="38" t="n">
        <v>-10</v>
      </c>
      <c r="O283" s="38" t="inlineStr">
        <is>
          <t>C3</t>
        </is>
      </c>
      <c r="P283" s="38" t="n">
        <v>28</v>
      </c>
      <c r="Q283" s="38" t="n">
        <v>13</v>
      </c>
      <c r="R283" s="38" t="inlineStr">
        <is>
          <t>NO</t>
        </is>
      </c>
      <c r="S283" s="38" t="inlineStr">
        <is>
          <t>NO</t>
        </is>
      </c>
      <c r="T283" s="38" t="inlineStr">
        <is>
          <t>NO</t>
        </is>
      </c>
      <c r="U283" s="38" t="n">
        <v>64</v>
      </c>
      <c r="V283" s="38" t="n">
        <v>58</v>
      </c>
      <c r="W283" s="38" t="n">
        <v>64</v>
      </c>
      <c r="X283" s="38" t="n">
        <v>58</v>
      </c>
      <c r="Y283" s="38" t="inlineStr">
        <is>
          <t>1,2-1,68</t>
        </is>
      </c>
      <c r="Z283" s="38" t="inlineStr">
        <is>
          <t>Polyrex</t>
        </is>
      </c>
      <c r="AA283" s="45" t="inlineStr">
        <is>
          <t>2,4cNm / 0,024Nm</t>
        </is>
      </c>
      <c r="AB283" s="45" t="inlineStr">
        <is>
          <t>1,2cNm / 0,012Nm</t>
        </is>
      </c>
      <c r="AC283" s="44" t="inlineStr">
        <is>
          <t>……………</t>
        </is>
      </c>
      <c r="AD283" s="57" t="inlineStr">
        <is>
          <t>………</t>
        </is>
      </c>
    </row>
    <row r="284" ht="12.75" customHeight="1" s="123">
      <c r="A284" s="85" t="n">
        <v>282</v>
      </c>
      <c r="B284" s="30" t="inlineStr">
        <is>
          <t>MS04-2RST-01</t>
        </is>
      </c>
      <c r="C284" s="38" t="n">
        <v>14</v>
      </c>
      <c r="D284" s="38" t="n">
        <v>0</v>
      </c>
      <c r="E284" s="38" t="n">
        <v>-120</v>
      </c>
      <c r="F284" s="38" t="n">
        <v>47</v>
      </c>
      <c r="G284" s="38" t="n">
        <v>0</v>
      </c>
      <c r="H284" s="38" t="n">
        <v>-11</v>
      </c>
      <c r="I284" s="38" t="inlineStr">
        <is>
          <t>NO</t>
        </is>
      </c>
      <c r="J284" s="38" t="inlineStr">
        <is>
          <t>NO</t>
        </is>
      </c>
      <c r="K284" s="38" t="inlineStr">
        <is>
          <t>NO</t>
        </is>
      </c>
      <c r="L284" s="38" t="inlineStr">
        <is>
          <t>NO</t>
        </is>
      </c>
      <c r="M284" s="38" t="inlineStr">
        <is>
          <t>NO</t>
        </is>
      </c>
      <c r="N284" s="38" t="inlineStr">
        <is>
          <t>NO</t>
        </is>
      </c>
      <c r="O284" s="38" t="inlineStr">
        <is>
          <t>NO</t>
        </is>
      </c>
      <c r="P284" s="38" t="inlineStr">
        <is>
          <t>NO</t>
        </is>
      </c>
      <c r="Q284" s="38" t="inlineStr">
        <is>
          <t>NO</t>
        </is>
      </c>
      <c r="R284" s="38" t="inlineStr">
        <is>
          <t>NO</t>
        </is>
      </c>
      <c r="S284" s="38" t="inlineStr">
        <is>
          <t>NO</t>
        </is>
      </c>
      <c r="T284" s="38" t="inlineStr">
        <is>
          <t>NO</t>
        </is>
      </c>
      <c r="U284" s="38" t="inlineStr">
        <is>
          <t>NO</t>
        </is>
      </c>
      <c r="V284" s="38" t="inlineStr">
        <is>
          <t>NO</t>
        </is>
      </c>
      <c r="W284" s="38" t="n">
        <v>64</v>
      </c>
      <c r="X284" s="38" t="n">
        <v>58</v>
      </c>
      <c r="Y284" s="38" t="inlineStr">
        <is>
          <t>NO</t>
        </is>
      </c>
      <c r="Z284" s="38" t="inlineStr">
        <is>
          <t>NO</t>
        </is>
      </c>
      <c r="AA284" s="45" t="inlineStr">
        <is>
          <t>NO</t>
        </is>
      </c>
      <c r="AB284" s="38" t="inlineStr">
        <is>
          <t>NO</t>
        </is>
      </c>
      <c r="AC284" s="52" t="n">
        <v>41988</v>
      </c>
      <c r="AD284" s="51" t="inlineStr">
        <is>
          <t>B</t>
        </is>
      </c>
    </row>
    <row r="285" ht="12.75" customHeight="1" s="123">
      <c r="A285" s="85" t="n">
        <v>283</v>
      </c>
      <c r="B285" s="30" t="inlineStr">
        <is>
          <t>MS04-2RST-02</t>
        </is>
      </c>
      <c r="C285" s="38" t="inlineStr">
        <is>
          <t>NO</t>
        </is>
      </c>
      <c r="D285" s="38" t="inlineStr">
        <is>
          <t>NO</t>
        </is>
      </c>
      <c r="E285" s="38" t="inlineStr">
        <is>
          <t>NO</t>
        </is>
      </c>
      <c r="F285" s="38" t="inlineStr">
        <is>
          <t>NO</t>
        </is>
      </c>
      <c r="G285" s="38" t="inlineStr">
        <is>
          <t>NO</t>
        </is>
      </c>
      <c r="H285" s="38" t="inlineStr">
        <is>
          <t>NO</t>
        </is>
      </c>
      <c r="I285" s="38" t="n">
        <v>14</v>
      </c>
      <c r="J285" s="38" t="n">
        <v>0</v>
      </c>
      <c r="K285" s="38" t="n">
        <v>-120</v>
      </c>
      <c r="L285" s="38" t="n">
        <v>20</v>
      </c>
      <c r="M285" s="38" t="n">
        <v>0</v>
      </c>
      <c r="N285" s="38" t="n">
        <v>-10</v>
      </c>
      <c r="O285" s="38" t="inlineStr">
        <is>
          <t>NO</t>
        </is>
      </c>
      <c r="P285" s="38" t="inlineStr">
        <is>
          <t>NO</t>
        </is>
      </c>
      <c r="Q285" s="38" t="inlineStr">
        <is>
          <t>NO</t>
        </is>
      </c>
      <c r="R285" s="38" t="inlineStr">
        <is>
          <t>NO</t>
        </is>
      </c>
      <c r="S285" s="38" t="inlineStr">
        <is>
          <t>NO</t>
        </is>
      </c>
      <c r="T285" s="38" t="inlineStr">
        <is>
          <t>NO</t>
        </is>
      </c>
      <c r="U285" s="38" t="n">
        <v>64</v>
      </c>
      <c r="V285" s="38" t="n">
        <v>58</v>
      </c>
      <c r="W285" s="38" t="inlineStr">
        <is>
          <t>NO</t>
        </is>
      </c>
      <c r="X285" s="38" t="inlineStr">
        <is>
          <t>NO</t>
        </is>
      </c>
      <c r="Y285" s="38" t="inlineStr">
        <is>
          <t>NO</t>
        </is>
      </c>
      <c r="Z285" s="38" t="inlineStr">
        <is>
          <t>NO</t>
        </is>
      </c>
      <c r="AA285" s="45" t="inlineStr">
        <is>
          <t>NO</t>
        </is>
      </c>
      <c r="AB285" s="38" t="inlineStr">
        <is>
          <t>NO</t>
        </is>
      </c>
      <c r="AC285" s="52" t="n">
        <v>41988</v>
      </c>
      <c r="AD285" s="51" t="inlineStr">
        <is>
          <t>B</t>
        </is>
      </c>
    </row>
    <row r="286" ht="12.75" customHeight="1" s="123">
      <c r="A286" s="85" t="n">
        <v>284</v>
      </c>
      <c r="B286" s="30" t="inlineStr">
        <is>
          <t>MS-04-2RST-china</t>
        </is>
      </c>
      <c r="C286" s="38" t="n">
        <v>14</v>
      </c>
      <c r="D286" s="38" t="n">
        <v>0</v>
      </c>
      <c r="E286" s="38" t="n">
        <v>-120</v>
      </c>
      <c r="F286" s="38" t="n">
        <v>47</v>
      </c>
      <c r="G286" s="38" t="n">
        <v>0</v>
      </c>
      <c r="H286" s="38" t="n">
        <v>-11</v>
      </c>
      <c r="I286" s="38" t="n">
        <v>14</v>
      </c>
      <c r="J286" s="38" t="n">
        <v>0</v>
      </c>
      <c r="K286" s="38" t="n">
        <v>-120</v>
      </c>
      <c r="L286" s="38" t="n">
        <v>20</v>
      </c>
      <c r="M286" s="38" t="n">
        <v>0</v>
      </c>
      <c r="N286" s="38" t="n">
        <v>-10</v>
      </c>
      <c r="O286" s="38" t="inlineStr">
        <is>
          <t>C3</t>
        </is>
      </c>
      <c r="P286" s="38" t="n">
        <v>13</v>
      </c>
      <c r="Q286" s="38" t="n">
        <v>28</v>
      </c>
      <c r="R286" s="38" t="inlineStr">
        <is>
          <t>NO</t>
        </is>
      </c>
      <c r="S286" s="38" t="inlineStr">
        <is>
          <t>NO</t>
        </is>
      </c>
      <c r="T286" s="38" t="inlineStr">
        <is>
          <t>NO</t>
        </is>
      </c>
      <c r="U286" s="38" t="inlineStr">
        <is>
          <t>58HRc</t>
        </is>
      </c>
      <c r="V286" s="38" t="inlineStr">
        <is>
          <t>64HRc</t>
        </is>
      </c>
      <c r="W286" s="38" t="inlineStr">
        <is>
          <t>58HRc</t>
        </is>
      </c>
      <c r="X286" s="38" t="inlineStr">
        <is>
          <t>64HRc</t>
        </is>
      </c>
      <c r="Y286" s="36" t="inlineStr">
        <is>
          <t>2,9 - 3,3</t>
        </is>
      </c>
      <c r="Z286" s="38" t="inlineStr">
        <is>
          <t>Polyrex</t>
        </is>
      </c>
      <c r="AA286" s="45" t="n"/>
      <c r="AB286" s="45" t="n"/>
      <c r="AC286" s="44" t="inlineStr">
        <is>
          <t>……………</t>
        </is>
      </c>
      <c r="AD286" s="57" t="inlineStr">
        <is>
          <t>………</t>
        </is>
      </c>
    </row>
    <row r="287" ht="12.75" customHeight="1" s="123">
      <c r="A287" s="85" t="n">
        <v>285</v>
      </c>
      <c r="B287" s="30" t="inlineStr">
        <is>
          <t>MS04-D-C3</t>
        </is>
      </c>
      <c r="C287" s="38" t="n">
        <v>14</v>
      </c>
      <c r="D287" s="38" t="n">
        <v>0</v>
      </c>
      <c r="E287" s="38" t="n">
        <v>-120</v>
      </c>
      <c r="F287" s="38" t="n">
        <v>47</v>
      </c>
      <c r="G287" s="38" t="n">
        <v>0</v>
      </c>
      <c r="H287" s="38" t="n">
        <v>-11</v>
      </c>
      <c r="I287" s="38" t="n">
        <v>14</v>
      </c>
      <c r="J287" s="38" t="n">
        <v>0</v>
      </c>
      <c r="K287" s="38" t="n">
        <v>-120</v>
      </c>
      <c r="L287" s="38" t="n">
        <v>20</v>
      </c>
      <c r="M287" s="38" t="n">
        <v>0</v>
      </c>
      <c r="N287" s="38" t="n">
        <v>-10</v>
      </c>
      <c r="O287" s="38" t="inlineStr">
        <is>
          <t>C3</t>
        </is>
      </c>
      <c r="P287" s="38" t="n">
        <v>13</v>
      </c>
      <c r="Q287" s="38" t="n">
        <v>28</v>
      </c>
      <c r="R287" s="38" t="inlineStr">
        <is>
          <t>NO</t>
        </is>
      </c>
      <c r="S287" s="38" t="inlineStr">
        <is>
          <t>NO</t>
        </is>
      </c>
      <c r="T287" s="38" t="inlineStr">
        <is>
          <t>NO</t>
        </is>
      </c>
      <c r="U287" s="38" t="inlineStr">
        <is>
          <t>58HRc</t>
        </is>
      </c>
      <c r="V287" s="38" t="inlineStr">
        <is>
          <t>64HRc</t>
        </is>
      </c>
      <c r="W287" s="38" t="inlineStr">
        <is>
          <t>58HRc</t>
        </is>
      </c>
      <c r="X287" s="38" t="inlineStr">
        <is>
          <t>64HRc</t>
        </is>
      </c>
      <c r="Y287" s="36" t="inlineStr">
        <is>
          <t>NO</t>
        </is>
      </c>
      <c r="Z287" s="38" t="inlineStr">
        <is>
          <t>NO</t>
        </is>
      </c>
      <c r="AA287" s="45" t="inlineStr">
        <is>
          <t>…………..</t>
        </is>
      </c>
      <c r="AB287" s="45" t="inlineStr">
        <is>
          <t>…………..</t>
        </is>
      </c>
      <c r="AC287" s="44" t="inlineStr">
        <is>
          <t>……………</t>
        </is>
      </c>
      <c r="AD287" s="57" t="inlineStr">
        <is>
          <t>………</t>
        </is>
      </c>
    </row>
    <row r="288" ht="12.75" customHeight="1" s="123">
      <c r="A288" s="85" t="n">
        <v>286</v>
      </c>
      <c r="B288" s="30" t="inlineStr">
        <is>
          <t>MS05-2RLD</t>
        </is>
      </c>
      <c r="C288" s="38" t="n">
        <v>15</v>
      </c>
      <c r="D288" s="38" t="n">
        <v>0</v>
      </c>
      <c r="E288" s="38" t="n">
        <v>-120</v>
      </c>
      <c r="F288" s="38" t="n">
        <v>52</v>
      </c>
      <c r="G288" s="38" t="n">
        <v>0</v>
      </c>
      <c r="H288" s="38" t="n">
        <v>-13</v>
      </c>
      <c r="I288" s="38" t="n">
        <v>15</v>
      </c>
      <c r="J288" s="38" t="n">
        <v>0</v>
      </c>
      <c r="K288" s="38" t="n">
        <v>-120</v>
      </c>
      <c r="L288" s="38" t="n">
        <v>25</v>
      </c>
      <c r="M288" s="38" t="n">
        <v>0</v>
      </c>
      <c r="N288" s="38" t="n">
        <v>-10</v>
      </c>
      <c r="O288" s="38" t="inlineStr">
        <is>
          <t>C3</t>
        </is>
      </c>
      <c r="P288" s="38" t="n">
        <v>28</v>
      </c>
      <c r="Q288" s="38" t="n">
        <v>13</v>
      </c>
      <c r="R288" s="38" t="inlineStr">
        <is>
          <t>NO</t>
        </is>
      </c>
      <c r="S288" s="38" t="inlineStr">
        <is>
          <t>NO</t>
        </is>
      </c>
      <c r="T288" s="38" t="inlineStr">
        <is>
          <t>NO</t>
        </is>
      </c>
      <c r="U288" s="38" t="n">
        <v>64</v>
      </c>
      <c r="V288" s="38" t="n">
        <v>58</v>
      </c>
      <c r="W288" s="38" t="n">
        <v>64</v>
      </c>
      <c r="X288" s="38" t="n">
        <v>58</v>
      </c>
      <c r="Y288" s="38" t="inlineStr">
        <is>
          <t>1,4-2</t>
        </is>
      </c>
      <c r="Z288" s="38" t="inlineStr">
        <is>
          <t>Polyrex</t>
        </is>
      </c>
      <c r="AA288" s="45" t="inlineStr">
        <is>
          <t>2,4cNm / 0,024Nm</t>
        </is>
      </c>
      <c r="AB288" s="45" t="inlineStr">
        <is>
          <t>1,2cNm / 0,012Nm</t>
        </is>
      </c>
      <c r="AC288" s="44" t="inlineStr">
        <is>
          <t>……………</t>
        </is>
      </c>
      <c r="AD288" s="57" t="inlineStr">
        <is>
          <t>………</t>
        </is>
      </c>
    </row>
    <row r="289" ht="12.75" customHeight="1" s="123">
      <c r="A289" s="85" t="n">
        <v>287</v>
      </c>
      <c r="B289" s="30" t="inlineStr">
        <is>
          <t>MS05-2RST-01</t>
        </is>
      </c>
      <c r="C289" s="38" t="n">
        <v>15</v>
      </c>
      <c r="D289" s="38" t="n">
        <v>0</v>
      </c>
      <c r="E289" s="38" t="n">
        <v>-120</v>
      </c>
      <c r="F289" s="38" t="n">
        <v>52</v>
      </c>
      <c r="G289" s="38" t="n">
        <v>0</v>
      </c>
      <c r="H289" s="38" t="n">
        <v>-13</v>
      </c>
      <c r="I289" s="38" t="inlineStr">
        <is>
          <t>NO</t>
        </is>
      </c>
      <c r="J289" s="38" t="inlineStr">
        <is>
          <t>NO</t>
        </is>
      </c>
      <c r="K289" s="38" t="inlineStr">
        <is>
          <t>NO</t>
        </is>
      </c>
      <c r="L289" s="38" t="inlineStr">
        <is>
          <t>NO</t>
        </is>
      </c>
      <c r="M289" s="38" t="inlineStr">
        <is>
          <t>NO</t>
        </is>
      </c>
      <c r="N289" s="38" t="inlineStr">
        <is>
          <t>NO</t>
        </is>
      </c>
      <c r="O289" s="38" t="inlineStr">
        <is>
          <t>NO</t>
        </is>
      </c>
      <c r="P289" s="38" t="inlineStr">
        <is>
          <t>NO</t>
        </is>
      </c>
      <c r="Q289" s="38" t="inlineStr">
        <is>
          <t>NO</t>
        </is>
      </c>
      <c r="R289" s="38" t="inlineStr">
        <is>
          <t>NO</t>
        </is>
      </c>
      <c r="S289" s="38" t="inlineStr">
        <is>
          <t>NO</t>
        </is>
      </c>
      <c r="T289" s="38" t="inlineStr">
        <is>
          <t>NO</t>
        </is>
      </c>
      <c r="U289" s="38" t="inlineStr">
        <is>
          <t>NO</t>
        </is>
      </c>
      <c r="V289" s="38" t="inlineStr">
        <is>
          <t>NO</t>
        </is>
      </c>
      <c r="W289" s="38" t="n">
        <v>64</v>
      </c>
      <c r="X289" s="38" t="n">
        <v>58</v>
      </c>
      <c r="Y289" s="38" t="inlineStr">
        <is>
          <t>NO</t>
        </is>
      </c>
      <c r="Z289" s="38" t="inlineStr">
        <is>
          <t>NO</t>
        </is>
      </c>
      <c r="AA289" s="45" t="inlineStr">
        <is>
          <t>NO</t>
        </is>
      </c>
      <c r="AB289" s="45" t="inlineStr">
        <is>
          <t>NO</t>
        </is>
      </c>
      <c r="AC289" s="52" t="n">
        <v>40602</v>
      </c>
      <c r="AD289" s="51" t="n">
        <v>0</v>
      </c>
    </row>
    <row r="290" ht="12.75" customHeight="1" s="123">
      <c r="A290" s="85" t="n">
        <v>288</v>
      </c>
      <c r="B290" s="30" t="inlineStr">
        <is>
          <t>MS05-2RST-02</t>
        </is>
      </c>
      <c r="C290" s="38" t="inlineStr">
        <is>
          <t>NO</t>
        </is>
      </c>
      <c r="D290" s="38" t="inlineStr">
        <is>
          <t>NO</t>
        </is>
      </c>
      <c r="E290" s="38" t="inlineStr">
        <is>
          <t>NO</t>
        </is>
      </c>
      <c r="F290" s="38" t="inlineStr">
        <is>
          <t>NO</t>
        </is>
      </c>
      <c r="G290" s="38" t="inlineStr">
        <is>
          <t>NO</t>
        </is>
      </c>
      <c r="H290" s="38" t="inlineStr">
        <is>
          <t>NO</t>
        </is>
      </c>
      <c r="I290" s="38" t="n">
        <v>15</v>
      </c>
      <c r="J290" s="38" t="n">
        <v>0</v>
      </c>
      <c r="K290" s="38" t="n">
        <v>-120</v>
      </c>
      <c r="L290" s="38" t="n">
        <v>25</v>
      </c>
      <c r="M290" s="38" t="n">
        <v>0</v>
      </c>
      <c r="N290" s="38" t="n">
        <v>-10</v>
      </c>
      <c r="O290" s="38" t="inlineStr">
        <is>
          <t>NO</t>
        </is>
      </c>
      <c r="P290" s="38" t="inlineStr">
        <is>
          <t>NO</t>
        </is>
      </c>
      <c r="Q290" s="38" t="inlineStr">
        <is>
          <t>NO</t>
        </is>
      </c>
      <c r="R290" s="38" t="inlineStr">
        <is>
          <t>NO</t>
        </is>
      </c>
      <c r="S290" s="38" t="inlineStr">
        <is>
          <t>NO</t>
        </is>
      </c>
      <c r="T290" s="38" t="inlineStr">
        <is>
          <t>NO</t>
        </is>
      </c>
      <c r="U290" s="38" t="n">
        <v>64</v>
      </c>
      <c r="V290" s="38" t="n">
        <v>58</v>
      </c>
      <c r="W290" s="38" t="inlineStr">
        <is>
          <t>NO</t>
        </is>
      </c>
      <c r="X290" s="38" t="inlineStr">
        <is>
          <t>NO</t>
        </is>
      </c>
      <c r="Y290" s="38" t="inlineStr">
        <is>
          <t>NO</t>
        </is>
      </c>
      <c r="Z290" s="38" t="inlineStr">
        <is>
          <t>NO</t>
        </is>
      </c>
      <c r="AA290" s="45" t="inlineStr">
        <is>
          <t>NO</t>
        </is>
      </c>
      <c r="AB290" s="45" t="inlineStr">
        <is>
          <t>NO</t>
        </is>
      </c>
      <c r="AC290" s="52" t="n">
        <v>40602</v>
      </c>
      <c r="AD290" s="51" t="n">
        <v>0</v>
      </c>
    </row>
    <row r="291" ht="12.75" customHeight="1" s="123">
      <c r="A291" s="85" t="n">
        <v>289</v>
      </c>
      <c r="B291" s="30" t="inlineStr">
        <is>
          <t>MS05-2RST-C0</t>
        </is>
      </c>
      <c r="C291" s="38" t="n">
        <v>15</v>
      </c>
      <c r="D291" s="38" t="n">
        <v>0</v>
      </c>
      <c r="E291" s="38" t="n">
        <v>-120</v>
      </c>
      <c r="F291" s="38" t="n">
        <v>52</v>
      </c>
      <c r="G291" s="38" t="n">
        <v>0</v>
      </c>
      <c r="H291" s="38" t="n">
        <v>-13</v>
      </c>
      <c r="I291" s="38" t="n">
        <v>15</v>
      </c>
      <c r="J291" s="38" t="n">
        <v>0</v>
      </c>
      <c r="K291" s="38" t="n">
        <v>-120</v>
      </c>
      <c r="L291" s="38" t="n">
        <v>25</v>
      </c>
      <c r="M291" s="38" t="n">
        <v>0</v>
      </c>
      <c r="N291" s="38" t="n">
        <v>-10</v>
      </c>
      <c r="O291" s="38" t="inlineStr">
        <is>
          <t>C0</t>
        </is>
      </c>
      <c r="P291" s="38" t="n">
        <v>20</v>
      </c>
      <c r="Q291" s="38" t="n">
        <v>5</v>
      </c>
      <c r="R291" s="38" t="inlineStr">
        <is>
          <t>NO</t>
        </is>
      </c>
      <c r="S291" s="38" t="inlineStr">
        <is>
          <t>NO</t>
        </is>
      </c>
      <c r="T291" s="38" t="inlineStr">
        <is>
          <t>NO</t>
        </is>
      </c>
      <c r="U291" s="38" t="n">
        <v>64</v>
      </c>
      <c r="V291" s="38" t="n">
        <v>58</v>
      </c>
      <c r="W291" s="38" t="n">
        <v>64</v>
      </c>
      <c r="X291" s="38" t="n">
        <v>58</v>
      </c>
      <c r="Y291" s="38" t="inlineStr">
        <is>
          <t>3,95-4,52</t>
        </is>
      </c>
      <c r="Z291" s="38" t="inlineStr">
        <is>
          <t>Polyrex</t>
        </is>
      </c>
      <c r="AA291" s="45" t="inlineStr">
        <is>
          <t>6,5cNm / 0,065Nm</t>
        </is>
      </c>
      <c r="AB291" s="45" t="inlineStr">
        <is>
          <t>3,5cNm / 0,035Nm</t>
        </is>
      </c>
      <c r="AC291" s="44" t="inlineStr">
        <is>
          <t>……………</t>
        </is>
      </c>
      <c r="AD291" s="57" t="inlineStr">
        <is>
          <t>………</t>
        </is>
      </c>
    </row>
    <row r="292" ht="12.75" customHeight="1" s="123">
      <c r="A292" s="85" t="n">
        <v>290</v>
      </c>
      <c r="B292" s="30" t="inlineStr">
        <is>
          <t>MS-05-2RST-china</t>
        </is>
      </c>
      <c r="C292" s="38" t="n">
        <v>15</v>
      </c>
      <c r="D292" s="38" t="n">
        <v>0</v>
      </c>
      <c r="E292" s="38" t="n">
        <v>-120</v>
      </c>
      <c r="F292" s="38" t="n">
        <v>52</v>
      </c>
      <c r="G292" s="38" t="n">
        <v>0</v>
      </c>
      <c r="H292" s="38" t="n">
        <v>-13</v>
      </c>
      <c r="I292" s="38" t="n">
        <v>15</v>
      </c>
      <c r="J292" s="38" t="n">
        <v>0</v>
      </c>
      <c r="K292" s="38" t="n">
        <v>-120</v>
      </c>
      <c r="L292" s="38" t="n">
        <v>25</v>
      </c>
      <c r="M292" s="38" t="n">
        <v>0</v>
      </c>
      <c r="N292" s="38" t="n">
        <v>-10</v>
      </c>
      <c r="O292" s="38" t="inlineStr">
        <is>
          <t>C3</t>
        </is>
      </c>
      <c r="P292" s="38" t="n">
        <v>13</v>
      </c>
      <c r="Q292" s="38" t="n">
        <v>28</v>
      </c>
      <c r="R292" s="38" t="inlineStr">
        <is>
          <t>NO</t>
        </is>
      </c>
      <c r="S292" s="38" t="inlineStr">
        <is>
          <t>NO</t>
        </is>
      </c>
      <c r="T292" s="38" t="inlineStr">
        <is>
          <t>NO</t>
        </is>
      </c>
      <c r="U292" s="38" t="inlineStr">
        <is>
          <t>58HRc</t>
        </is>
      </c>
      <c r="V292" s="38" t="inlineStr">
        <is>
          <t>64HRc</t>
        </is>
      </c>
      <c r="W292" s="38" t="inlineStr">
        <is>
          <t>58HRc</t>
        </is>
      </c>
      <c r="X292" s="38" t="inlineStr">
        <is>
          <t>64HRc</t>
        </is>
      </c>
      <c r="Y292" s="36" t="inlineStr">
        <is>
          <t>3,5 - 4</t>
        </is>
      </c>
      <c r="Z292" s="38" t="inlineStr">
        <is>
          <t>Polyrex</t>
        </is>
      </c>
      <c r="AA292" s="45" t="inlineStr">
        <is>
          <t>…………..</t>
        </is>
      </c>
      <c r="AB292" s="45" t="inlineStr">
        <is>
          <t>…………..</t>
        </is>
      </c>
      <c r="AC292" s="44" t="inlineStr">
        <is>
          <t>……………</t>
        </is>
      </c>
      <c r="AD292" s="57" t="inlineStr">
        <is>
          <t>………</t>
        </is>
      </c>
    </row>
    <row r="293" ht="12.75" customHeight="1" s="123">
      <c r="A293" s="85" t="n">
        <v>291</v>
      </c>
      <c r="B293" s="30" t="inlineStr">
        <is>
          <t>MS05-D-C3</t>
        </is>
      </c>
      <c r="C293" s="38" t="n">
        <v>15</v>
      </c>
      <c r="D293" s="38" t="n">
        <v>0</v>
      </c>
      <c r="E293" s="38" t="n">
        <v>-120</v>
      </c>
      <c r="F293" s="38" t="n">
        <v>52</v>
      </c>
      <c r="G293" s="38" t="n">
        <v>0</v>
      </c>
      <c r="H293" s="38" t="n">
        <v>-13</v>
      </c>
      <c r="I293" s="38" t="n">
        <v>15</v>
      </c>
      <c r="J293" s="38" t="n">
        <v>0</v>
      </c>
      <c r="K293" s="38" t="n">
        <v>-120</v>
      </c>
      <c r="L293" s="38" t="n">
        <v>25</v>
      </c>
      <c r="M293" s="38" t="n">
        <v>0</v>
      </c>
      <c r="N293" s="38" t="n">
        <v>-10</v>
      </c>
      <c r="O293" s="38" t="inlineStr">
        <is>
          <t>C3</t>
        </is>
      </c>
      <c r="P293" s="38" t="n">
        <v>28</v>
      </c>
      <c r="Q293" s="38" t="n">
        <v>13</v>
      </c>
      <c r="R293" s="38" t="inlineStr">
        <is>
          <t>NO</t>
        </is>
      </c>
      <c r="S293" s="38" t="inlineStr">
        <is>
          <t>NO</t>
        </is>
      </c>
      <c r="T293" s="38" t="inlineStr">
        <is>
          <t>NO</t>
        </is>
      </c>
      <c r="U293" s="38" t="n">
        <v>64</v>
      </c>
      <c r="V293" s="38" t="n">
        <v>58</v>
      </c>
      <c r="W293" s="38" t="n">
        <v>64</v>
      </c>
      <c r="X293" s="38" t="n">
        <v>58</v>
      </c>
      <c r="Y293" s="36" t="inlineStr">
        <is>
          <t>NO</t>
        </is>
      </c>
      <c r="Z293" s="38" t="inlineStr">
        <is>
          <t>NO</t>
        </is>
      </c>
      <c r="AA293" s="45" t="inlineStr">
        <is>
          <t>…………..</t>
        </is>
      </c>
      <c r="AB293" s="45" t="inlineStr">
        <is>
          <t>…………..</t>
        </is>
      </c>
      <c r="AC293" s="44" t="inlineStr">
        <is>
          <t>……………</t>
        </is>
      </c>
      <c r="AD293" s="57" t="inlineStr">
        <is>
          <t>………</t>
        </is>
      </c>
    </row>
    <row r="294" ht="12.75" customHeight="1" s="123">
      <c r="A294" s="85" t="n">
        <v>292</v>
      </c>
      <c r="B294" s="30" t="inlineStr">
        <is>
          <t>MS06-2RLD</t>
        </is>
      </c>
      <c r="C294" s="38" t="n">
        <v>16</v>
      </c>
      <c r="D294" s="38" t="n">
        <v>0</v>
      </c>
      <c r="E294" s="38" t="n">
        <v>-120</v>
      </c>
      <c r="F294" s="38" t="n">
        <v>62</v>
      </c>
      <c r="G294" s="38" t="n">
        <v>0</v>
      </c>
      <c r="H294" s="38" t="n">
        <v>-13</v>
      </c>
      <c r="I294" s="38" t="n">
        <v>16</v>
      </c>
      <c r="J294" s="38" t="n">
        <v>0</v>
      </c>
      <c r="K294" s="38" t="n">
        <v>-120</v>
      </c>
      <c r="L294" s="38" t="n">
        <v>30</v>
      </c>
      <c r="M294" s="38" t="n">
        <v>0</v>
      </c>
      <c r="N294" s="38" t="n">
        <v>-10</v>
      </c>
      <c r="O294" s="38" t="inlineStr">
        <is>
          <t>C3</t>
        </is>
      </c>
      <c r="P294" s="38" t="n">
        <v>28</v>
      </c>
      <c r="Q294" s="38" t="n">
        <v>13</v>
      </c>
      <c r="R294" s="38" t="inlineStr">
        <is>
          <t>NO</t>
        </is>
      </c>
      <c r="S294" s="38" t="inlineStr">
        <is>
          <t>NO</t>
        </is>
      </c>
      <c r="T294" s="38" t="inlineStr">
        <is>
          <t>NO</t>
        </is>
      </c>
      <c r="U294" s="38" t="n">
        <v>64</v>
      </c>
      <c r="V294" s="38" t="n">
        <v>58</v>
      </c>
      <c r="W294" s="38" t="n">
        <v>64</v>
      </c>
      <c r="X294" s="38" t="n">
        <v>58</v>
      </c>
      <c r="Y294" s="38" t="inlineStr">
        <is>
          <t>2,0-2,8</t>
        </is>
      </c>
      <c r="Z294" s="38" t="inlineStr">
        <is>
          <t>Polyrex</t>
        </is>
      </c>
      <c r="AA294" s="45" t="inlineStr">
        <is>
          <t>4,2cNm / 0,042Nm</t>
        </is>
      </c>
      <c r="AB294" s="45" t="inlineStr">
        <is>
          <t>1,8cNm / 0,018Nm</t>
        </is>
      </c>
      <c r="AC294" s="44" t="inlineStr">
        <is>
          <t>……………</t>
        </is>
      </c>
      <c r="AD294" s="57" t="inlineStr">
        <is>
          <t>………</t>
        </is>
      </c>
    </row>
    <row r="295" ht="12.75" customHeight="1" s="123">
      <c r="A295" s="85" t="n">
        <v>293</v>
      </c>
      <c r="B295" s="30" t="inlineStr">
        <is>
          <t>MS06-2RLD-22</t>
        </is>
      </c>
      <c r="C295" s="38" t="n">
        <v>16</v>
      </c>
      <c r="D295" s="38" t="n">
        <v>0</v>
      </c>
      <c r="E295" s="38" t="n">
        <v>-120</v>
      </c>
      <c r="F295" s="38" t="n">
        <v>62</v>
      </c>
      <c r="G295" s="38" t="n">
        <v>0</v>
      </c>
      <c r="H295" s="38" t="n">
        <v>-13</v>
      </c>
      <c r="I295" s="38" t="n">
        <v>16</v>
      </c>
      <c r="J295" s="38" t="n">
        <v>0</v>
      </c>
      <c r="K295" s="38" t="n">
        <v>-120</v>
      </c>
      <c r="L295" s="38" t="n">
        <v>30</v>
      </c>
      <c r="M295" s="38" t="n">
        <v>0</v>
      </c>
      <c r="N295" s="38" t="n">
        <v>-10</v>
      </c>
      <c r="O295" s="38" t="inlineStr">
        <is>
          <t>C3</t>
        </is>
      </c>
      <c r="P295" s="38" t="n">
        <v>28</v>
      </c>
      <c r="Q295" s="38" t="n">
        <v>13</v>
      </c>
      <c r="R295" s="38" t="inlineStr">
        <is>
          <t>NO</t>
        </is>
      </c>
      <c r="S295" s="38" t="inlineStr">
        <is>
          <t>NO</t>
        </is>
      </c>
      <c r="T295" s="38" t="inlineStr">
        <is>
          <t>NO</t>
        </is>
      </c>
      <c r="U295" s="38" t="n">
        <v>64</v>
      </c>
      <c r="V295" s="38" t="n">
        <v>58</v>
      </c>
      <c r="W295" s="38" t="n">
        <v>64</v>
      </c>
      <c r="X295" s="38" t="n">
        <v>58</v>
      </c>
      <c r="Y295" s="38" t="inlineStr">
        <is>
          <t>2-2,8</t>
        </is>
      </c>
      <c r="Z295" s="38" t="inlineStr">
        <is>
          <t>Polyrex</t>
        </is>
      </c>
      <c r="AA295" s="45" t="inlineStr">
        <is>
          <t>4,2cNm / 0,042Nm</t>
        </is>
      </c>
      <c r="AB295" s="45" t="inlineStr">
        <is>
          <t>1,8cNm / 0,018Nm</t>
        </is>
      </c>
      <c r="AC295" s="44" t="inlineStr">
        <is>
          <t>……………</t>
        </is>
      </c>
      <c r="AD295" s="57" t="inlineStr">
        <is>
          <t>………</t>
        </is>
      </c>
    </row>
    <row r="296" ht="12.75" customHeight="1" s="123">
      <c r="A296" s="85" t="n">
        <v>294</v>
      </c>
      <c r="B296" s="30" t="inlineStr">
        <is>
          <t>MS06-2RST-01</t>
        </is>
      </c>
      <c r="C296" s="38" t="n">
        <v>16</v>
      </c>
      <c r="D296" s="38" t="n">
        <v>0</v>
      </c>
      <c r="E296" s="38" t="n">
        <v>-120</v>
      </c>
      <c r="F296" s="38" t="n">
        <v>62</v>
      </c>
      <c r="G296" s="38" t="n">
        <v>0</v>
      </c>
      <c r="H296" s="38" t="n">
        <v>-13</v>
      </c>
      <c r="I296" s="38" t="inlineStr">
        <is>
          <t>NO</t>
        </is>
      </c>
      <c r="J296" s="38" t="inlineStr">
        <is>
          <t>NO</t>
        </is>
      </c>
      <c r="K296" s="38" t="inlineStr">
        <is>
          <t>NO</t>
        </is>
      </c>
      <c r="L296" s="38" t="inlineStr">
        <is>
          <t>NO</t>
        </is>
      </c>
      <c r="M296" s="38" t="inlineStr">
        <is>
          <t>NO</t>
        </is>
      </c>
      <c r="N296" s="38" t="inlineStr">
        <is>
          <t>NO</t>
        </is>
      </c>
      <c r="O296" s="38" t="inlineStr">
        <is>
          <t>NO</t>
        </is>
      </c>
      <c r="P296" s="38" t="inlineStr">
        <is>
          <t>NO</t>
        </is>
      </c>
      <c r="Q296" s="38" t="inlineStr">
        <is>
          <t>NO</t>
        </is>
      </c>
      <c r="R296" s="38" t="inlineStr">
        <is>
          <t>NO</t>
        </is>
      </c>
      <c r="S296" s="38" t="inlineStr">
        <is>
          <t>NO</t>
        </is>
      </c>
      <c r="T296" s="38" t="inlineStr">
        <is>
          <t>NO</t>
        </is>
      </c>
      <c r="U296" s="38" t="inlineStr">
        <is>
          <t>NO</t>
        </is>
      </c>
      <c r="V296" s="38" t="inlineStr">
        <is>
          <t>NO</t>
        </is>
      </c>
      <c r="W296" s="38" t="n">
        <v>64</v>
      </c>
      <c r="X296" s="38" t="n">
        <v>58</v>
      </c>
      <c r="Y296" s="38" t="inlineStr">
        <is>
          <t>NO</t>
        </is>
      </c>
      <c r="Z296" s="38" t="inlineStr">
        <is>
          <t>NO</t>
        </is>
      </c>
      <c r="AA296" s="45" t="inlineStr">
        <is>
          <t>NO</t>
        </is>
      </c>
      <c r="AB296" s="38" t="inlineStr">
        <is>
          <t>NO</t>
        </is>
      </c>
      <c r="AC296" s="44" t="n">
        <v>42263</v>
      </c>
      <c r="AD296" s="57" t="inlineStr">
        <is>
          <t>B</t>
        </is>
      </c>
    </row>
    <row r="297" ht="12.75" customHeight="1" s="123">
      <c r="A297" s="85" t="n">
        <v>295</v>
      </c>
      <c r="B297" s="30" t="inlineStr">
        <is>
          <t>MS06-2RST-02</t>
        </is>
      </c>
      <c r="C297" s="38" t="inlineStr">
        <is>
          <t>NO</t>
        </is>
      </c>
      <c r="D297" s="38" t="inlineStr">
        <is>
          <t>NO</t>
        </is>
      </c>
      <c r="E297" s="38" t="inlineStr">
        <is>
          <t>NO</t>
        </is>
      </c>
      <c r="F297" s="38" t="inlineStr">
        <is>
          <t>NO</t>
        </is>
      </c>
      <c r="G297" s="38" t="inlineStr">
        <is>
          <t>NO</t>
        </is>
      </c>
      <c r="H297" s="38" t="inlineStr">
        <is>
          <t>NO</t>
        </is>
      </c>
      <c r="I297" s="38" t="n">
        <v>16</v>
      </c>
      <c r="J297" s="38" t="n">
        <v>0</v>
      </c>
      <c r="K297" s="38" t="n">
        <v>-120</v>
      </c>
      <c r="L297" s="38" t="n">
        <v>30</v>
      </c>
      <c r="M297" s="38" t="n">
        <v>0</v>
      </c>
      <c r="N297" s="38" t="n">
        <v>-10</v>
      </c>
      <c r="O297" s="38" t="inlineStr">
        <is>
          <t>NO</t>
        </is>
      </c>
      <c r="P297" s="38" t="inlineStr">
        <is>
          <t>NO</t>
        </is>
      </c>
      <c r="Q297" s="38" t="inlineStr">
        <is>
          <t>NO</t>
        </is>
      </c>
      <c r="R297" s="38" t="inlineStr">
        <is>
          <t>NO</t>
        </is>
      </c>
      <c r="S297" s="38" t="inlineStr">
        <is>
          <t>NO</t>
        </is>
      </c>
      <c r="T297" s="38" t="inlineStr">
        <is>
          <t>NO</t>
        </is>
      </c>
      <c r="U297" s="38" t="n">
        <v>64</v>
      </c>
      <c r="V297" s="38" t="n">
        <v>58</v>
      </c>
      <c r="W297" s="38" t="inlineStr">
        <is>
          <t>NO</t>
        </is>
      </c>
      <c r="X297" s="38" t="inlineStr">
        <is>
          <t>NO</t>
        </is>
      </c>
      <c r="Y297" s="38" t="inlineStr">
        <is>
          <t>NO</t>
        </is>
      </c>
      <c r="Z297" s="38" t="inlineStr">
        <is>
          <t>NO</t>
        </is>
      </c>
      <c r="AA297" s="45" t="inlineStr">
        <is>
          <t>NO</t>
        </is>
      </c>
      <c r="AB297" s="38" t="inlineStr">
        <is>
          <t>NO</t>
        </is>
      </c>
      <c r="AC297" s="44" t="n">
        <v>42263</v>
      </c>
      <c r="AD297" s="57" t="inlineStr">
        <is>
          <t>B</t>
        </is>
      </c>
    </row>
    <row r="298" ht="12.75" customHeight="1" s="123">
      <c r="A298" s="85" t="n">
        <v>296</v>
      </c>
      <c r="B298" s="30" t="inlineStr">
        <is>
          <t>MS-06-2RST-china</t>
        </is>
      </c>
      <c r="C298" s="38" t="n">
        <v>16</v>
      </c>
      <c r="D298" s="38" t="n">
        <v>0</v>
      </c>
      <c r="E298" s="38" t="n">
        <v>-120</v>
      </c>
      <c r="F298" s="38" t="n">
        <v>62</v>
      </c>
      <c r="G298" s="38" t="n">
        <v>0</v>
      </c>
      <c r="H298" s="38" t="n">
        <v>-13</v>
      </c>
      <c r="I298" s="38" t="n">
        <v>16</v>
      </c>
      <c r="J298" s="38" t="n">
        <v>0</v>
      </c>
      <c r="K298" s="38" t="n">
        <v>-120</v>
      </c>
      <c r="L298" s="38" t="n">
        <v>30</v>
      </c>
      <c r="M298" s="38" t="n">
        <v>0</v>
      </c>
      <c r="N298" s="38" t="n">
        <v>-10</v>
      </c>
      <c r="O298" s="38" t="inlineStr">
        <is>
          <t>C3</t>
        </is>
      </c>
      <c r="P298" s="38" t="n">
        <v>13</v>
      </c>
      <c r="Q298" s="38" t="n">
        <v>28</v>
      </c>
      <c r="R298" s="38" t="inlineStr">
        <is>
          <t>NO</t>
        </is>
      </c>
      <c r="S298" s="38" t="inlineStr">
        <is>
          <t>NO</t>
        </is>
      </c>
      <c r="T298" s="38" t="inlineStr">
        <is>
          <t>NO</t>
        </is>
      </c>
      <c r="U298" s="38" t="inlineStr">
        <is>
          <t>58HRc</t>
        </is>
      </c>
      <c r="V298" s="38" t="inlineStr">
        <is>
          <t>64HRc</t>
        </is>
      </c>
      <c r="W298" s="38" t="inlineStr">
        <is>
          <t>58HRc</t>
        </is>
      </c>
      <c r="X298" s="38" t="inlineStr">
        <is>
          <t>64HRc</t>
        </is>
      </c>
      <c r="Y298" s="36" t="inlineStr">
        <is>
          <t>3,9-5,2</t>
        </is>
      </c>
      <c r="Z298" s="38" t="inlineStr">
        <is>
          <t>Polyrex</t>
        </is>
      </c>
      <c r="AA298" s="45" t="inlineStr">
        <is>
          <t>…………..</t>
        </is>
      </c>
      <c r="AB298" s="45" t="inlineStr">
        <is>
          <t>…………..</t>
        </is>
      </c>
      <c r="AC298" s="44" t="inlineStr">
        <is>
          <t>……………</t>
        </is>
      </c>
      <c r="AD298" s="57" t="inlineStr">
        <is>
          <t>………</t>
        </is>
      </c>
    </row>
    <row r="299" ht="12.75" customHeight="1" s="123">
      <c r="A299" s="85" t="n">
        <v>297</v>
      </c>
      <c r="B299" s="30" t="inlineStr">
        <is>
          <t>MS06-D-C3</t>
        </is>
      </c>
      <c r="C299" s="38" t="n">
        <v>16</v>
      </c>
      <c r="D299" s="38" t="n">
        <v>0</v>
      </c>
      <c r="E299" s="38" t="n">
        <v>-120</v>
      </c>
      <c r="F299" s="38" t="n">
        <v>62</v>
      </c>
      <c r="G299" s="38" t="n">
        <v>0</v>
      </c>
      <c r="H299" s="38" t="n">
        <v>-13</v>
      </c>
      <c r="I299" s="38" t="n">
        <v>16</v>
      </c>
      <c r="J299" s="38" t="n">
        <v>0</v>
      </c>
      <c r="K299" s="38" t="n">
        <v>-120</v>
      </c>
      <c r="L299" s="38" t="n">
        <v>30</v>
      </c>
      <c r="M299" s="38" t="n">
        <v>0</v>
      </c>
      <c r="N299" s="38" t="n">
        <v>-10</v>
      </c>
      <c r="O299" s="38" t="inlineStr">
        <is>
          <t>C3</t>
        </is>
      </c>
      <c r="P299" s="38" t="n">
        <v>13</v>
      </c>
      <c r="Q299" s="38" t="n">
        <v>28</v>
      </c>
      <c r="R299" s="38" t="inlineStr">
        <is>
          <t>NO</t>
        </is>
      </c>
      <c r="S299" s="38" t="inlineStr">
        <is>
          <t>NO</t>
        </is>
      </c>
      <c r="T299" s="38" t="inlineStr">
        <is>
          <t>NO</t>
        </is>
      </c>
      <c r="U299" s="38" t="inlineStr">
        <is>
          <t>58HRc</t>
        </is>
      </c>
      <c r="V299" s="38" t="inlineStr">
        <is>
          <t>64HRc</t>
        </is>
      </c>
      <c r="W299" s="38" t="inlineStr">
        <is>
          <t>58HRc</t>
        </is>
      </c>
      <c r="X299" s="38" t="inlineStr">
        <is>
          <t>64HRc</t>
        </is>
      </c>
      <c r="Y299" s="36" t="inlineStr">
        <is>
          <t>NO</t>
        </is>
      </c>
      <c r="Z299" s="38" t="inlineStr">
        <is>
          <t>NO</t>
        </is>
      </c>
      <c r="AA299" s="45" t="inlineStr">
        <is>
          <t>…………..</t>
        </is>
      </c>
      <c r="AB299" s="45" t="inlineStr">
        <is>
          <t>…………..</t>
        </is>
      </c>
      <c r="AC299" s="44" t="inlineStr">
        <is>
          <t>……………</t>
        </is>
      </c>
      <c r="AD299" s="57" t="inlineStr">
        <is>
          <t>………</t>
        </is>
      </c>
    </row>
    <row r="300" ht="12.75" customHeight="1" s="123">
      <c r="A300" s="85" t="n">
        <v>298</v>
      </c>
      <c r="B300" s="27" t="inlineStr">
        <is>
          <t>MS07-2RLD</t>
        </is>
      </c>
      <c r="C300" s="38" t="n">
        <v>17</v>
      </c>
      <c r="D300" s="38" t="n">
        <v>0</v>
      </c>
      <c r="E300" s="38" t="n">
        <v>-120</v>
      </c>
      <c r="F300" s="38" t="n">
        <v>72</v>
      </c>
      <c r="G300" s="38" t="n">
        <v>0</v>
      </c>
      <c r="H300" s="38" t="n">
        <v>-13</v>
      </c>
      <c r="I300" s="38" t="n">
        <v>17</v>
      </c>
      <c r="J300" s="38" t="n">
        <v>0</v>
      </c>
      <c r="K300" s="38" t="n">
        <v>-120</v>
      </c>
      <c r="L300" s="38" t="n">
        <v>35</v>
      </c>
      <c r="M300" s="38" t="n">
        <v>0</v>
      </c>
      <c r="N300" s="38" t="n">
        <v>-12</v>
      </c>
      <c r="O300" s="38" t="inlineStr">
        <is>
          <t>C3</t>
        </is>
      </c>
      <c r="P300" s="38" t="n">
        <v>33</v>
      </c>
      <c r="Q300" s="38" t="n">
        <v>15</v>
      </c>
      <c r="R300" s="38" t="inlineStr">
        <is>
          <t>NO</t>
        </is>
      </c>
      <c r="S300" s="38" t="inlineStr">
        <is>
          <t>NO</t>
        </is>
      </c>
      <c r="T300" s="38" t="inlineStr">
        <is>
          <t>NO</t>
        </is>
      </c>
      <c r="U300" s="38" t="n">
        <v>64</v>
      </c>
      <c r="V300" s="38" t="n">
        <v>58</v>
      </c>
      <c r="W300" s="38" t="n">
        <v>64</v>
      </c>
      <c r="X300" s="38" t="n">
        <v>58</v>
      </c>
      <c r="Y300" s="36" t="inlineStr">
        <is>
          <t>2,86 - 4</t>
        </is>
      </c>
      <c r="Z300" s="38" t="inlineStr">
        <is>
          <t>Polyrex</t>
        </is>
      </c>
      <c r="AA300" s="45" t="inlineStr">
        <is>
          <t>6,7cNm / 0,067Nm</t>
        </is>
      </c>
      <c r="AB300" s="45" t="inlineStr">
        <is>
          <t>4,3cNm / 0,043Nm</t>
        </is>
      </c>
      <c r="AC300" s="44" t="inlineStr">
        <is>
          <t>……………</t>
        </is>
      </c>
      <c r="AD300" s="57" t="inlineStr">
        <is>
          <t>………</t>
        </is>
      </c>
    </row>
    <row r="301" ht="12.75" customHeight="1" s="123">
      <c r="A301" s="85" t="n">
        <v>299</v>
      </c>
      <c r="B301" s="27" t="inlineStr">
        <is>
          <t>MS07-2RS</t>
        </is>
      </c>
      <c r="C301" s="38" t="n">
        <v>17</v>
      </c>
      <c r="D301" s="38" t="n">
        <v>0</v>
      </c>
      <c r="E301" s="38" t="n">
        <v>-120</v>
      </c>
      <c r="F301" s="38" t="n">
        <v>72</v>
      </c>
      <c r="G301" s="38" t="n">
        <v>0</v>
      </c>
      <c r="H301" s="38" t="n">
        <v>-13</v>
      </c>
      <c r="I301" s="38" t="n">
        <v>17</v>
      </c>
      <c r="J301" s="38" t="n">
        <v>0</v>
      </c>
      <c r="K301" s="38" t="n">
        <v>-120</v>
      </c>
      <c r="L301" s="38" t="n">
        <v>35</v>
      </c>
      <c r="M301" s="38" t="n">
        <v>0</v>
      </c>
      <c r="N301" s="38" t="n">
        <v>-12</v>
      </c>
      <c r="O301" s="38" t="inlineStr">
        <is>
          <t>C3</t>
        </is>
      </c>
      <c r="P301" s="38" t="n">
        <v>33</v>
      </c>
      <c r="Q301" s="38" t="n">
        <v>15</v>
      </c>
      <c r="R301" s="38" t="inlineStr">
        <is>
          <t>NO</t>
        </is>
      </c>
      <c r="S301" s="38" t="inlineStr">
        <is>
          <t>NO</t>
        </is>
      </c>
      <c r="T301" s="38" t="inlineStr">
        <is>
          <t>NO</t>
        </is>
      </c>
      <c r="U301" s="38" t="n">
        <v>64</v>
      </c>
      <c r="V301" s="38" t="n">
        <v>58</v>
      </c>
      <c r="W301" s="38" t="n">
        <v>64</v>
      </c>
      <c r="X301" s="38" t="n">
        <v>58</v>
      </c>
      <c r="Y301" s="36" t="inlineStr">
        <is>
          <t>2,86 - 4</t>
        </is>
      </c>
      <c r="Z301" s="38" t="inlineStr">
        <is>
          <t>Polyrex</t>
        </is>
      </c>
      <c r="AA301" s="45" t="inlineStr">
        <is>
          <t>6,7cNm / 0,067Nm</t>
        </is>
      </c>
      <c r="AB301" s="45" t="inlineStr">
        <is>
          <t>4,3cNm / 0,043Nm</t>
        </is>
      </c>
      <c r="AC301" s="44" t="n">
        <v>43263</v>
      </c>
      <c r="AD301" s="57" t="n">
        <v>0</v>
      </c>
    </row>
    <row r="302" ht="12.75" customHeight="1" s="123">
      <c r="A302" s="85" t="n">
        <v>300</v>
      </c>
      <c r="B302" s="27" t="inlineStr">
        <is>
          <t>MS07-2RST-01</t>
        </is>
      </c>
      <c r="C302" s="38" t="n">
        <v>17</v>
      </c>
      <c r="D302" s="38" t="n">
        <v>0</v>
      </c>
      <c r="E302" s="38" t="n">
        <v>-120</v>
      </c>
      <c r="F302" s="38" t="n">
        <v>72</v>
      </c>
      <c r="G302" s="38" t="n">
        <v>0</v>
      </c>
      <c r="H302" s="38" t="n">
        <v>-13</v>
      </c>
      <c r="I302" s="38" t="inlineStr">
        <is>
          <t>NO</t>
        </is>
      </c>
      <c r="J302" s="38" t="inlineStr">
        <is>
          <t>NO</t>
        </is>
      </c>
      <c r="K302" s="38" t="inlineStr">
        <is>
          <t>NO</t>
        </is>
      </c>
      <c r="L302" s="38" t="inlineStr">
        <is>
          <t>NO</t>
        </is>
      </c>
      <c r="M302" s="38" t="inlineStr">
        <is>
          <t>NO</t>
        </is>
      </c>
      <c r="N302" s="38" t="inlineStr">
        <is>
          <t>NO</t>
        </is>
      </c>
      <c r="O302" s="38" t="inlineStr">
        <is>
          <t>NO</t>
        </is>
      </c>
      <c r="P302" s="38" t="inlineStr">
        <is>
          <t>NO</t>
        </is>
      </c>
      <c r="Q302" s="38" t="inlineStr">
        <is>
          <t>NO</t>
        </is>
      </c>
      <c r="R302" s="38" t="inlineStr">
        <is>
          <t>NO</t>
        </is>
      </c>
      <c r="S302" s="38" t="inlineStr">
        <is>
          <t>NO</t>
        </is>
      </c>
      <c r="T302" s="38" t="inlineStr">
        <is>
          <t>NO</t>
        </is>
      </c>
      <c r="U302" s="38" t="inlineStr">
        <is>
          <t>NO</t>
        </is>
      </c>
      <c r="V302" s="38" t="inlineStr">
        <is>
          <t>NO</t>
        </is>
      </c>
      <c r="W302" s="38" t="n">
        <v>64</v>
      </c>
      <c r="X302" s="38" t="n">
        <v>58</v>
      </c>
      <c r="Y302" s="38" t="inlineStr">
        <is>
          <t>NO</t>
        </is>
      </c>
      <c r="Z302" s="38" t="inlineStr">
        <is>
          <t>NO</t>
        </is>
      </c>
      <c r="AA302" s="45" t="inlineStr">
        <is>
          <t>NO</t>
        </is>
      </c>
      <c r="AB302" s="38" t="inlineStr">
        <is>
          <t>NO</t>
        </is>
      </c>
      <c r="AC302" s="52" t="n">
        <v>41988</v>
      </c>
      <c r="AD302" s="51" t="inlineStr">
        <is>
          <t>B</t>
        </is>
      </c>
    </row>
    <row r="303" ht="12.75" customHeight="1" s="123">
      <c r="A303" s="85" t="n">
        <v>301</v>
      </c>
      <c r="B303" s="27" t="inlineStr">
        <is>
          <t>MS07-2RST-02</t>
        </is>
      </c>
      <c r="C303" s="38" t="inlineStr">
        <is>
          <t>NO</t>
        </is>
      </c>
      <c r="D303" s="38" t="inlineStr">
        <is>
          <t>NO</t>
        </is>
      </c>
      <c r="E303" s="38" t="inlineStr">
        <is>
          <t>NO</t>
        </is>
      </c>
      <c r="F303" s="38" t="inlineStr">
        <is>
          <t>NO</t>
        </is>
      </c>
      <c r="G303" s="38" t="inlineStr">
        <is>
          <t>NO</t>
        </is>
      </c>
      <c r="H303" s="38" t="inlineStr">
        <is>
          <t>NO</t>
        </is>
      </c>
      <c r="I303" s="38" t="n">
        <v>17</v>
      </c>
      <c r="J303" s="38" t="n">
        <v>0</v>
      </c>
      <c r="K303" s="38" t="n">
        <v>-120</v>
      </c>
      <c r="L303" s="38" t="n">
        <v>35</v>
      </c>
      <c r="M303" s="38" t="n">
        <v>0</v>
      </c>
      <c r="N303" s="38" t="n">
        <v>-12</v>
      </c>
      <c r="O303" s="38" t="inlineStr">
        <is>
          <t>NO</t>
        </is>
      </c>
      <c r="P303" s="38" t="inlineStr">
        <is>
          <t>NO</t>
        </is>
      </c>
      <c r="Q303" s="38" t="inlineStr">
        <is>
          <t>NO</t>
        </is>
      </c>
      <c r="R303" s="38" t="inlineStr">
        <is>
          <t>NO</t>
        </is>
      </c>
      <c r="S303" s="38" t="inlineStr">
        <is>
          <t>NO</t>
        </is>
      </c>
      <c r="T303" s="38" t="inlineStr">
        <is>
          <t>NO</t>
        </is>
      </c>
      <c r="U303" s="38" t="n">
        <v>64</v>
      </c>
      <c r="V303" s="38" t="n">
        <v>58</v>
      </c>
      <c r="W303" s="38" t="inlineStr">
        <is>
          <t>NO</t>
        </is>
      </c>
      <c r="X303" s="38" t="inlineStr">
        <is>
          <t>NO</t>
        </is>
      </c>
      <c r="Y303" s="38" t="inlineStr">
        <is>
          <t>NO</t>
        </is>
      </c>
      <c r="Z303" s="38" t="inlineStr">
        <is>
          <t>NO</t>
        </is>
      </c>
      <c r="AA303" s="45" t="inlineStr">
        <is>
          <t>NO</t>
        </is>
      </c>
      <c r="AB303" s="38" t="inlineStr">
        <is>
          <t>NO</t>
        </is>
      </c>
      <c r="AC303" s="52" t="n">
        <v>41988</v>
      </c>
      <c r="AD303" s="51" t="inlineStr">
        <is>
          <t>B</t>
        </is>
      </c>
    </row>
    <row r="304" ht="12.75" customHeight="1" s="123">
      <c r="A304" s="85" t="n">
        <v>302</v>
      </c>
      <c r="B304" s="30" t="inlineStr">
        <is>
          <t>MS07-D-01</t>
        </is>
      </c>
      <c r="C304" s="38" t="n">
        <v>17</v>
      </c>
      <c r="D304" s="38" t="n">
        <v>0</v>
      </c>
      <c r="E304" s="38" t="n">
        <v>-120</v>
      </c>
      <c r="F304" s="38" t="n">
        <v>72</v>
      </c>
      <c r="G304" s="38" t="n">
        <v>0</v>
      </c>
      <c r="H304" s="38" t="n">
        <v>-13</v>
      </c>
      <c r="I304" s="38" t="inlineStr">
        <is>
          <t>NO</t>
        </is>
      </c>
      <c r="J304" s="38" t="inlineStr">
        <is>
          <t>NO</t>
        </is>
      </c>
      <c r="K304" s="38" t="inlineStr">
        <is>
          <t>NO</t>
        </is>
      </c>
      <c r="L304" s="38" t="inlineStr">
        <is>
          <t>NO</t>
        </is>
      </c>
      <c r="M304" s="38" t="inlineStr">
        <is>
          <t>NO</t>
        </is>
      </c>
      <c r="N304" s="38" t="inlineStr">
        <is>
          <t>NO</t>
        </is>
      </c>
      <c r="O304" s="38" t="inlineStr">
        <is>
          <t>NO</t>
        </is>
      </c>
      <c r="P304" s="38" t="inlineStr">
        <is>
          <t>NO</t>
        </is>
      </c>
      <c r="Q304" s="38" t="inlineStr">
        <is>
          <t>NO</t>
        </is>
      </c>
      <c r="R304" s="38" t="inlineStr">
        <is>
          <t>NO</t>
        </is>
      </c>
      <c r="S304" s="38" t="inlineStr">
        <is>
          <t>NO</t>
        </is>
      </c>
      <c r="T304" s="38" t="inlineStr">
        <is>
          <t>NO</t>
        </is>
      </c>
      <c r="U304" s="38" t="inlineStr">
        <is>
          <t>NO</t>
        </is>
      </c>
      <c r="V304" s="38" t="inlineStr">
        <is>
          <t>NO</t>
        </is>
      </c>
      <c r="W304" s="38" t="n">
        <v>64</v>
      </c>
      <c r="X304" s="38" t="n">
        <v>58</v>
      </c>
      <c r="Y304" s="38" t="inlineStr">
        <is>
          <t>NO</t>
        </is>
      </c>
      <c r="Z304" s="38" t="inlineStr">
        <is>
          <t>NO</t>
        </is>
      </c>
      <c r="AA304" s="45" t="inlineStr">
        <is>
          <t>NO</t>
        </is>
      </c>
      <c r="AB304" s="38" t="inlineStr">
        <is>
          <t>NO</t>
        </is>
      </c>
      <c r="AC304" s="44" t="n">
        <v>42389</v>
      </c>
      <c r="AD304" s="57" t="inlineStr">
        <is>
          <t>C</t>
        </is>
      </c>
    </row>
    <row r="305" ht="12.75" customHeight="1" s="123">
      <c r="A305" s="85" t="n">
        <v>303</v>
      </c>
      <c r="B305" s="30" t="inlineStr">
        <is>
          <t>MS07-D-02</t>
        </is>
      </c>
      <c r="C305" s="38" t="inlineStr">
        <is>
          <t>NO</t>
        </is>
      </c>
      <c r="D305" s="38" t="inlineStr">
        <is>
          <t>NO</t>
        </is>
      </c>
      <c r="E305" s="38" t="inlineStr">
        <is>
          <t>NO</t>
        </is>
      </c>
      <c r="F305" s="38" t="inlineStr">
        <is>
          <t>NO</t>
        </is>
      </c>
      <c r="G305" s="38" t="inlineStr">
        <is>
          <t>NO</t>
        </is>
      </c>
      <c r="H305" s="38" t="inlineStr">
        <is>
          <t>NO</t>
        </is>
      </c>
      <c r="I305" s="38" t="n">
        <v>17</v>
      </c>
      <c r="J305" s="38" t="n">
        <v>0</v>
      </c>
      <c r="K305" s="38" t="n">
        <v>-120</v>
      </c>
      <c r="L305" s="38" t="n">
        <v>35</v>
      </c>
      <c r="M305" s="38" t="n">
        <v>0</v>
      </c>
      <c r="N305" s="38" t="n">
        <v>-12</v>
      </c>
      <c r="O305" s="38" t="inlineStr">
        <is>
          <t>NO</t>
        </is>
      </c>
      <c r="P305" s="38" t="inlineStr">
        <is>
          <t>NO</t>
        </is>
      </c>
      <c r="Q305" s="38" t="inlineStr">
        <is>
          <t>NO</t>
        </is>
      </c>
      <c r="R305" s="38" t="inlineStr">
        <is>
          <t>NO</t>
        </is>
      </c>
      <c r="S305" s="38" t="inlineStr">
        <is>
          <t>NO</t>
        </is>
      </c>
      <c r="T305" s="38" t="inlineStr">
        <is>
          <t>NO</t>
        </is>
      </c>
      <c r="U305" s="38" t="n">
        <v>64</v>
      </c>
      <c r="V305" s="38" t="n">
        <v>58</v>
      </c>
      <c r="W305" s="38" t="inlineStr">
        <is>
          <t>NO</t>
        </is>
      </c>
      <c r="X305" s="38" t="inlineStr">
        <is>
          <t>NO</t>
        </is>
      </c>
      <c r="Y305" s="38" t="inlineStr">
        <is>
          <t>NO</t>
        </is>
      </c>
      <c r="Z305" s="38" t="inlineStr">
        <is>
          <t>NO</t>
        </is>
      </c>
      <c r="AA305" s="45" t="inlineStr">
        <is>
          <t>NO</t>
        </is>
      </c>
      <c r="AB305" s="38" t="inlineStr">
        <is>
          <t>NO</t>
        </is>
      </c>
      <c r="AC305" s="44" t="n">
        <v>42389</v>
      </c>
      <c r="AD305" s="57" t="inlineStr">
        <is>
          <t>C</t>
        </is>
      </c>
    </row>
    <row r="306" ht="12.75" customHeight="1" s="123">
      <c r="A306" s="85" t="n">
        <v>304</v>
      </c>
      <c r="B306" s="27" t="inlineStr">
        <is>
          <t>MS07-D-C3</t>
        </is>
      </c>
      <c r="C306" s="38" t="n">
        <v>17</v>
      </c>
      <c r="D306" s="38" t="n">
        <v>0</v>
      </c>
      <c r="E306" s="38" t="n">
        <v>-120</v>
      </c>
      <c r="F306" s="38" t="n">
        <v>72</v>
      </c>
      <c r="G306" s="38" t="n">
        <v>0</v>
      </c>
      <c r="H306" s="38" t="n">
        <v>-13</v>
      </c>
      <c r="I306" s="38" t="n">
        <v>17</v>
      </c>
      <c r="J306" s="38" t="n">
        <v>0</v>
      </c>
      <c r="K306" s="38" t="n">
        <v>-120</v>
      </c>
      <c r="L306" s="38" t="n">
        <v>35</v>
      </c>
      <c r="M306" s="38" t="n">
        <v>0</v>
      </c>
      <c r="N306" s="38" t="n">
        <v>-12</v>
      </c>
      <c r="O306" s="38" t="inlineStr">
        <is>
          <t>C3</t>
        </is>
      </c>
      <c r="P306" s="38" t="n">
        <v>33</v>
      </c>
      <c r="Q306" s="38" t="n">
        <v>15</v>
      </c>
      <c r="R306" s="38" t="inlineStr">
        <is>
          <t>NO</t>
        </is>
      </c>
      <c r="S306" s="38" t="inlineStr">
        <is>
          <t>NO</t>
        </is>
      </c>
      <c r="T306" s="38" t="inlineStr">
        <is>
          <t>NO</t>
        </is>
      </c>
      <c r="U306" s="38" t="n">
        <v>64</v>
      </c>
      <c r="V306" s="38" t="n">
        <v>58</v>
      </c>
      <c r="W306" s="38" t="n">
        <v>64</v>
      </c>
      <c r="X306" s="38" t="n">
        <v>58</v>
      </c>
      <c r="Y306" s="36" t="inlineStr">
        <is>
          <t>NO</t>
        </is>
      </c>
      <c r="Z306" s="38" t="inlineStr">
        <is>
          <t>NO</t>
        </is>
      </c>
      <c r="AA306" s="45" t="inlineStr">
        <is>
          <t>…………..</t>
        </is>
      </c>
      <c r="AB306" s="45" t="inlineStr">
        <is>
          <t>…………..</t>
        </is>
      </c>
      <c r="AC306" s="44" t="inlineStr">
        <is>
          <t>……………</t>
        </is>
      </c>
      <c r="AD306" s="57" t="inlineStr">
        <is>
          <t>………</t>
        </is>
      </c>
    </row>
    <row r="307" ht="12.75" customHeight="1" s="123">
      <c r="A307" s="85" t="n">
        <v>305</v>
      </c>
      <c r="B307" s="30" t="inlineStr">
        <is>
          <t>MS08-2RLD</t>
        </is>
      </c>
      <c r="C307" s="38" t="n">
        <v>18</v>
      </c>
      <c r="D307" s="38" t="n">
        <v>0</v>
      </c>
      <c r="E307" s="38" t="n">
        <v>-120</v>
      </c>
      <c r="F307" s="38" t="n">
        <v>80</v>
      </c>
      <c r="G307" s="38" t="n">
        <v>0</v>
      </c>
      <c r="H307" s="38" t="n">
        <v>-13</v>
      </c>
      <c r="I307" s="38" t="n">
        <v>18</v>
      </c>
      <c r="J307" s="38" t="n">
        <v>0</v>
      </c>
      <c r="K307" s="38" t="n">
        <v>-120</v>
      </c>
      <c r="L307" s="38" t="n">
        <v>40</v>
      </c>
      <c r="M307" s="38" t="n">
        <v>0</v>
      </c>
      <c r="N307" s="38" t="n">
        <v>-12</v>
      </c>
      <c r="O307" s="38" t="inlineStr">
        <is>
          <t>C3</t>
        </is>
      </c>
      <c r="P307" s="38" t="n">
        <v>33</v>
      </c>
      <c r="Q307" s="38" t="n">
        <v>15</v>
      </c>
      <c r="R307" s="45" t="inlineStr">
        <is>
          <t>NO</t>
        </is>
      </c>
      <c r="S307" s="45" t="inlineStr">
        <is>
          <t>NO</t>
        </is>
      </c>
      <c r="T307" s="45" t="inlineStr">
        <is>
          <t>NO</t>
        </is>
      </c>
      <c r="U307" s="45" t="n">
        <v>64</v>
      </c>
      <c r="V307" s="38" t="n">
        <v>58</v>
      </c>
      <c r="W307" s="38" t="n">
        <v>64</v>
      </c>
      <c r="X307" s="38" t="n">
        <v>58</v>
      </c>
      <c r="Y307" s="45" t="inlineStr">
        <is>
          <t>4-5,6</t>
        </is>
      </c>
      <c r="Z307" s="45" t="inlineStr">
        <is>
          <t>Polyrex</t>
        </is>
      </c>
      <c r="AA307" s="45" t="inlineStr">
        <is>
          <t>10cNm / 0,1Nm</t>
        </is>
      </c>
      <c r="AB307" s="45" t="inlineStr">
        <is>
          <t>6,5cNm / 0,065Nm</t>
        </is>
      </c>
      <c r="AC307" s="44" t="n">
        <v>43132</v>
      </c>
      <c r="AD307" s="57" t="n">
        <v>0</v>
      </c>
    </row>
    <row r="308" ht="12.75" customHeight="1" s="123">
      <c r="A308" s="85" t="n">
        <v>306</v>
      </c>
      <c r="B308" s="30" t="inlineStr">
        <is>
          <t>MS08-2RS</t>
        </is>
      </c>
      <c r="C308" s="38" t="n">
        <v>18</v>
      </c>
      <c r="D308" s="38" t="n">
        <v>0</v>
      </c>
      <c r="E308" s="38" t="n">
        <v>-120</v>
      </c>
      <c r="F308" s="38" t="n">
        <v>80</v>
      </c>
      <c r="G308" s="38" t="n">
        <v>0</v>
      </c>
      <c r="H308" s="38" t="n">
        <v>-13</v>
      </c>
      <c r="I308" s="38" t="n">
        <v>18</v>
      </c>
      <c r="J308" s="38" t="n">
        <v>0</v>
      </c>
      <c r="K308" s="38" t="n">
        <v>-120</v>
      </c>
      <c r="L308" s="38" t="n">
        <v>40</v>
      </c>
      <c r="M308" s="38" t="n">
        <v>0</v>
      </c>
      <c r="N308" s="38" t="n">
        <v>-12</v>
      </c>
      <c r="O308" s="38" t="inlineStr">
        <is>
          <t>C3</t>
        </is>
      </c>
      <c r="P308" s="38" t="n">
        <v>33</v>
      </c>
      <c r="Q308" s="38" t="n">
        <v>15</v>
      </c>
      <c r="R308" s="45" t="inlineStr">
        <is>
          <t>NO</t>
        </is>
      </c>
      <c r="S308" s="45" t="inlineStr">
        <is>
          <t>NO</t>
        </is>
      </c>
      <c r="T308" s="45" t="inlineStr">
        <is>
          <t>NO</t>
        </is>
      </c>
      <c r="U308" s="45" t="n">
        <v>64</v>
      </c>
      <c r="V308" s="38" t="n">
        <v>58</v>
      </c>
      <c r="W308" s="38" t="n">
        <v>64</v>
      </c>
      <c r="X308" s="38" t="n">
        <v>58</v>
      </c>
      <c r="Y308" s="45" t="inlineStr">
        <is>
          <t>4-5,6</t>
        </is>
      </c>
      <c r="Z308" s="45" t="inlineStr">
        <is>
          <t>Polyrex</t>
        </is>
      </c>
      <c r="AA308" s="45" t="inlineStr">
        <is>
          <t>10cNm / 0,1Nm</t>
        </is>
      </c>
      <c r="AB308" s="45" t="inlineStr">
        <is>
          <t>6,5cNm / 0,065Nm</t>
        </is>
      </c>
      <c r="AC308" s="44" t="n">
        <v>42963</v>
      </c>
      <c r="AD308" s="57" t="n">
        <v>0</v>
      </c>
    </row>
    <row r="309" ht="12.75" customHeight="1" s="123">
      <c r="A309" s="85" t="n">
        <v>307</v>
      </c>
      <c r="B309" s="30" t="inlineStr">
        <is>
          <t>MS09-2RST</t>
        </is>
      </c>
      <c r="C309" s="38" t="n">
        <v>19</v>
      </c>
      <c r="D309" s="38" t="n">
        <v>0</v>
      </c>
      <c r="E309" s="38" t="n">
        <v>-120</v>
      </c>
      <c r="F309" s="38" t="n">
        <v>85</v>
      </c>
      <c r="G309" s="38" t="n">
        <v>0</v>
      </c>
      <c r="H309" s="38" t="n">
        <v>-15</v>
      </c>
      <c r="I309" s="38" t="n">
        <v>19</v>
      </c>
      <c r="J309" s="38" t="n">
        <v>0</v>
      </c>
      <c r="K309" s="38" t="n">
        <v>-120</v>
      </c>
      <c r="L309" s="38" t="n">
        <v>45</v>
      </c>
      <c r="M309" s="38" t="n">
        <v>0</v>
      </c>
      <c r="N309" s="38" t="n">
        <v>-12</v>
      </c>
      <c r="O309" s="38" t="inlineStr">
        <is>
          <t>C3</t>
        </is>
      </c>
      <c r="P309" s="38" t="n">
        <v>36</v>
      </c>
      <c r="Q309" s="38" t="n">
        <v>18</v>
      </c>
      <c r="R309" s="38" t="inlineStr">
        <is>
          <t>NO</t>
        </is>
      </c>
      <c r="S309" s="38" t="inlineStr">
        <is>
          <t>NO</t>
        </is>
      </c>
      <c r="T309" s="38" t="inlineStr">
        <is>
          <t>NO</t>
        </is>
      </c>
      <c r="U309" s="38" t="n">
        <v>64</v>
      </c>
      <c r="V309" s="38" t="n">
        <v>58</v>
      </c>
      <c r="W309" s="38" t="n">
        <v>64</v>
      </c>
      <c r="X309" s="38" t="n">
        <v>58</v>
      </c>
      <c r="Y309" s="38" t="inlineStr">
        <is>
          <t>13 - 14,8</t>
        </is>
      </c>
      <c r="Z309" s="38" t="inlineStr">
        <is>
          <t>Polyrex</t>
        </is>
      </c>
      <c r="AA309" s="45" t="inlineStr">
        <is>
          <t>17,6cNm / 0,176Nm</t>
        </is>
      </c>
      <c r="AB309" s="45" t="inlineStr">
        <is>
          <t>10,5cNm / 0,105Nm</t>
        </is>
      </c>
      <c r="AC309" s="44" t="n">
        <v>42256</v>
      </c>
      <c r="AD309" s="57" t="n">
        <v>0</v>
      </c>
    </row>
    <row r="310" ht="12.75" customHeight="1" s="123">
      <c r="A310" s="85" t="n">
        <v>308</v>
      </c>
      <c r="B310" s="30" t="inlineStr">
        <is>
          <t>MS09-2RST-01</t>
        </is>
      </c>
      <c r="C310" s="38" t="n">
        <v>19</v>
      </c>
      <c r="D310" s="38" t="n">
        <v>0</v>
      </c>
      <c r="E310" s="38" t="n">
        <v>-120</v>
      </c>
      <c r="F310" s="38" t="n">
        <v>85</v>
      </c>
      <c r="G310" s="38" t="n">
        <v>0</v>
      </c>
      <c r="H310" s="38" t="n">
        <v>-15</v>
      </c>
      <c r="I310" s="38" t="inlineStr">
        <is>
          <t>NO</t>
        </is>
      </c>
      <c r="J310" s="38" t="inlineStr">
        <is>
          <t>NO</t>
        </is>
      </c>
      <c r="K310" s="38" t="inlineStr">
        <is>
          <t>NO</t>
        </is>
      </c>
      <c r="L310" s="38" t="inlineStr">
        <is>
          <t>NO</t>
        </is>
      </c>
      <c r="M310" s="38" t="inlineStr">
        <is>
          <t>NO</t>
        </is>
      </c>
      <c r="N310" s="38" t="inlineStr">
        <is>
          <t>NO</t>
        </is>
      </c>
      <c r="O310" s="38" t="inlineStr">
        <is>
          <t>NO</t>
        </is>
      </c>
      <c r="P310" s="38" t="inlineStr">
        <is>
          <t>NO</t>
        </is>
      </c>
      <c r="Q310" s="38" t="inlineStr">
        <is>
          <t>NO</t>
        </is>
      </c>
      <c r="R310" s="38" t="inlineStr">
        <is>
          <t>NO</t>
        </is>
      </c>
      <c r="S310" s="38" t="inlineStr">
        <is>
          <t>NO</t>
        </is>
      </c>
      <c r="T310" s="38" t="inlineStr">
        <is>
          <t>NO</t>
        </is>
      </c>
      <c r="U310" s="38" t="inlineStr">
        <is>
          <t>NO</t>
        </is>
      </c>
      <c r="V310" s="38" t="inlineStr">
        <is>
          <t>NO</t>
        </is>
      </c>
      <c r="W310" s="38" t="n">
        <v>64</v>
      </c>
      <c r="X310" s="38" t="n">
        <v>58</v>
      </c>
      <c r="Y310" s="38" t="inlineStr">
        <is>
          <t>NO</t>
        </is>
      </c>
      <c r="Z310" s="38" t="inlineStr">
        <is>
          <t>NO</t>
        </is>
      </c>
      <c r="AA310" s="45" t="inlineStr">
        <is>
          <t>…………..</t>
        </is>
      </c>
      <c r="AB310" s="45" t="inlineStr">
        <is>
          <t>…………..</t>
        </is>
      </c>
      <c r="AC310" s="44" t="inlineStr">
        <is>
          <t>……………</t>
        </is>
      </c>
      <c r="AD310" s="57" t="inlineStr">
        <is>
          <t>………</t>
        </is>
      </c>
    </row>
    <row r="311" ht="12.75" customHeight="1" s="123">
      <c r="A311" s="85" t="n">
        <v>309</v>
      </c>
      <c r="B311" s="30" t="inlineStr">
        <is>
          <t>MS09-2RST-02</t>
        </is>
      </c>
      <c r="C311" s="38" t="inlineStr">
        <is>
          <t>NO</t>
        </is>
      </c>
      <c r="D311" s="38" t="inlineStr">
        <is>
          <t>NO</t>
        </is>
      </c>
      <c r="E311" s="38" t="inlineStr">
        <is>
          <t>NO</t>
        </is>
      </c>
      <c r="F311" s="38" t="inlineStr">
        <is>
          <t>NO</t>
        </is>
      </c>
      <c r="G311" s="38" t="inlineStr">
        <is>
          <t>NO</t>
        </is>
      </c>
      <c r="H311" s="38" t="inlineStr">
        <is>
          <t>NO</t>
        </is>
      </c>
      <c r="I311" s="38" t="n">
        <v>19</v>
      </c>
      <c r="J311" s="38" t="n">
        <v>0</v>
      </c>
      <c r="K311" s="38" t="n">
        <v>-120</v>
      </c>
      <c r="L311" s="38" t="n">
        <v>45</v>
      </c>
      <c r="M311" s="38" t="n">
        <v>0</v>
      </c>
      <c r="N311" s="38" t="n">
        <v>-12</v>
      </c>
      <c r="O311" s="38" t="inlineStr">
        <is>
          <t>NO</t>
        </is>
      </c>
      <c r="P311" s="38" t="inlineStr">
        <is>
          <t>NO</t>
        </is>
      </c>
      <c r="Q311" s="38" t="inlineStr">
        <is>
          <t>NO</t>
        </is>
      </c>
      <c r="R311" s="38" t="inlineStr">
        <is>
          <t>NO</t>
        </is>
      </c>
      <c r="S311" s="38" t="inlineStr">
        <is>
          <t>NO</t>
        </is>
      </c>
      <c r="T311" s="38" t="inlineStr">
        <is>
          <t>NO</t>
        </is>
      </c>
      <c r="U311" s="38" t="n">
        <v>64</v>
      </c>
      <c r="V311" s="38" t="n">
        <v>58</v>
      </c>
      <c r="W311" s="38" t="inlineStr">
        <is>
          <t>NO</t>
        </is>
      </c>
      <c r="X311" s="38" t="inlineStr">
        <is>
          <t>NO</t>
        </is>
      </c>
      <c r="Y311" s="38" t="inlineStr">
        <is>
          <t>NO</t>
        </is>
      </c>
      <c r="Z311" s="38" t="inlineStr">
        <is>
          <t>NO</t>
        </is>
      </c>
      <c r="AA311" s="45" t="inlineStr">
        <is>
          <t>…………..</t>
        </is>
      </c>
      <c r="AB311" s="45" t="inlineStr">
        <is>
          <t>…………..</t>
        </is>
      </c>
      <c r="AC311" s="44" t="inlineStr">
        <is>
          <t>……………</t>
        </is>
      </c>
      <c r="AD311" s="57" t="inlineStr">
        <is>
          <t>………</t>
        </is>
      </c>
    </row>
    <row r="312" ht="12.75" customHeight="1" s="123">
      <c r="A312" s="85" t="n">
        <v>310</v>
      </c>
      <c r="B312" s="30" t="inlineStr">
        <is>
          <t>MS10-2RLD</t>
        </is>
      </c>
      <c r="C312" s="38" t="n">
        <v>20</v>
      </c>
      <c r="D312" s="38" t="n">
        <v>0</v>
      </c>
      <c r="E312" s="38" t="n">
        <v>-120</v>
      </c>
      <c r="F312" s="38" t="n">
        <v>90</v>
      </c>
      <c r="G312" s="38" t="n">
        <v>0</v>
      </c>
      <c r="H312" s="38" t="n">
        <v>-15</v>
      </c>
      <c r="I312" s="38" t="n">
        <v>20</v>
      </c>
      <c r="J312" s="38" t="n">
        <v>0</v>
      </c>
      <c r="K312" s="38" t="n">
        <v>-120</v>
      </c>
      <c r="L312" s="38" t="n">
        <v>50</v>
      </c>
      <c r="M312" s="38" t="n">
        <v>0</v>
      </c>
      <c r="N312" s="38" t="n">
        <v>-12</v>
      </c>
      <c r="O312" s="38" t="inlineStr">
        <is>
          <t>C3</t>
        </is>
      </c>
      <c r="P312" s="38" t="n">
        <v>18</v>
      </c>
      <c r="Q312" s="38" t="n">
        <v>36</v>
      </c>
      <c r="R312" s="38" t="inlineStr">
        <is>
          <t>NO</t>
        </is>
      </c>
      <c r="S312" s="38" t="inlineStr">
        <is>
          <t>NO</t>
        </is>
      </c>
      <c r="T312" s="38" t="inlineStr">
        <is>
          <t>NO</t>
        </is>
      </c>
      <c r="U312" s="38" t="n">
        <v>64</v>
      </c>
      <c r="V312" s="38" t="n">
        <v>58</v>
      </c>
      <c r="W312" s="38" t="n">
        <v>64</v>
      </c>
      <c r="X312" s="38" t="n">
        <v>58</v>
      </c>
      <c r="Y312" s="38" t="inlineStr">
        <is>
          <t>5,29 - 7,4</t>
        </is>
      </c>
      <c r="Z312" s="38" t="inlineStr">
        <is>
          <t>Polyrex</t>
        </is>
      </c>
      <c r="AA312" s="45" t="inlineStr">
        <is>
          <t>17,6cNm / 0,176Nm</t>
        </is>
      </c>
      <c r="AB312" s="45" t="inlineStr">
        <is>
          <t>10,5cNm / 0,105Nm</t>
        </is>
      </c>
      <c r="AC312" s="44" t="n">
        <v>42656</v>
      </c>
      <c r="AD312" s="57" t="n">
        <v>0</v>
      </c>
    </row>
    <row r="313" ht="12.75" customHeight="1" s="123">
      <c r="A313" s="85" t="n">
        <v>311</v>
      </c>
      <c r="B313" s="30" t="inlineStr">
        <is>
          <t>MS10-2RS</t>
        </is>
      </c>
      <c r="C313" s="38" t="n">
        <v>20</v>
      </c>
      <c r="D313" s="38" t="n">
        <v>0</v>
      </c>
      <c r="E313" s="38" t="n">
        <v>-120</v>
      </c>
      <c r="F313" s="38" t="n">
        <v>90</v>
      </c>
      <c r="G313" s="38" t="n">
        <v>0</v>
      </c>
      <c r="H313" s="38" t="n">
        <v>-15</v>
      </c>
      <c r="I313" s="38" t="n">
        <v>20</v>
      </c>
      <c r="J313" s="38" t="n">
        <v>0</v>
      </c>
      <c r="K313" s="38" t="n">
        <v>-120</v>
      </c>
      <c r="L313" s="38" t="n">
        <v>50</v>
      </c>
      <c r="M313" s="38" t="n">
        <v>0</v>
      </c>
      <c r="N313" s="38" t="n">
        <v>-12</v>
      </c>
      <c r="O313" s="38" t="inlineStr">
        <is>
          <t>C3</t>
        </is>
      </c>
      <c r="P313" s="38" t="n">
        <v>13</v>
      </c>
      <c r="Q313" s="38" t="n">
        <v>28</v>
      </c>
      <c r="R313" s="38" t="inlineStr">
        <is>
          <t>NO</t>
        </is>
      </c>
      <c r="S313" s="38" t="inlineStr">
        <is>
          <t>NO</t>
        </is>
      </c>
      <c r="T313" s="38" t="inlineStr">
        <is>
          <t>NO</t>
        </is>
      </c>
      <c r="U313" s="38" t="n">
        <v>64</v>
      </c>
      <c r="V313" s="38" t="n">
        <v>58</v>
      </c>
      <c r="W313" s="38" t="n">
        <v>64</v>
      </c>
      <c r="X313" s="38" t="n">
        <v>58</v>
      </c>
      <c r="Y313" s="38" t="inlineStr">
        <is>
          <t>5,29 - 7,4</t>
        </is>
      </c>
      <c r="Z313" s="38" t="inlineStr">
        <is>
          <t>Polyrex</t>
        </is>
      </c>
      <c r="AA313" s="45" t="inlineStr">
        <is>
          <t>17,6cNm / 0,176Nm</t>
        </is>
      </c>
      <c r="AB313" s="45" t="inlineStr">
        <is>
          <t>10,5cNm / 0,105Nm</t>
        </is>
      </c>
      <c r="AC313" s="44" t="n">
        <v>41225</v>
      </c>
      <c r="AD313" s="57" t="n">
        <v>0</v>
      </c>
    </row>
    <row r="314" ht="12.75" customHeight="1" s="123">
      <c r="A314" s="85" t="n">
        <v>312</v>
      </c>
      <c r="B314" s="30" t="inlineStr">
        <is>
          <t>MS10-2RST</t>
        </is>
      </c>
      <c r="C314" s="38" t="n">
        <v>20</v>
      </c>
      <c r="D314" s="38" t="n">
        <v>0</v>
      </c>
      <c r="E314" s="38" t="n">
        <v>-120</v>
      </c>
      <c r="F314" s="38" t="n">
        <v>90</v>
      </c>
      <c r="G314" s="38" t="n">
        <v>0</v>
      </c>
      <c r="H314" s="38" t="n">
        <v>-15</v>
      </c>
      <c r="I314" s="38" t="n">
        <v>20</v>
      </c>
      <c r="J314" s="38" t="n">
        <v>0</v>
      </c>
      <c r="K314" s="38" t="n">
        <v>-120</v>
      </c>
      <c r="L314" s="38" t="n">
        <v>50</v>
      </c>
      <c r="M314" s="38" t="n">
        <v>0</v>
      </c>
      <c r="N314" s="38" t="n">
        <v>-12</v>
      </c>
      <c r="O314" s="38" t="inlineStr">
        <is>
          <t>C3</t>
        </is>
      </c>
      <c r="P314" s="38" t="n">
        <v>36</v>
      </c>
      <c r="Q314" s="38" t="n">
        <v>18</v>
      </c>
      <c r="R314" s="38" t="inlineStr">
        <is>
          <t>NO</t>
        </is>
      </c>
      <c r="S314" s="38" t="inlineStr">
        <is>
          <t>NO</t>
        </is>
      </c>
      <c r="T314" s="38" t="inlineStr">
        <is>
          <t>NO</t>
        </is>
      </c>
      <c r="U314" s="38" t="n">
        <v>64</v>
      </c>
      <c r="V314" s="38" t="n">
        <v>58</v>
      </c>
      <c r="W314" s="38" t="n">
        <v>64</v>
      </c>
      <c r="X314" s="38" t="n">
        <v>58</v>
      </c>
      <c r="Y314" s="38" t="inlineStr">
        <is>
          <t>70%-80%</t>
        </is>
      </c>
      <c r="Z314" s="38" t="inlineStr">
        <is>
          <t>Polyrex</t>
        </is>
      </c>
      <c r="AA314" s="45" t="inlineStr">
        <is>
          <t>Reporte de inspección</t>
        </is>
      </c>
      <c r="AB314" s="45" t="inlineStr">
        <is>
          <t>Reporte de inspección</t>
        </is>
      </c>
      <c r="AC314" s="44" t="n">
        <v>40304</v>
      </c>
      <c r="AD314" s="57" t="n">
        <v>0</v>
      </c>
    </row>
    <row r="315" ht="12.75" customHeight="1" s="123">
      <c r="A315" s="85" t="n">
        <v>313</v>
      </c>
      <c r="B315" s="30" t="inlineStr">
        <is>
          <t>MS10-2RSTK</t>
        </is>
      </c>
      <c r="C315" s="38" t="n">
        <v>20</v>
      </c>
      <c r="D315" s="38" t="n">
        <v>0</v>
      </c>
      <c r="E315" s="38" t="n">
        <v>-120</v>
      </c>
      <c r="F315" s="38" t="n">
        <v>90</v>
      </c>
      <c r="G315" s="38" t="n">
        <v>0</v>
      </c>
      <c r="H315" s="38" t="n">
        <v>-15</v>
      </c>
      <c r="I315" s="38" t="n">
        <v>20</v>
      </c>
      <c r="J315" s="38" t="n">
        <v>0</v>
      </c>
      <c r="K315" s="38" t="n">
        <v>-120</v>
      </c>
      <c r="L315" s="38" t="n">
        <v>50</v>
      </c>
      <c r="M315" s="38" t="n">
        <v>0</v>
      </c>
      <c r="N315" s="38" t="n">
        <v>-12</v>
      </c>
      <c r="O315" s="38" t="inlineStr">
        <is>
          <t>C3</t>
        </is>
      </c>
      <c r="P315" s="38" t="n">
        <v>36</v>
      </c>
      <c r="Q315" s="38" t="n">
        <v>18</v>
      </c>
      <c r="R315" s="38" t="inlineStr">
        <is>
          <t>NO</t>
        </is>
      </c>
      <c r="S315" s="38" t="inlineStr">
        <is>
          <t>NO</t>
        </is>
      </c>
      <c r="T315" s="38" t="inlineStr">
        <is>
          <t>NO</t>
        </is>
      </c>
      <c r="U315" s="38" t="n">
        <v>64</v>
      </c>
      <c r="V315" s="38" t="n">
        <v>58</v>
      </c>
      <c r="W315" s="38" t="n">
        <v>64</v>
      </c>
      <c r="X315" s="38" t="n">
        <v>58</v>
      </c>
      <c r="Y315" s="38" t="inlineStr">
        <is>
          <t>70%-80%</t>
        </is>
      </c>
      <c r="Z315" s="38" t="inlineStr">
        <is>
          <t>Polyrex</t>
        </is>
      </c>
      <c r="AA315" s="45" t="inlineStr">
        <is>
          <t>Reporte de inspección</t>
        </is>
      </c>
      <c r="AB315" s="45" t="inlineStr">
        <is>
          <t>Reporte de inspección</t>
        </is>
      </c>
      <c r="AC315" s="44" t="n">
        <v>42663</v>
      </c>
      <c r="AD315" s="57" t="n">
        <v>0</v>
      </c>
    </row>
    <row r="316" ht="12.75" customHeight="1" s="123">
      <c r="A316" s="85" t="n">
        <v>314</v>
      </c>
      <c r="B316" s="30" t="inlineStr">
        <is>
          <t>MS11-2RS</t>
        </is>
      </c>
      <c r="C316" s="38" t="n">
        <v>21</v>
      </c>
      <c r="D316" s="38" t="n">
        <v>0</v>
      </c>
      <c r="E316" s="38" t="n">
        <v>-150</v>
      </c>
      <c r="F316" s="38" t="n">
        <v>100</v>
      </c>
      <c r="G316" s="38" t="n">
        <v>0</v>
      </c>
      <c r="H316" s="38" t="n">
        <v>-15</v>
      </c>
      <c r="I316" s="38" t="n">
        <v>21</v>
      </c>
      <c r="J316" s="38" t="n">
        <v>0</v>
      </c>
      <c r="K316" s="38" t="n">
        <v>-150</v>
      </c>
      <c r="L316" s="38" t="n">
        <v>55</v>
      </c>
      <c r="M316" s="38" t="n">
        <v>0</v>
      </c>
      <c r="N316" s="38" t="n">
        <v>-15</v>
      </c>
      <c r="O316" s="38" t="inlineStr">
        <is>
          <t>C3</t>
        </is>
      </c>
      <c r="P316" s="38" t="n">
        <v>43</v>
      </c>
      <c r="Q316" s="38" t="n">
        <v>23</v>
      </c>
      <c r="R316" s="38" t="inlineStr">
        <is>
          <t>NO</t>
        </is>
      </c>
      <c r="S316" s="38" t="inlineStr">
        <is>
          <t>NO</t>
        </is>
      </c>
      <c r="T316" s="38" t="inlineStr">
        <is>
          <t>NO</t>
        </is>
      </c>
      <c r="U316" s="38" t="n">
        <v>64</v>
      </c>
      <c r="V316" s="38" t="n">
        <v>58</v>
      </c>
      <c r="W316" s="38" t="n">
        <v>64</v>
      </c>
      <c r="X316" s="38" t="n">
        <v>58</v>
      </c>
      <c r="Y316" s="38" t="inlineStr">
        <is>
          <t>7.05 - 9.86</t>
        </is>
      </c>
      <c r="Z316" s="38" t="inlineStr">
        <is>
          <t>Polyrex</t>
        </is>
      </c>
      <c r="AA316" s="45" t="inlineStr">
        <is>
          <t>standard</t>
        </is>
      </c>
      <c r="AB316" s="38" t="inlineStr">
        <is>
          <t>standard</t>
        </is>
      </c>
      <c r="AC316" s="52" t="n">
        <v>42992</v>
      </c>
      <c r="AD316" s="51" t="n">
        <v>0</v>
      </c>
    </row>
    <row r="317" ht="12.75" customHeight="1" s="123">
      <c r="A317" s="85" t="n">
        <v>315</v>
      </c>
      <c r="B317" s="30" t="inlineStr">
        <is>
          <t>MS11-D</t>
        </is>
      </c>
      <c r="C317" s="38" t="n">
        <v>21</v>
      </c>
      <c r="D317" s="38" t="n">
        <v>0</v>
      </c>
      <c r="E317" s="38" t="n">
        <v>-150</v>
      </c>
      <c r="F317" s="38" t="n">
        <v>100</v>
      </c>
      <c r="G317" s="38" t="n">
        <v>0</v>
      </c>
      <c r="H317" s="38" t="n">
        <v>-15</v>
      </c>
      <c r="I317" s="38" t="n">
        <v>21</v>
      </c>
      <c r="J317" s="38" t="n">
        <v>0</v>
      </c>
      <c r="K317" s="38" t="n">
        <v>-150</v>
      </c>
      <c r="L317" s="38" t="n">
        <v>55</v>
      </c>
      <c r="M317" s="38" t="n">
        <v>0</v>
      </c>
      <c r="N317" s="38" t="n">
        <v>-15</v>
      </c>
      <c r="O317" s="38" t="inlineStr">
        <is>
          <t>C3</t>
        </is>
      </c>
      <c r="P317" s="38" t="n">
        <v>43</v>
      </c>
      <c r="Q317" s="38" t="n">
        <v>23</v>
      </c>
      <c r="R317" s="38" t="inlineStr">
        <is>
          <t>NO</t>
        </is>
      </c>
      <c r="S317" s="38" t="inlineStr">
        <is>
          <t>NO</t>
        </is>
      </c>
      <c r="T317" s="38" t="inlineStr">
        <is>
          <t>NO</t>
        </is>
      </c>
      <c r="U317" s="38" t="n">
        <v>64</v>
      </c>
      <c r="V317" s="38" t="n">
        <v>58</v>
      </c>
      <c r="W317" s="38" t="n">
        <v>64</v>
      </c>
      <c r="X317" s="38" t="n">
        <v>58</v>
      </c>
      <c r="Y317" s="38" t="inlineStr">
        <is>
          <t>NO</t>
        </is>
      </c>
      <c r="Z317" s="38" t="inlineStr">
        <is>
          <t>NO</t>
        </is>
      </c>
      <c r="AA317" s="45" t="inlineStr">
        <is>
          <t>NO</t>
        </is>
      </c>
      <c r="AB317" s="38" t="inlineStr">
        <is>
          <t>NO</t>
        </is>
      </c>
      <c r="AC317" s="44" t="n">
        <v>42863</v>
      </c>
      <c r="AD317" s="57" t="n">
        <v>0</v>
      </c>
    </row>
    <row r="318" ht="12.75" customHeight="1" s="123">
      <c r="A318" s="85" t="n">
        <v>316</v>
      </c>
      <c r="B318" s="30" t="inlineStr">
        <is>
          <t>MS12-2RS</t>
        </is>
      </c>
      <c r="C318" s="38" t="n">
        <v>22</v>
      </c>
      <c r="D318" s="38" t="n">
        <v>0</v>
      </c>
      <c r="E318" s="38" t="n">
        <v>-150</v>
      </c>
      <c r="F318" s="38" t="n">
        <v>110</v>
      </c>
      <c r="G318" s="38" t="n">
        <v>0</v>
      </c>
      <c r="H318" s="38" t="n">
        <v>-15</v>
      </c>
      <c r="I318" s="38" t="n">
        <v>22</v>
      </c>
      <c r="J318" s="38" t="n">
        <v>0</v>
      </c>
      <c r="K318" s="38" t="n">
        <v>-150</v>
      </c>
      <c r="L318" s="38" t="n">
        <v>60</v>
      </c>
      <c r="M318" s="38" t="n">
        <v>0</v>
      </c>
      <c r="N318" s="38" t="n">
        <v>-15</v>
      </c>
      <c r="O318" s="38" t="inlineStr">
        <is>
          <t>C3</t>
        </is>
      </c>
      <c r="P318" s="38" t="n">
        <v>43</v>
      </c>
      <c r="Q318" s="38" t="n">
        <v>23</v>
      </c>
      <c r="R318" s="38" t="inlineStr">
        <is>
          <t>NO</t>
        </is>
      </c>
      <c r="S318" s="38" t="inlineStr">
        <is>
          <t>NO</t>
        </is>
      </c>
      <c r="T318" s="38" t="inlineStr">
        <is>
          <t>NO</t>
        </is>
      </c>
      <c r="U318" s="38" t="n">
        <v>64</v>
      </c>
      <c r="V318" s="38" t="n">
        <v>58</v>
      </c>
      <c r="W318" s="38" t="n">
        <v>64</v>
      </c>
      <c r="X318" s="38" t="n">
        <v>58</v>
      </c>
      <c r="Y318" s="38" t="inlineStr">
        <is>
          <t>25 - 35%</t>
        </is>
      </c>
      <c r="Z318" s="38" t="inlineStr">
        <is>
          <t>Polyrex</t>
        </is>
      </c>
      <c r="AA318" s="45" t="inlineStr">
        <is>
          <t>38cNm / 0,38Nm</t>
        </is>
      </c>
      <c r="AB318" s="45" t="inlineStr">
        <is>
          <t>30cNm / 0,30Nm</t>
        </is>
      </c>
      <c r="AC318" s="44" t="n">
        <v>42613</v>
      </c>
      <c r="AD318" s="57" t="n">
        <v>0</v>
      </c>
    </row>
    <row r="319" ht="12.75" customHeight="1" s="123">
      <c r="A319" s="85" t="n">
        <v>317</v>
      </c>
      <c r="B319" s="30" t="inlineStr">
        <is>
          <t>MS18-2RS</t>
        </is>
      </c>
      <c r="C319" s="38" t="n">
        <v>30</v>
      </c>
      <c r="D319" s="38" t="n">
        <v>0</v>
      </c>
      <c r="E319" s="38" t="n">
        <v>-200</v>
      </c>
      <c r="F319" s="38" t="n">
        <v>160</v>
      </c>
      <c r="G319" s="38" t="n">
        <v>0</v>
      </c>
      <c r="H319" s="38" t="n">
        <v>-25</v>
      </c>
      <c r="I319" s="38" t="n">
        <v>30</v>
      </c>
      <c r="J319" s="38" t="n">
        <v>0</v>
      </c>
      <c r="K319" s="38" t="n">
        <v>-200</v>
      </c>
      <c r="L319" s="38" t="n">
        <v>90</v>
      </c>
      <c r="M319" s="38" t="n">
        <v>0</v>
      </c>
      <c r="N319" s="38" t="n">
        <v>-20</v>
      </c>
      <c r="O319" s="38" t="inlineStr">
        <is>
          <t>C3</t>
        </is>
      </c>
      <c r="P319" s="38" t="n">
        <v>58</v>
      </c>
      <c r="Q319" s="38" t="n">
        <v>30</v>
      </c>
      <c r="R319" s="38" t="inlineStr">
        <is>
          <t>NO</t>
        </is>
      </c>
      <c r="S319" s="38" t="inlineStr">
        <is>
          <t>NO</t>
        </is>
      </c>
      <c r="T319" s="38" t="inlineStr">
        <is>
          <t>NO</t>
        </is>
      </c>
      <c r="U319" s="38" t="n">
        <v>64</v>
      </c>
      <c r="V319" s="38" t="n">
        <v>58</v>
      </c>
      <c r="W319" s="38" t="n">
        <v>64</v>
      </c>
      <c r="X319" s="38" t="n">
        <v>58</v>
      </c>
      <c r="Y319" s="36" t="inlineStr">
        <is>
          <t>25%-35%</t>
        </is>
      </c>
      <c r="Z319" s="38" t="inlineStr">
        <is>
          <t>Polyrex</t>
        </is>
      </c>
      <c r="AA319" s="45" t="inlineStr">
        <is>
          <t>NO</t>
        </is>
      </c>
      <c r="AB319" s="38" t="inlineStr">
        <is>
          <t>NO</t>
        </is>
      </c>
      <c r="AC319" s="44" t="n">
        <v>42655</v>
      </c>
      <c r="AD319" s="57" t="n">
        <v>0</v>
      </c>
    </row>
    <row r="320" ht="12.75" customHeight="1" s="123">
      <c r="A320" s="85" t="n">
        <v>318</v>
      </c>
      <c r="B320" s="30" t="inlineStr">
        <is>
          <t>NUP-206</t>
        </is>
      </c>
      <c r="C320" s="38" t="n">
        <v>16</v>
      </c>
      <c r="D320" s="38" t="n">
        <v>0</v>
      </c>
      <c r="E320" s="38" t="n">
        <v>-120</v>
      </c>
      <c r="F320" s="38" t="n">
        <v>62</v>
      </c>
      <c r="G320" s="38" t="n">
        <v>0</v>
      </c>
      <c r="H320" s="38" t="n">
        <v>-13</v>
      </c>
      <c r="I320" s="38" t="n">
        <v>16</v>
      </c>
      <c r="J320" s="38" t="n">
        <v>0</v>
      </c>
      <c r="K320" s="38" t="n">
        <v>-120</v>
      </c>
      <c r="L320" s="38" t="n">
        <v>30</v>
      </c>
      <c r="M320" s="38" t="n">
        <v>0</v>
      </c>
      <c r="N320" s="38" t="n">
        <v>-12</v>
      </c>
      <c r="O320" s="38" t="n"/>
      <c r="P320" s="38" t="n"/>
      <c r="Q320" s="38" t="n"/>
      <c r="R320" s="38" t="n"/>
      <c r="S320" s="38" t="n"/>
      <c r="T320" s="38" t="n"/>
      <c r="U320" s="38" t="n"/>
      <c r="V320" s="38" t="n"/>
      <c r="W320" s="38" t="n"/>
      <c r="X320" s="38" t="n"/>
      <c r="Y320" s="36" t="n"/>
      <c r="Z320" s="38" t="n"/>
      <c r="AA320" s="45" t="inlineStr">
        <is>
          <t>…………..</t>
        </is>
      </c>
      <c r="AB320" s="45" t="inlineStr">
        <is>
          <t>…………..</t>
        </is>
      </c>
      <c r="AC320" s="44" t="inlineStr">
        <is>
          <t>……………</t>
        </is>
      </c>
      <c r="AD320" s="57" t="inlineStr">
        <is>
          <t>………</t>
        </is>
      </c>
    </row>
    <row r="321" ht="12.75" customHeight="1" s="123">
      <c r="A321" s="85" t="n">
        <v>319</v>
      </c>
      <c r="B321" s="30" t="inlineStr">
        <is>
          <t>SS-6201-2RS</t>
        </is>
      </c>
      <c r="C321" s="38" t="n">
        <v>10</v>
      </c>
      <c r="D321" s="38" t="n">
        <v>0</v>
      </c>
      <c r="E321" s="38" t="n">
        <v>-120</v>
      </c>
      <c r="F321" s="38" t="n">
        <v>32</v>
      </c>
      <c r="G321" s="38" t="n">
        <v>0</v>
      </c>
      <c r="H321" s="38" t="n">
        <v>-11</v>
      </c>
      <c r="I321" s="38" t="n">
        <v>10</v>
      </c>
      <c r="J321" s="38" t="n">
        <v>0</v>
      </c>
      <c r="K321" s="38" t="n">
        <v>-120</v>
      </c>
      <c r="L321" s="38" t="n">
        <v>12</v>
      </c>
      <c r="M321" s="38" t="n">
        <v>0</v>
      </c>
      <c r="N321" s="38" t="n">
        <v>-8</v>
      </c>
      <c r="O321" s="38" t="inlineStr">
        <is>
          <t>C3</t>
        </is>
      </c>
      <c r="P321" s="38" t="n">
        <v>25</v>
      </c>
      <c r="Q321" s="38" t="n">
        <v>11</v>
      </c>
      <c r="R321" s="38" t="inlineStr">
        <is>
          <t>NO</t>
        </is>
      </c>
      <c r="S321" s="38" t="inlineStr">
        <is>
          <t>NO</t>
        </is>
      </c>
      <c r="T321" s="38" t="inlineStr">
        <is>
          <t>NO</t>
        </is>
      </c>
      <c r="U321" s="38" t="inlineStr">
        <is>
          <t>NO</t>
        </is>
      </c>
      <c r="V321" s="38" t="inlineStr">
        <is>
          <t>NO</t>
        </is>
      </c>
      <c r="W321" s="38" t="inlineStr">
        <is>
          <t>NO</t>
        </is>
      </c>
      <c r="X321" s="38" t="inlineStr">
        <is>
          <t>NO</t>
        </is>
      </c>
      <c r="Y321" s="38" t="inlineStr">
        <is>
          <t>0,41 - 0,574</t>
        </is>
      </c>
      <c r="Z321" s="38" t="inlineStr">
        <is>
          <t>Polyrex</t>
        </is>
      </c>
      <c r="AA321" s="45" t="inlineStr">
        <is>
          <t>…………..</t>
        </is>
      </c>
      <c r="AB321" s="45" t="inlineStr">
        <is>
          <t>…………..</t>
        </is>
      </c>
      <c r="AC321" s="44" t="inlineStr">
        <is>
          <t>……………</t>
        </is>
      </c>
      <c r="AD321" s="57" t="inlineStr">
        <is>
          <t>………</t>
        </is>
      </c>
    </row>
    <row r="322" ht="12.75" customHeight="1" s="123">
      <c r="A322" s="85" t="n">
        <v>320</v>
      </c>
      <c r="B322" s="27" t="inlineStr">
        <is>
          <t>SS-6202-2RS</t>
        </is>
      </c>
      <c r="C322" s="38" t="n">
        <v>11</v>
      </c>
      <c r="D322" s="38" t="n">
        <v>0</v>
      </c>
      <c r="E322" s="38" t="n">
        <v>-120</v>
      </c>
      <c r="F322" s="38" t="n">
        <v>35</v>
      </c>
      <c r="G322" s="38" t="n">
        <v>0</v>
      </c>
      <c r="H322" s="38" t="n">
        <v>-11</v>
      </c>
      <c r="I322" s="38" t="n">
        <v>11</v>
      </c>
      <c r="J322" s="38" t="n">
        <v>0</v>
      </c>
      <c r="K322" s="38" t="n">
        <v>-120</v>
      </c>
      <c r="L322" s="38" t="n">
        <v>15</v>
      </c>
      <c r="M322" s="38" t="n">
        <v>0</v>
      </c>
      <c r="N322" s="38" t="n">
        <v>-8</v>
      </c>
      <c r="O322" s="38" t="inlineStr">
        <is>
          <t>C3</t>
        </is>
      </c>
      <c r="P322" s="38" t="n">
        <v>11</v>
      </c>
      <c r="Q322" s="38" t="n">
        <v>25</v>
      </c>
      <c r="R322" s="38" t="inlineStr">
        <is>
          <t>NO</t>
        </is>
      </c>
      <c r="S322" s="38" t="inlineStr">
        <is>
          <t>NO</t>
        </is>
      </c>
      <c r="T322" s="38" t="inlineStr">
        <is>
          <t>NO</t>
        </is>
      </c>
      <c r="U322" s="38" t="inlineStr">
        <is>
          <t>NO</t>
        </is>
      </c>
      <c r="V322" s="38" t="inlineStr">
        <is>
          <t>NO</t>
        </is>
      </c>
      <c r="W322" s="38" t="inlineStr">
        <is>
          <t>NO</t>
        </is>
      </c>
      <c r="X322" s="38" t="inlineStr">
        <is>
          <t>NO</t>
        </is>
      </c>
      <c r="Y322" s="36" t="inlineStr">
        <is>
          <t>0,5 - 0,7</t>
        </is>
      </c>
      <c r="Z322" s="38" t="inlineStr">
        <is>
          <t>Polyrex</t>
        </is>
      </c>
      <c r="AA322" s="45" t="inlineStr">
        <is>
          <t>…………..</t>
        </is>
      </c>
      <c r="AB322" s="45" t="inlineStr">
        <is>
          <t>…………..</t>
        </is>
      </c>
      <c r="AC322" s="44" t="inlineStr">
        <is>
          <t>……………</t>
        </is>
      </c>
      <c r="AD322" s="57" t="inlineStr">
        <is>
          <t>………</t>
        </is>
      </c>
    </row>
    <row r="323" ht="12.75" customHeight="1" s="123">
      <c r="A323" s="85" t="n">
        <v>321</v>
      </c>
      <c r="B323" s="30" t="inlineStr">
        <is>
          <t>SS-6203-2RS</t>
        </is>
      </c>
      <c r="C323" s="38" t="n">
        <v>12</v>
      </c>
      <c r="D323" s="38" t="n">
        <v>0</v>
      </c>
      <c r="E323" s="38" t="n">
        <v>-120</v>
      </c>
      <c r="F323" s="38" t="n">
        <v>40</v>
      </c>
      <c r="G323" s="38" t="n">
        <v>0</v>
      </c>
      <c r="H323" s="38" t="n">
        <v>-11</v>
      </c>
      <c r="I323" s="38" t="n">
        <v>12</v>
      </c>
      <c r="J323" s="38" t="n">
        <v>0</v>
      </c>
      <c r="K323" s="38" t="n">
        <v>-120</v>
      </c>
      <c r="L323" s="38" t="n">
        <v>17</v>
      </c>
      <c r="M323" s="38" t="n">
        <v>0</v>
      </c>
      <c r="N323" s="38" t="n">
        <v>-8</v>
      </c>
      <c r="O323" s="38" t="inlineStr">
        <is>
          <t>C3</t>
        </is>
      </c>
      <c r="P323" s="38" t="n">
        <v>11</v>
      </c>
      <c r="Q323" s="38" t="n">
        <v>25</v>
      </c>
      <c r="R323" s="38" t="inlineStr">
        <is>
          <t>NO</t>
        </is>
      </c>
      <c r="S323" s="38" t="inlineStr">
        <is>
          <t>NO</t>
        </is>
      </c>
      <c r="T323" s="38" t="inlineStr">
        <is>
          <t>NO</t>
        </is>
      </c>
      <c r="U323" s="38" t="inlineStr">
        <is>
          <t>NO</t>
        </is>
      </c>
      <c r="V323" s="38" t="inlineStr">
        <is>
          <t>NO</t>
        </is>
      </c>
      <c r="W323" s="38" t="inlineStr">
        <is>
          <t>NO</t>
        </is>
      </c>
      <c r="X323" s="38" t="inlineStr">
        <is>
          <t>NO</t>
        </is>
      </c>
      <c r="Y323" s="36" t="inlineStr">
        <is>
          <t>,,,,</t>
        </is>
      </c>
      <c r="Z323" s="38" t="inlineStr">
        <is>
          <t>,,,,,</t>
        </is>
      </c>
      <c r="AA323" s="45" t="inlineStr">
        <is>
          <t>…………..</t>
        </is>
      </c>
      <c r="AB323" s="45" t="inlineStr">
        <is>
          <t>…………..</t>
        </is>
      </c>
      <c r="AC323" s="44" t="inlineStr">
        <is>
          <t>……………</t>
        </is>
      </c>
      <c r="AD323" s="57" t="inlineStr">
        <is>
          <t>………</t>
        </is>
      </c>
    </row>
    <row r="324" ht="12.75" customHeight="1" s="123">
      <c r="A324" s="85" t="n">
        <v>322</v>
      </c>
      <c r="B324" s="27" t="inlineStr">
        <is>
          <t>SS-6204-2RS-ZJSC</t>
        </is>
      </c>
      <c r="C324" s="38" t="n">
        <v>14</v>
      </c>
      <c r="D324" s="38" t="n">
        <v>0</v>
      </c>
      <c r="E324" s="38" t="n">
        <v>-120</v>
      </c>
      <c r="F324" s="38" t="n">
        <v>47</v>
      </c>
      <c r="G324" s="38" t="n">
        <v>0</v>
      </c>
      <c r="H324" s="38" t="n">
        <v>-11</v>
      </c>
      <c r="I324" s="38" t="n">
        <v>14</v>
      </c>
      <c r="J324" s="38" t="n">
        <v>0</v>
      </c>
      <c r="K324" s="38" t="n">
        <v>-120</v>
      </c>
      <c r="L324" s="38" t="n">
        <v>20</v>
      </c>
      <c r="M324" s="38" t="n">
        <v>0</v>
      </c>
      <c r="N324" s="38" t="n">
        <v>-10</v>
      </c>
      <c r="O324" s="38" t="inlineStr">
        <is>
          <t>C3</t>
        </is>
      </c>
      <c r="P324" s="38" t="n">
        <v>28</v>
      </c>
      <c r="Q324" s="38" t="n">
        <v>13</v>
      </c>
      <c r="R324" s="38" t="inlineStr">
        <is>
          <t>NO</t>
        </is>
      </c>
      <c r="S324" s="38" t="inlineStr">
        <is>
          <t>NO</t>
        </is>
      </c>
      <c r="T324" s="38" t="inlineStr">
        <is>
          <t>NO</t>
        </is>
      </c>
      <c r="U324" s="38" t="n">
        <v>55</v>
      </c>
      <c r="V324" s="38" t="n">
        <v>52</v>
      </c>
      <c r="W324" s="38" t="n">
        <v>55</v>
      </c>
      <c r="X324" s="38" t="n">
        <v>52</v>
      </c>
      <c r="Y324" s="36" t="inlineStr">
        <is>
          <t>3.38-3.35gr</t>
        </is>
      </c>
      <c r="Z324" s="38" t="inlineStr">
        <is>
          <t>Huan Gu 2</t>
        </is>
      </c>
      <c r="AA324" s="45" t="inlineStr">
        <is>
          <t>2,4cNm / 0,024Nm</t>
        </is>
      </c>
      <c r="AB324" s="45" t="inlineStr">
        <is>
          <t>1,2cNm / 0,012Nm</t>
        </is>
      </c>
      <c r="AC324" s="44" t="n">
        <v>43454</v>
      </c>
      <c r="AD324" s="57" t="inlineStr">
        <is>
          <t>B</t>
        </is>
      </c>
    </row>
    <row r="325" ht="12.75" customHeight="1" s="123">
      <c r="A325" s="85" t="n">
        <v>323</v>
      </c>
      <c r="B325" s="27" t="inlineStr">
        <is>
          <t>SS-6205-2RS</t>
        </is>
      </c>
      <c r="C325" s="38" t="n">
        <v>15</v>
      </c>
      <c r="D325" s="38" t="n">
        <v>0</v>
      </c>
      <c r="E325" s="38" t="n">
        <v>-120</v>
      </c>
      <c r="F325" s="38" t="n">
        <v>52</v>
      </c>
      <c r="G325" s="38" t="n">
        <v>0</v>
      </c>
      <c r="H325" s="38" t="n">
        <v>-13</v>
      </c>
      <c r="I325" s="38" t="n">
        <v>15</v>
      </c>
      <c r="J325" s="38" t="n">
        <v>0</v>
      </c>
      <c r="K325" s="38" t="n">
        <v>-120</v>
      </c>
      <c r="L325" s="38" t="n">
        <v>25</v>
      </c>
      <c r="M325" s="38" t="n">
        <v>0</v>
      </c>
      <c r="N325" s="38" t="n">
        <v>-10</v>
      </c>
      <c r="O325" s="38" t="inlineStr">
        <is>
          <t>NO</t>
        </is>
      </c>
      <c r="P325" s="38" t="inlineStr">
        <is>
          <t>NO</t>
        </is>
      </c>
      <c r="Q325" s="38" t="inlineStr">
        <is>
          <t>NO</t>
        </is>
      </c>
      <c r="R325" s="38" t="n"/>
      <c r="S325" s="38" t="n"/>
      <c r="T325" s="38" t="n"/>
      <c r="U325" s="38" t="inlineStr">
        <is>
          <t>NO</t>
        </is>
      </c>
      <c r="V325" s="38" t="inlineStr">
        <is>
          <t>NO</t>
        </is>
      </c>
      <c r="W325" s="38" t="inlineStr">
        <is>
          <t>NO</t>
        </is>
      </c>
      <c r="X325" s="38" t="inlineStr">
        <is>
          <t>NO</t>
        </is>
      </c>
      <c r="Y325" s="36" t="inlineStr">
        <is>
          <t>NO</t>
        </is>
      </c>
      <c r="Z325" s="38" t="inlineStr">
        <is>
          <t>NO</t>
        </is>
      </c>
      <c r="AA325" s="45" t="inlineStr">
        <is>
          <t>…………..</t>
        </is>
      </c>
      <c r="AB325" s="45" t="inlineStr">
        <is>
          <t>…………..</t>
        </is>
      </c>
      <c r="AC325" s="44" t="inlineStr">
        <is>
          <t>……………</t>
        </is>
      </c>
      <c r="AD325" s="57" t="inlineStr">
        <is>
          <t>………</t>
        </is>
      </c>
    </row>
    <row r="326" ht="12.75" customHeight="1" s="123">
      <c r="A326" s="85" t="n">
        <v>324</v>
      </c>
      <c r="B326" s="30" t="inlineStr">
        <is>
          <t>SS-6206-2RS</t>
        </is>
      </c>
      <c r="C326" s="38" t="n">
        <v>16</v>
      </c>
      <c r="D326" s="38" t="n">
        <v>0</v>
      </c>
      <c r="E326" s="38" t="n">
        <v>-120</v>
      </c>
      <c r="F326" s="38" t="n">
        <v>62</v>
      </c>
      <c r="G326" s="38" t="n">
        <v>0</v>
      </c>
      <c r="H326" s="38" t="n">
        <v>-13</v>
      </c>
      <c r="I326" s="38" t="n">
        <v>16</v>
      </c>
      <c r="J326" s="38" t="n">
        <v>0</v>
      </c>
      <c r="K326" s="38" t="n">
        <v>-120</v>
      </c>
      <c r="L326" s="38" t="n">
        <v>30</v>
      </c>
      <c r="M326" s="38" t="n">
        <v>0</v>
      </c>
      <c r="N326" s="38" t="n">
        <v>-10</v>
      </c>
      <c r="O326" s="38" t="inlineStr">
        <is>
          <t>NO</t>
        </is>
      </c>
      <c r="P326" s="38" t="inlineStr">
        <is>
          <t>NO</t>
        </is>
      </c>
      <c r="Q326" s="38" t="inlineStr">
        <is>
          <t>NO</t>
        </is>
      </c>
      <c r="R326" s="38" t="n"/>
      <c r="S326" s="38" t="n"/>
      <c r="T326" s="38" t="n"/>
      <c r="U326" s="38" t="inlineStr">
        <is>
          <t>NO</t>
        </is>
      </c>
      <c r="V326" s="38" t="inlineStr">
        <is>
          <t>NO</t>
        </is>
      </c>
      <c r="W326" s="38" t="inlineStr">
        <is>
          <t>NO</t>
        </is>
      </c>
      <c r="X326" s="38" t="inlineStr">
        <is>
          <t>NO</t>
        </is>
      </c>
      <c r="Y326" s="36" t="inlineStr">
        <is>
          <t>NO</t>
        </is>
      </c>
      <c r="Z326" s="38" t="inlineStr">
        <is>
          <t>NO</t>
        </is>
      </c>
      <c r="AA326" s="45" t="inlineStr">
        <is>
          <t>…………..</t>
        </is>
      </c>
      <c r="AB326" s="45" t="inlineStr">
        <is>
          <t>…………..</t>
        </is>
      </c>
      <c r="AC326" s="44" t="inlineStr">
        <is>
          <t>……………</t>
        </is>
      </c>
      <c r="AD326" s="57" t="inlineStr">
        <is>
          <t>………</t>
        </is>
      </c>
    </row>
    <row r="327" ht="12.75" customHeight="1" s="123">
      <c r="A327" s="85" t="n">
        <v>325</v>
      </c>
      <c r="B327" s="27" t="inlineStr">
        <is>
          <t>SS-6207-2RS</t>
        </is>
      </c>
      <c r="C327" s="38" t="n">
        <v>17</v>
      </c>
      <c r="D327" s="38" t="n">
        <v>0</v>
      </c>
      <c r="E327" s="38" t="n">
        <v>-120</v>
      </c>
      <c r="F327" s="38" t="n">
        <v>72</v>
      </c>
      <c r="G327" s="38" t="n">
        <v>0</v>
      </c>
      <c r="H327" s="38" t="n">
        <v>-13</v>
      </c>
      <c r="I327" s="38" t="n">
        <v>17</v>
      </c>
      <c r="J327" s="38" t="n">
        <v>0</v>
      </c>
      <c r="K327" s="38" t="n">
        <v>-120</v>
      </c>
      <c r="L327" s="38" t="n">
        <v>35</v>
      </c>
      <c r="M327" s="38" t="n">
        <v>0</v>
      </c>
      <c r="N327" s="38" t="n">
        <v>-12</v>
      </c>
      <c r="O327" s="38" t="inlineStr">
        <is>
          <t>C3</t>
        </is>
      </c>
      <c r="P327" s="38" t="n">
        <v>15</v>
      </c>
      <c r="Q327" s="38" t="n">
        <v>33</v>
      </c>
      <c r="R327" s="38" t="n"/>
      <c r="S327" s="38" t="n"/>
      <c r="T327" s="38" t="n"/>
      <c r="U327" s="38" t="n"/>
      <c r="V327" s="38" t="n"/>
      <c r="W327" s="38" t="n"/>
      <c r="X327" s="38" t="n"/>
      <c r="Y327" s="36" t="n"/>
      <c r="Z327" s="38" t="n"/>
      <c r="AA327" s="45" t="inlineStr">
        <is>
          <t>…………..</t>
        </is>
      </c>
      <c r="AB327" s="45" t="inlineStr">
        <is>
          <t>…………..</t>
        </is>
      </c>
      <c r="AC327" s="44" t="inlineStr">
        <is>
          <t>……………</t>
        </is>
      </c>
      <c r="AD327" s="57" t="inlineStr">
        <is>
          <t>………</t>
        </is>
      </c>
    </row>
    <row r="328" ht="12.75" customHeight="1" s="123">
      <c r="A328" s="85" t="n">
        <v>326</v>
      </c>
      <c r="B328" s="30" t="inlineStr">
        <is>
          <t>SS-6208-RS</t>
        </is>
      </c>
      <c r="C328" s="38" t="n">
        <v>18</v>
      </c>
      <c r="D328" s="38" t="n">
        <v>0</v>
      </c>
      <c r="E328" s="38" t="n">
        <v>-120</v>
      </c>
      <c r="F328" s="38" t="n">
        <v>80</v>
      </c>
      <c r="G328" s="38" t="n">
        <v>0</v>
      </c>
      <c r="H328" s="38" t="n">
        <v>-13</v>
      </c>
      <c r="I328" s="38" t="n">
        <v>18</v>
      </c>
      <c r="J328" s="38" t="n">
        <v>0</v>
      </c>
      <c r="K328" s="38" t="n">
        <v>-120</v>
      </c>
      <c r="L328" s="38" t="n">
        <v>40</v>
      </c>
      <c r="M328" s="38" t="n">
        <v>0</v>
      </c>
      <c r="N328" s="38" t="n">
        <v>-12</v>
      </c>
      <c r="O328" s="38" t="inlineStr">
        <is>
          <t>C3</t>
        </is>
      </c>
      <c r="P328" s="38" t="n">
        <v>15</v>
      </c>
      <c r="Q328" s="38" t="n">
        <v>33</v>
      </c>
      <c r="R328" s="38" t="inlineStr">
        <is>
          <t>NO</t>
        </is>
      </c>
      <c r="S328" s="38" t="inlineStr">
        <is>
          <t>NO</t>
        </is>
      </c>
      <c r="T328" s="38" t="inlineStr">
        <is>
          <t>NO</t>
        </is>
      </c>
      <c r="U328" s="38" t="n">
        <v>64</v>
      </c>
      <c r="V328" s="38" t="n">
        <v>58</v>
      </c>
      <c r="W328" s="38" t="n">
        <v>64</v>
      </c>
      <c r="X328" s="38" t="n">
        <v>58</v>
      </c>
      <c r="Y328" s="36" t="inlineStr">
        <is>
          <t>4 - 5,6</t>
        </is>
      </c>
      <c r="Z328" s="38" t="inlineStr">
        <is>
          <t>Polyrex</t>
        </is>
      </c>
      <c r="AA328" s="45" t="inlineStr">
        <is>
          <t>…………..</t>
        </is>
      </c>
      <c r="AB328" s="45" t="inlineStr">
        <is>
          <t>…………..</t>
        </is>
      </c>
      <c r="AC328" s="44" t="inlineStr">
        <is>
          <t>……………</t>
        </is>
      </c>
      <c r="AD328" s="57" t="inlineStr">
        <is>
          <t>………</t>
        </is>
      </c>
    </row>
    <row r="329" ht="12.75" customHeight="1" s="123">
      <c r="A329" s="85" t="n">
        <v>327</v>
      </c>
      <c r="B329" s="31" t="inlineStr">
        <is>
          <t>SS-6209-2RS</t>
        </is>
      </c>
      <c r="C329" s="50" t="n">
        <v>19</v>
      </c>
      <c r="D329" s="50" t="n">
        <v>0</v>
      </c>
      <c r="E329" s="50" t="n">
        <v>-120</v>
      </c>
      <c r="F329" s="50" t="n">
        <v>85</v>
      </c>
      <c r="G329" s="50" t="n">
        <v>0</v>
      </c>
      <c r="H329" s="50" t="n">
        <v>-15</v>
      </c>
      <c r="I329" s="50" t="n">
        <v>19</v>
      </c>
      <c r="J329" s="50" t="n">
        <v>0</v>
      </c>
      <c r="K329" s="50" t="n">
        <v>-120</v>
      </c>
      <c r="L329" s="50" t="n">
        <v>45</v>
      </c>
      <c r="M329" s="50" t="n">
        <v>0</v>
      </c>
      <c r="N329" s="50" t="n">
        <v>-12</v>
      </c>
      <c r="Y329" s="39" t="n"/>
      <c r="AA329" s="56" t="inlineStr">
        <is>
          <t>…………..</t>
        </is>
      </c>
      <c r="AB329" s="56" t="inlineStr">
        <is>
          <t>…………..</t>
        </is>
      </c>
      <c r="AC329" s="66" t="inlineStr">
        <is>
          <t>……………</t>
        </is>
      </c>
      <c r="AD329" s="76" t="inlineStr">
        <is>
          <t>………</t>
        </is>
      </c>
    </row>
    <row r="330" ht="12.75" customHeight="1" s="123">
      <c r="A330" s="85" t="n">
        <v>328</v>
      </c>
      <c r="B330" s="31" t="inlineStr">
        <is>
          <t>SS-6210-2RS</t>
        </is>
      </c>
      <c r="C330" s="50" t="n">
        <v>20</v>
      </c>
      <c r="D330" s="50" t="n">
        <v>0</v>
      </c>
      <c r="E330" s="50" t="n">
        <v>-120</v>
      </c>
      <c r="F330" s="50" t="n">
        <v>90</v>
      </c>
      <c r="G330" s="50" t="n">
        <v>0</v>
      </c>
      <c r="H330" s="50" t="n">
        <v>-15</v>
      </c>
      <c r="I330" s="50" t="n">
        <v>20</v>
      </c>
      <c r="J330" s="50" t="n">
        <v>0</v>
      </c>
      <c r="K330" s="50" t="n">
        <v>-120</v>
      </c>
      <c r="L330" s="50" t="n">
        <v>50</v>
      </c>
      <c r="M330" s="50" t="n">
        <v>0</v>
      </c>
      <c r="N330" s="50" t="n">
        <v>-12</v>
      </c>
      <c r="Y330" s="39" t="n"/>
      <c r="AA330" s="56" t="inlineStr">
        <is>
          <t>…………..</t>
        </is>
      </c>
      <c r="AB330" s="56" t="inlineStr">
        <is>
          <t>…………..</t>
        </is>
      </c>
      <c r="AC330" s="66" t="inlineStr">
        <is>
          <t>……………</t>
        </is>
      </c>
      <c r="AD330" s="76" t="inlineStr">
        <is>
          <t>………</t>
        </is>
      </c>
    </row>
    <row r="331" ht="12.75" customHeight="1" s="123">
      <c r="A331" s="85" t="n">
        <v>329</v>
      </c>
      <c r="B331" s="49" t="inlineStr">
        <is>
          <t>TS00-2RS</t>
        </is>
      </c>
      <c r="C331" s="50" t="n">
        <v>6</v>
      </c>
      <c r="D331" s="50" t="n">
        <v>0</v>
      </c>
      <c r="E331" s="50" t="n">
        <v>-120</v>
      </c>
      <c r="F331" s="50" t="n">
        <v>22</v>
      </c>
      <c r="G331" s="50" t="n">
        <v>0</v>
      </c>
      <c r="H331" s="50" t="n">
        <v>-8</v>
      </c>
      <c r="I331" s="50" t="n">
        <v>6</v>
      </c>
      <c r="J331" s="50" t="n">
        <v>0</v>
      </c>
      <c r="K331" s="50" t="n">
        <v>-120</v>
      </c>
      <c r="L331" s="50" t="n">
        <v>10</v>
      </c>
      <c r="M331" s="50" t="n">
        <v>0</v>
      </c>
      <c r="N331" s="50" t="n">
        <v>-7</v>
      </c>
      <c r="O331" s="50" t="inlineStr">
        <is>
          <t>C3</t>
        </is>
      </c>
      <c r="P331" s="50" t="n">
        <v>23</v>
      </c>
      <c r="Q331" s="50" t="n">
        <v>8</v>
      </c>
      <c r="R331" s="50" t="inlineStr">
        <is>
          <t>NO</t>
        </is>
      </c>
      <c r="S331" s="50" t="inlineStr">
        <is>
          <t>NO</t>
        </is>
      </c>
      <c r="T331" s="50" t="inlineStr">
        <is>
          <t>NO</t>
        </is>
      </c>
      <c r="U331" s="50" t="n">
        <v>64</v>
      </c>
      <c r="V331" s="50" t="n">
        <v>58</v>
      </c>
      <c r="W331" s="50" t="n">
        <v>64</v>
      </c>
      <c r="X331" s="50" t="n">
        <v>58</v>
      </c>
      <c r="Y331" s="39" t="inlineStr">
        <is>
          <t>0.155 - 0.217</t>
        </is>
      </c>
      <c r="Z331" s="50" t="inlineStr">
        <is>
          <t>Polyrex</t>
        </is>
      </c>
      <c r="AA331" s="56" t="inlineStr">
        <is>
          <t>0.06Nm</t>
        </is>
      </c>
      <c r="AB331" s="56" t="inlineStr">
        <is>
          <t>0.02Nm</t>
        </is>
      </c>
      <c r="AC331" s="66" t="n">
        <v>41093</v>
      </c>
      <c r="AD331" s="76" t="n">
        <v>0</v>
      </c>
    </row>
    <row r="332" ht="12.75" customHeight="1" s="123">
      <c r="A332" s="85" t="n">
        <v>330</v>
      </c>
      <c r="B332" s="31" t="inlineStr">
        <is>
          <t>TS06-2RS</t>
        </is>
      </c>
      <c r="C332" s="50" t="n">
        <v>9</v>
      </c>
      <c r="D332" s="50" t="n">
        <v>0</v>
      </c>
      <c r="E332" s="50" t="n">
        <v>-120</v>
      </c>
      <c r="F332" s="50" t="n">
        <v>47</v>
      </c>
      <c r="G332" s="50" t="n">
        <v>0</v>
      </c>
      <c r="H332" s="50" t="n">
        <v>-9</v>
      </c>
      <c r="I332" s="50" t="n">
        <v>9</v>
      </c>
      <c r="J332" s="50" t="n">
        <v>0</v>
      </c>
      <c r="K332" s="50" t="n">
        <v>-120</v>
      </c>
      <c r="L332" s="50" t="n">
        <v>30</v>
      </c>
      <c r="M332" s="50" t="n">
        <v>0</v>
      </c>
      <c r="N332" s="50" t="n">
        <v>-8</v>
      </c>
      <c r="O332" s="50" t="inlineStr">
        <is>
          <t>C3</t>
        </is>
      </c>
      <c r="P332" s="50" t="n">
        <v>28</v>
      </c>
      <c r="Q332" s="50" t="n">
        <v>13</v>
      </c>
      <c r="R332" s="50" t="inlineStr">
        <is>
          <t>NO</t>
        </is>
      </c>
      <c r="S332" s="50" t="inlineStr">
        <is>
          <t>NO</t>
        </is>
      </c>
      <c r="T332" s="50" t="inlineStr">
        <is>
          <t>NO</t>
        </is>
      </c>
      <c r="U332" s="50" t="n">
        <v>64</v>
      </c>
      <c r="V332" s="50" t="n">
        <v>58</v>
      </c>
      <c r="W332" s="50" t="n">
        <v>64</v>
      </c>
      <c r="X332" s="50" t="n">
        <v>58</v>
      </c>
      <c r="Y332" s="50" t="inlineStr">
        <is>
          <t>1,54-1,76</t>
        </is>
      </c>
      <c r="Z332" s="50" t="inlineStr">
        <is>
          <t>Polyrex</t>
        </is>
      </c>
      <c r="AA332" s="56" t="inlineStr">
        <is>
          <t>2cNm/0,020Nm</t>
        </is>
      </c>
      <c r="AB332" s="50" t="inlineStr">
        <is>
          <t>1,4cNm/0,014Nm</t>
        </is>
      </c>
      <c r="AC332" s="66" t="n">
        <v>42711</v>
      </c>
      <c r="AD332" s="76" t="n">
        <v>0</v>
      </c>
    </row>
    <row r="333" ht="12.75" customHeight="1" s="123">
      <c r="A333" s="85" t="n">
        <v>331</v>
      </c>
      <c r="B333" s="31" t="inlineStr">
        <is>
          <t>TS06-ZZ</t>
        </is>
      </c>
      <c r="C333" s="50" t="n">
        <v>9</v>
      </c>
      <c r="D333" s="50" t="n">
        <v>0</v>
      </c>
      <c r="E333" s="50" t="n">
        <v>-120</v>
      </c>
      <c r="F333" s="50" t="n">
        <v>47</v>
      </c>
      <c r="G333" s="50" t="n">
        <v>0</v>
      </c>
      <c r="H333" s="50" t="n">
        <v>-11</v>
      </c>
      <c r="I333" s="50" t="n">
        <v>9</v>
      </c>
      <c r="J333" s="50" t="n">
        <v>0</v>
      </c>
      <c r="K333" s="50" t="n">
        <v>-120</v>
      </c>
      <c r="L333" s="50" t="n">
        <v>30</v>
      </c>
      <c r="M333" s="50" t="n">
        <v>0</v>
      </c>
      <c r="N333" s="50" t="n">
        <v>-10</v>
      </c>
      <c r="O333" s="50" t="inlineStr">
        <is>
          <t>C3</t>
        </is>
      </c>
      <c r="P333" s="50" t="n">
        <v>13</v>
      </c>
      <c r="Q333" s="50" t="n">
        <v>28</v>
      </c>
      <c r="R333" s="50" t="inlineStr">
        <is>
          <t>NO</t>
        </is>
      </c>
      <c r="S333" s="50" t="inlineStr">
        <is>
          <t>NO</t>
        </is>
      </c>
      <c r="T333" s="50" t="inlineStr">
        <is>
          <t>NO</t>
        </is>
      </c>
      <c r="U333" s="50" t="n">
        <v>64</v>
      </c>
      <c r="V333" s="50" t="n">
        <v>58</v>
      </c>
      <c r="W333" s="50" t="n">
        <v>64</v>
      </c>
      <c r="X333" s="50" t="n">
        <v>58</v>
      </c>
      <c r="Y333" s="50" t="inlineStr">
        <is>
          <t xml:space="preserve">0,55 - 0,77 </t>
        </is>
      </c>
      <c r="Z333" s="50" t="inlineStr">
        <is>
          <t>Polyrex</t>
        </is>
      </c>
      <c r="AA333" s="56" t="inlineStr">
        <is>
          <t>NO</t>
        </is>
      </c>
      <c r="AB333" s="56" t="inlineStr">
        <is>
          <t>NO</t>
        </is>
      </c>
      <c r="AC333" s="66" t="n">
        <v>42710</v>
      </c>
      <c r="AD333" s="76" t="n">
        <v>0</v>
      </c>
    </row>
    <row r="334" ht="12.75" customHeight="1" s="123">
      <c r="A334" s="85" t="n">
        <v>332</v>
      </c>
      <c r="B334" s="31" t="inlineStr">
        <is>
          <t>TS06-ZZ</t>
        </is>
      </c>
      <c r="C334" s="50" t="n">
        <v>9</v>
      </c>
      <c r="D334" s="50" t="n">
        <v>0</v>
      </c>
      <c r="E334" s="50" t="n">
        <v>-12</v>
      </c>
      <c r="F334" s="50" t="n">
        <v>47</v>
      </c>
      <c r="G334" s="50" t="n">
        <v>0</v>
      </c>
      <c r="H334" s="50" t="n">
        <v>-11</v>
      </c>
      <c r="I334" s="50" t="n">
        <v>9</v>
      </c>
      <c r="J334" s="50" t="n">
        <v>0</v>
      </c>
      <c r="K334" s="50" t="n">
        <v>-12</v>
      </c>
      <c r="L334" s="50" t="n">
        <v>30</v>
      </c>
      <c r="M334" s="50" t="n">
        <v>0</v>
      </c>
      <c r="N334" s="50" t="n">
        <v>-10</v>
      </c>
      <c r="O334" s="50" t="inlineStr">
        <is>
          <t>C3</t>
        </is>
      </c>
      <c r="P334" s="50" t="n">
        <v>28</v>
      </c>
      <c r="Q334" s="50" t="n">
        <v>13</v>
      </c>
      <c r="R334" s="50" t="inlineStr">
        <is>
          <t>NO</t>
        </is>
      </c>
      <c r="S334" s="50" t="inlineStr">
        <is>
          <t>NO</t>
        </is>
      </c>
      <c r="T334" s="50" t="inlineStr">
        <is>
          <t>NO</t>
        </is>
      </c>
      <c r="U334" s="50" t="n">
        <v>64</v>
      </c>
      <c r="V334" s="50" t="n">
        <v>58</v>
      </c>
      <c r="W334" s="50" t="n">
        <v>64</v>
      </c>
      <c r="X334" s="50" t="n">
        <v>58</v>
      </c>
      <c r="Y334" s="50" t="inlineStr">
        <is>
          <t>25 - 35%</t>
        </is>
      </c>
      <c r="Z334" s="50" t="inlineStr">
        <is>
          <t>Huan Gu 2</t>
        </is>
      </c>
      <c r="AA334" s="56" t="inlineStr">
        <is>
          <t>…………..</t>
        </is>
      </c>
      <c r="AB334" s="56" t="inlineStr">
        <is>
          <t>…………..</t>
        </is>
      </c>
      <c r="AC334" s="66" t="inlineStr">
        <is>
          <t>……………</t>
        </is>
      </c>
      <c r="AD334" s="76" t="inlineStr">
        <is>
          <t>………</t>
        </is>
      </c>
    </row>
    <row r="335" ht="12.75" customHeight="1" s="123">
      <c r="A335" s="85" t="n">
        <v>333</v>
      </c>
      <c r="B335" s="30" t="inlineStr">
        <is>
          <t>Z9504-2RST</t>
        </is>
      </c>
      <c r="C335" s="38" t="n">
        <v>15.494</v>
      </c>
      <c r="D335" s="38" t="n">
        <v>0</v>
      </c>
      <c r="E335" s="38" t="n">
        <v>-120</v>
      </c>
      <c r="F335" s="38" t="n">
        <v>45.225</v>
      </c>
      <c r="G335" s="38" t="n">
        <v>0</v>
      </c>
      <c r="H335" s="38" t="n">
        <v>-13</v>
      </c>
      <c r="I335" s="38" t="n">
        <v>15.494</v>
      </c>
      <c r="J335" s="38" t="n">
        <v>0</v>
      </c>
      <c r="K335" s="38" t="n">
        <v>-120</v>
      </c>
      <c r="L335" s="38" t="n">
        <v>19.063</v>
      </c>
      <c r="M335" s="38" t="n">
        <v>0</v>
      </c>
      <c r="N335" s="38" t="n">
        <v>-13</v>
      </c>
      <c r="O335" s="38" t="inlineStr">
        <is>
          <t>C0</t>
        </is>
      </c>
      <c r="P335" s="38" t="n">
        <v>20</v>
      </c>
      <c r="Q335" s="38" t="n">
        <v>5</v>
      </c>
      <c r="R335" s="38" t="inlineStr">
        <is>
          <t>NO</t>
        </is>
      </c>
      <c r="S335" s="38" t="inlineStr">
        <is>
          <t>NO</t>
        </is>
      </c>
      <c r="T335" s="38" t="inlineStr">
        <is>
          <t>NO</t>
        </is>
      </c>
      <c r="U335" s="38" t="n">
        <v>62</v>
      </c>
      <c r="V335" s="38" t="n">
        <v>58</v>
      </c>
      <c r="W335" s="38" t="n">
        <v>62</v>
      </c>
      <c r="X335" s="38" t="n">
        <v>58</v>
      </c>
      <c r="Y335" s="39" t="inlineStr">
        <is>
          <t>75±5</t>
        </is>
      </c>
      <c r="Z335" s="50" t="inlineStr">
        <is>
          <t>Polyrex</t>
        </is>
      </c>
      <c r="AA335" s="56" t="inlineStr">
        <is>
          <t>9cNm / 0,09Nm</t>
        </is>
      </c>
      <c r="AB335" s="56" t="inlineStr">
        <is>
          <t>5,9cNm / 0,059Nm</t>
        </is>
      </c>
      <c r="AC335" s="66" t="n">
        <v>42479</v>
      </c>
      <c r="AD335" s="76" t="inlineStr">
        <is>
          <t>A</t>
        </is>
      </c>
    </row>
    <row r="336" ht="12.75" customHeight="1" s="123">
      <c r="A336" s="85" t="n">
        <v>334</v>
      </c>
      <c r="B336" s="27" t="inlineStr">
        <is>
          <t xml:space="preserve">1621-RS </t>
        </is>
      </c>
      <c r="C336" s="38" t="n">
        <v>11.112</v>
      </c>
      <c r="D336" s="38" t="n">
        <v>0</v>
      </c>
      <c r="E336" s="38" t="n">
        <v>-120</v>
      </c>
      <c r="F336" s="38" t="n">
        <v>34.925</v>
      </c>
      <c r="G336" s="38" t="n">
        <v>0</v>
      </c>
      <c r="H336" s="38" t="n">
        <v>-11</v>
      </c>
      <c r="I336" s="38" t="n">
        <v>11.112</v>
      </c>
      <c r="J336" s="38" t="n">
        <v>0</v>
      </c>
      <c r="K336" s="38" t="n">
        <v>-120</v>
      </c>
      <c r="L336" s="38" t="n">
        <v>12.7</v>
      </c>
      <c r="M336" s="38" t="n">
        <v>0</v>
      </c>
      <c r="N336" s="38" t="n">
        <v>-8</v>
      </c>
      <c r="O336" s="38" t="inlineStr">
        <is>
          <t>C0</t>
        </is>
      </c>
      <c r="P336" s="38" t="n">
        <v>18</v>
      </c>
      <c r="Q336" s="38" t="n">
        <v>3</v>
      </c>
      <c r="R336" s="38" t="inlineStr">
        <is>
          <t>NO</t>
        </is>
      </c>
      <c r="S336" s="38" t="inlineStr">
        <is>
          <t>NO</t>
        </is>
      </c>
      <c r="T336" s="38" t="inlineStr">
        <is>
          <t>NO</t>
        </is>
      </c>
      <c r="U336" s="38" t="n">
        <v>64</v>
      </c>
      <c r="V336" s="38" t="n">
        <v>58</v>
      </c>
      <c r="W336" s="38" t="n">
        <v>64</v>
      </c>
      <c r="X336" s="38" t="n">
        <v>58</v>
      </c>
      <c r="Y336" s="36" t="inlineStr">
        <is>
          <t>NO</t>
        </is>
      </c>
      <c r="Z336" s="38" t="inlineStr">
        <is>
          <t>polyrex</t>
        </is>
      </c>
      <c r="AA336" s="45" t="inlineStr">
        <is>
          <t>standard</t>
        </is>
      </c>
      <c r="AB336" s="45" t="inlineStr">
        <is>
          <t>standard</t>
        </is>
      </c>
      <c r="AC336" s="53" t="n">
        <v>43565</v>
      </c>
      <c r="AD336" s="57" t="n">
        <v>0</v>
      </c>
    </row>
    <row r="337" ht="12.75" customHeight="1" s="123">
      <c r="A337" s="85" t="n">
        <v>335</v>
      </c>
      <c r="B337" s="31" t="inlineStr">
        <is>
          <t>BPB-041-HD08-D-ZJFD</t>
        </is>
      </c>
      <c r="C337" s="50" t="n">
        <v>23</v>
      </c>
      <c r="D337" s="50" t="n">
        <v>0</v>
      </c>
      <c r="E337" s="50" t="n">
        <v>-120</v>
      </c>
      <c r="F337" s="50" t="n">
        <v>90</v>
      </c>
      <c r="G337" s="50" t="n">
        <v>0</v>
      </c>
      <c r="H337" s="50" t="n">
        <v>-13</v>
      </c>
      <c r="I337" s="50" t="n">
        <v>23</v>
      </c>
      <c r="J337" s="50" t="n">
        <v>0</v>
      </c>
      <c r="K337" s="50" t="n">
        <v>-120</v>
      </c>
      <c r="L337" s="50" t="n">
        <v>40</v>
      </c>
      <c r="M337" s="50" t="n">
        <v>0</v>
      </c>
      <c r="N337" s="50" t="n">
        <v>-10</v>
      </c>
      <c r="O337" s="50" t="inlineStr">
        <is>
          <t>C3</t>
        </is>
      </c>
      <c r="P337" s="50" t="n">
        <v>33</v>
      </c>
      <c r="Q337" s="50" t="n">
        <v>15</v>
      </c>
      <c r="R337" s="50" t="inlineStr">
        <is>
          <t>NO</t>
        </is>
      </c>
      <c r="S337" s="50" t="inlineStr">
        <is>
          <t>NO</t>
        </is>
      </c>
      <c r="T337" s="50" t="inlineStr">
        <is>
          <t>NO</t>
        </is>
      </c>
      <c r="U337" s="50" t="n">
        <v>64</v>
      </c>
      <c r="V337" s="50" t="n">
        <v>58</v>
      </c>
      <c r="W337" s="50" t="n">
        <v>64</v>
      </c>
      <c r="X337" s="50" t="n">
        <v>58</v>
      </c>
      <c r="Y337" s="50" t="inlineStr">
        <is>
          <t>NO</t>
        </is>
      </c>
      <c r="Z337" s="50" t="inlineStr">
        <is>
          <t>NO</t>
        </is>
      </c>
      <c r="AA337" s="56" t="inlineStr">
        <is>
          <t>NO</t>
        </is>
      </c>
      <c r="AB337" s="50" t="inlineStr">
        <is>
          <t>NO</t>
        </is>
      </c>
      <c r="AC337" s="53" t="n">
        <v>43378</v>
      </c>
      <c r="AD337" s="84" t="n">
        <v>0</v>
      </c>
    </row>
    <row r="338" ht="12.75" customHeight="1" s="123">
      <c r="A338" s="85" t="n">
        <v>336</v>
      </c>
      <c r="B338" s="27" t="inlineStr">
        <is>
          <t>B&amp;P-041-5206-2RS</t>
        </is>
      </c>
      <c r="C338" s="38" t="n">
        <v>23.813</v>
      </c>
      <c r="D338" s="38" t="n">
        <v>0</v>
      </c>
      <c r="E338" s="38" t="n">
        <v>-120</v>
      </c>
      <c r="F338" s="38" t="n">
        <v>62</v>
      </c>
      <c r="G338" s="38" t="n">
        <v>0</v>
      </c>
      <c r="H338" s="38" t="n">
        <v>-11</v>
      </c>
      <c r="I338" s="38" t="n">
        <v>23.813</v>
      </c>
      <c r="J338" s="38" t="n">
        <v>0</v>
      </c>
      <c r="K338" s="38" t="n">
        <v>-120</v>
      </c>
      <c r="L338" s="38" t="n">
        <v>30</v>
      </c>
      <c r="M338" s="38" t="n">
        <v>0</v>
      </c>
      <c r="N338" s="38" t="n">
        <v>-10</v>
      </c>
      <c r="O338" s="38" t="inlineStr">
        <is>
          <t>NO</t>
        </is>
      </c>
      <c r="P338" s="38" t="inlineStr">
        <is>
          <t>NO</t>
        </is>
      </c>
      <c r="Q338" s="38" t="inlineStr">
        <is>
          <t>NO</t>
        </is>
      </c>
      <c r="R338" s="38" t="inlineStr">
        <is>
          <t>C3</t>
        </is>
      </c>
      <c r="S338" s="38" t="n">
        <v>37</v>
      </c>
      <c r="T338" s="38" t="n">
        <v>18</v>
      </c>
      <c r="U338" s="38" t="n">
        <v>64</v>
      </c>
      <c r="V338" s="38" t="n">
        <v>58</v>
      </c>
      <c r="W338" s="38" t="n">
        <v>64</v>
      </c>
      <c r="X338" s="38" t="n">
        <v>58</v>
      </c>
      <c r="Y338" s="36" t="inlineStr">
        <is>
          <t>8,5 - 9,6</t>
        </is>
      </c>
      <c r="Z338" s="38" t="inlineStr">
        <is>
          <t>Polyrex</t>
        </is>
      </c>
      <c r="AA338" s="45" t="inlineStr">
        <is>
          <t>0,56cNm / 0,056Nm</t>
        </is>
      </c>
      <c r="AB338" s="45" t="inlineStr">
        <is>
          <t>1,2cNm / 0,12Nm</t>
        </is>
      </c>
      <c r="AC338" s="44" t="n">
        <v>43447</v>
      </c>
      <c r="AD338" s="57" t="n">
        <v>0</v>
      </c>
    </row>
    <row r="339" ht="12.75" customHeight="1" s="123">
      <c r="A339" s="85" t="n">
        <v>337</v>
      </c>
      <c r="B339" s="31" t="inlineStr">
        <is>
          <t>BPB-041-LS03-2RS-ZJFD</t>
        </is>
      </c>
      <c r="C339" s="50" t="n">
        <v>10</v>
      </c>
      <c r="D339" s="50" t="n">
        <v>0</v>
      </c>
      <c r="E339" s="50" t="n">
        <v>-120</v>
      </c>
      <c r="F339" s="50" t="n">
        <v>35</v>
      </c>
      <c r="G339" s="50" t="n">
        <v>0</v>
      </c>
      <c r="H339" s="50" t="n">
        <v>-11</v>
      </c>
      <c r="I339" s="50" t="n">
        <v>10</v>
      </c>
      <c r="J339" s="50" t="n">
        <v>0</v>
      </c>
      <c r="K339" s="50" t="n">
        <v>-120</v>
      </c>
      <c r="L339" s="50" t="n">
        <v>17</v>
      </c>
      <c r="M339" s="50" t="n">
        <v>0</v>
      </c>
      <c r="N339" s="50" t="n">
        <v>-8</v>
      </c>
      <c r="O339" s="50" t="inlineStr">
        <is>
          <t>C3</t>
        </is>
      </c>
      <c r="P339" s="50" t="n">
        <v>28</v>
      </c>
      <c r="Q339" s="50" t="n">
        <v>13</v>
      </c>
      <c r="R339" s="50" t="inlineStr">
        <is>
          <t>NO</t>
        </is>
      </c>
      <c r="S339" s="50" t="inlineStr">
        <is>
          <t>NO</t>
        </is>
      </c>
      <c r="T339" s="50" t="inlineStr">
        <is>
          <t>NO</t>
        </is>
      </c>
      <c r="U339" s="38" t="n">
        <v>64</v>
      </c>
      <c r="V339" s="38" t="n">
        <v>58</v>
      </c>
      <c r="W339" s="38" t="n">
        <v>64</v>
      </c>
      <c r="X339" s="38" t="n">
        <v>58</v>
      </c>
      <c r="Y339" s="50" t="inlineStr">
        <is>
          <t>0.539-0.385</t>
        </is>
      </c>
      <c r="Z339" s="50" t="inlineStr">
        <is>
          <t>standard</t>
        </is>
      </c>
      <c r="AA339" s="56" t="inlineStr">
        <is>
          <t>0.0162Nm</t>
        </is>
      </c>
      <c r="AB339" s="50" t="inlineStr">
        <is>
          <t>0.0063Nm</t>
        </is>
      </c>
      <c r="AC339" s="53" t="n">
        <v>44463</v>
      </c>
      <c r="AD339" s="84" t="inlineStr">
        <is>
          <t>B</t>
        </is>
      </c>
    </row>
    <row r="340" ht="12.75" customHeight="1" s="123">
      <c r="A340" s="85" t="n">
        <v>338</v>
      </c>
      <c r="B340" s="58" t="inlineStr">
        <is>
          <t xml:space="preserve">BPB-041-LS00-2RS-ZJFD    </t>
        </is>
      </c>
      <c r="C340" s="50" t="n">
        <v>8</v>
      </c>
      <c r="D340" s="50" t="n">
        <v>0</v>
      </c>
      <c r="E340" s="50" t="n">
        <v>-120</v>
      </c>
      <c r="F340" s="50" t="n">
        <v>26</v>
      </c>
      <c r="G340" s="50" t="n">
        <v>0</v>
      </c>
      <c r="H340" s="50" t="n">
        <v>-8</v>
      </c>
      <c r="I340" s="50" t="n">
        <v>8</v>
      </c>
      <c r="J340" s="50" t="n">
        <v>0</v>
      </c>
      <c r="K340" s="50" t="n">
        <v>-120</v>
      </c>
      <c r="L340" s="50" t="n">
        <v>10</v>
      </c>
      <c r="M340" s="50" t="n">
        <v>0</v>
      </c>
      <c r="N340" s="50" t="n">
        <v>-7</v>
      </c>
      <c r="O340" s="50" t="inlineStr">
        <is>
          <t>C3</t>
        </is>
      </c>
      <c r="P340" s="50" t="n">
        <v>23</v>
      </c>
      <c r="Q340" s="50" t="n">
        <v>8</v>
      </c>
      <c r="R340" s="50" t="inlineStr">
        <is>
          <t>NO</t>
        </is>
      </c>
      <c r="S340" s="50" t="inlineStr">
        <is>
          <t>NO</t>
        </is>
      </c>
      <c r="T340" s="50" t="inlineStr">
        <is>
          <t>NO</t>
        </is>
      </c>
      <c r="U340" s="38" t="n">
        <v>64</v>
      </c>
      <c r="V340" s="38" t="n">
        <v>58</v>
      </c>
      <c r="W340" s="38" t="n">
        <v>64</v>
      </c>
      <c r="X340" s="38" t="n">
        <v>58</v>
      </c>
      <c r="Y340" s="56" t="inlineStr">
        <is>
          <t>0.301-0.215</t>
        </is>
      </c>
      <c r="Z340" s="38" t="inlineStr">
        <is>
          <t>Polyrex</t>
        </is>
      </c>
      <c r="AA340" s="56" t="inlineStr">
        <is>
          <t>0.009Nm</t>
        </is>
      </c>
      <c r="AB340" s="56" t="inlineStr">
        <is>
          <t>0.004Nm</t>
        </is>
      </c>
      <c r="AC340" s="53" t="n">
        <v>43398</v>
      </c>
      <c r="AD340" s="84" t="n">
        <v>0</v>
      </c>
    </row>
    <row r="341" ht="12.75" customHeight="1" s="123">
      <c r="A341" s="85" t="n">
        <v>339</v>
      </c>
      <c r="B341" s="31" t="inlineStr">
        <is>
          <t>BPB-041-TS06-2RS-YS</t>
        </is>
      </c>
      <c r="C341" s="50" t="n">
        <v>9</v>
      </c>
      <c r="D341" s="50" t="n">
        <v>0</v>
      </c>
      <c r="E341" s="50" t="n">
        <v>-120</v>
      </c>
      <c r="F341" s="50" t="n">
        <v>47</v>
      </c>
      <c r="G341" s="50" t="n">
        <v>0</v>
      </c>
      <c r="H341" s="50" t="n">
        <v>-11</v>
      </c>
      <c r="I341" s="50" t="n">
        <v>9</v>
      </c>
      <c r="J341" s="50" t="n">
        <v>0</v>
      </c>
      <c r="K341" s="50" t="n">
        <v>-120</v>
      </c>
      <c r="L341" s="50" t="n">
        <v>30</v>
      </c>
      <c r="M341" s="50" t="n">
        <v>0</v>
      </c>
      <c r="N341" s="50" t="n">
        <v>-10</v>
      </c>
      <c r="O341" s="50" t="inlineStr">
        <is>
          <t>C3</t>
        </is>
      </c>
      <c r="P341" s="50" t="n">
        <v>28</v>
      </c>
      <c r="Q341" s="50" t="n">
        <v>13</v>
      </c>
      <c r="R341" s="50" t="inlineStr">
        <is>
          <t>NO</t>
        </is>
      </c>
      <c r="S341" s="50" t="inlineStr">
        <is>
          <t>NO</t>
        </is>
      </c>
      <c r="T341" s="50" t="inlineStr">
        <is>
          <t>NO</t>
        </is>
      </c>
      <c r="U341" s="50" t="n">
        <v>64</v>
      </c>
      <c r="V341" s="50" t="n">
        <v>58</v>
      </c>
      <c r="W341" s="50" t="n">
        <v>64</v>
      </c>
      <c r="X341" s="50" t="n">
        <v>58</v>
      </c>
      <c r="Y341" s="50" t="inlineStr">
        <is>
          <t>1,54-1,76</t>
        </is>
      </c>
      <c r="Z341" s="50" t="inlineStr">
        <is>
          <t>Polyrex</t>
        </is>
      </c>
      <c r="AA341" s="50" t="inlineStr">
        <is>
          <t>0.040Nm</t>
        </is>
      </c>
      <c r="AB341" s="50" t="inlineStr">
        <is>
          <t>0.014Nm</t>
        </is>
      </c>
      <c r="AC341" s="66" t="n">
        <v>43643</v>
      </c>
      <c r="AD341" s="76" t="n">
        <v>0</v>
      </c>
    </row>
    <row r="342" ht="12.75" customHeight="1" s="123">
      <c r="A342" s="85" t="n">
        <v>340</v>
      </c>
      <c r="B342" s="31" t="inlineStr">
        <is>
          <t>BPB-041-TS06-2RS-HLGS</t>
        </is>
      </c>
      <c r="C342" s="50" t="n">
        <v>9</v>
      </c>
      <c r="D342" s="50" t="n">
        <v>0</v>
      </c>
      <c r="E342" s="50" t="n">
        <v>-120</v>
      </c>
      <c r="F342" s="50" t="n">
        <v>47</v>
      </c>
      <c r="G342" s="50" t="n">
        <v>0</v>
      </c>
      <c r="H342" s="50" t="n">
        <v>-11</v>
      </c>
      <c r="I342" s="50" t="n">
        <v>9</v>
      </c>
      <c r="J342" s="50" t="n">
        <v>0</v>
      </c>
      <c r="K342" s="50" t="n">
        <v>-120</v>
      </c>
      <c r="L342" s="50" t="n">
        <v>30</v>
      </c>
      <c r="M342" s="50" t="n">
        <v>0</v>
      </c>
      <c r="N342" s="50" t="n">
        <v>-10</v>
      </c>
      <c r="O342" s="50" t="inlineStr">
        <is>
          <t>C3</t>
        </is>
      </c>
      <c r="P342" s="50" t="n">
        <v>28</v>
      </c>
      <c r="Q342" s="50" t="n">
        <v>13</v>
      </c>
      <c r="R342" s="50" t="inlineStr">
        <is>
          <t>NO</t>
        </is>
      </c>
      <c r="S342" s="50" t="inlineStr">
        <is>
          <t>NO</t>
        </is>
      </c>
      <c r="T342" s="50" t="inlineStr">
        <is>
          <t>NO</t>
        </is>
      </c>
      <c r="U342" s="50" t="n">
        <v>64</v>
      </c>
      <c r="V342" s="50" t="n">
        <v>58</v>
      </c>
      <c r="W342" s="50" t="n">
        <v>64</v>
      </c>
      <c r="X342" s="50" t="n">
        <v>58</v>
      </c>
      <c r="Y342" s="50" t="inlineStr">
        <is>
          <t>1,54-1,76</t>
        </is>
      </c>
      <c r="Z342" s="50" t="inlineStr">
        <is>
          <t>Chinese  grease</t>
        </is>
      </c>
      <c r="AA342" s="50" t="inlineStr">
        <is>
          <t>0.040Nm</t>
        </is>
      </c>
      <c r="AB342" s="50" t="inlineStr">
        <is>
          <t>0.014Nm</t>
        </is>
      </c>
      <c r="AC342" s="66" t="n">
        <v>44728</v>
      </c>
      <c r="AD342" s="76" t="inlineStr">
        <is>
          <t>B</t>
        </is>
      </c>
    </row>
    <row r="343" ht="12.75" customHeight="1" s="123">
      <c r="A343" s="85" t="n">
        <v>341</v>
      </c>
      <c r="B343" s="31" t="inlineStr">
        <is>
          <t>BPB-041-62210-2RS-CXNJ</t>
        </is>
      </c>
      <c r="C343" s="50" t="n">
        <v>23</v>
      </c>
      <c r="D343" s="50" t="inlineStr">
        <is>
          <t>NO</t>
        </is>
      </c>
      <c r="E343" s="50" t="inlineStr">
        <is>
          <t>NO</t>
        </is>
      </c>
      <c r="F343" s="50" t="n">
        <v>90</v>
      </c>
      <c r="G343" s="50" t="inlineStr">
        <is>
          <t>NO</t>
        </is>
      </c>
      <c r="H343" s="50" t="inlineStr">
        <is>
          <t>NO</t>
        </is>
      </c>
      <c r="I343" s="50" t="n">
        <v>23</v>
      </c>
      <c r="J343" s="50" t="inlineStr">
        <is>
          <t>NO</t>
        </is>
      </c>
      <c r="K343" s="50" t="inlineStr">
        <is>
          <t>NO</t>
        </is>
      </c>
      <c r="L343" s="50" t="n">
        <v>50</v>
      </c>
      <c r="M343" s="50" t="inlineStr">
        <is>
          <t>NO</t>
        </is>
      </c>
      <c r="N343" s="50" t="inlineStr">
        <is>
          <t>NO</t>
        </is>
      </c>
      <c r="O343" s="50" t="inlineStr">
        <is>
          <t>NO</t>
        </is>
      </c>
      <c r="P343" s="50" t="inlineStr">
        <is>
          <t>NO</t>
        </is>
      </c>
      <c r="Q343" s="50" t="inlineStr">
        <is>
          <t>NO</t>
        </is>
      </c>
      <c r="R343" s="50" t="inlineStr">
        <is>
          <t>NO</t>
        </is>
      </c>
      <c r="S343" s="50" t="inlineStr">
        <is>
          <t>NO</t>
        </is>
      </c>
      <c r="T343" s="50" t="inlineStr">
        <is>
          <t>NO</t>
        </is>
      </c>
      <c r="U343" s="50" t="n">
        <v>64</v>
      </c>
      <c r="V343" s="50" t="n">
        <v>58</v>
      </c>
      <c r="W343" s="50" t="n">
        <v>64</v>
      </c>
      <c r="X343" s="50" t="n">
        <v>58</v>
      </c>
      <c r="Y343" s="50" t="inlineStr">
        <is>
          <t>NO</t>
        </is>
      </c>
      <c r="Z343" s="50" t="inlineStr">
        <is>
          <t>NO</t>
        </is>
      </c>
      <c r="AA343" s="56" t="inlineStr">
        <is>
          <t>NO</t>
        </is>
      </c>
      <c r="AB343" s="50" t="inlineStr">
        <is>
          <t>NO</t>
        </is>
      </c>
      <c r="AC343" s="84" t="inlineStr">
        <is>
          <t>NO</t>
        </is>
      </c>
      <c r="AD343" s="84" t="inlineStr">
        <is>
          <t>NO</t>
        </is>
      </c>
    </row>
    <row r="344" ht="12.75" customHeight="1" s="123">
      <c r="A344" s="85" t="n">
        <v>342</v>
      </c>
      <c r="B344" s="59" t="inlineStr">
        <is>
          <t>BPB-041-LS08-2RST1-ZH</t>
        </is>
      </c>
      <c r="C344" s="50" t="n">
        <v>15</v>
      </c>
      <c r="D344" s="50" t="n">
        <v>0</v>
      </c>
      <c r="E344" s="50" t="n">
        <v>-120</v>
      </c>
      <c r="F344" s="50" t="n">
        <v>68</v>
      </c>
      <c r="G344" s="50" t="n">
        <v>0</v>
      </c>
      <c r="H344" s="50" t="n">
        <v>-13</v>
      </c>
      <c r="I344" s="50" t="n">
        <v>15</v>
      </c>
      <c r="J344" s="50" t="n">
        <v>0</v>
      </c>
      <c r="K344" s="50" t="n">
        <v>-120</v>
      </c>
      <c r="L344" s="50" t="n">
        <v>40</v>
      </c>
      <c r="M344" s="50" t="n">
        <v>0</v>
      </c>
      <c r="N344" s="50" t="n">
        <v>-12</v>
      </c>
      <c r="O344" s="50" t="inlineStr">
        <is>
          <t>C3</t>
        </is>
      </c>
      <c r="P344" s="50" t="n">
        <v>33</v>
      </c>
      <c r="Q344" s="50" t="n">
        <v>15</v>
      </c>
      <c r="R344" s="50" t="inlineStr">
        <is>
          <t>NO</t>
        </is>
      </c>
      <c r="S344" s="50" t="inlineStr">
        <is>
          <t>NO</t>
        </is>
      </c>
      <c r="T344" s="50" t="inlineStr">
        <is>
          <t>NO</t>
        </is>
      </c>
      <c r="U344" s="50" t="n">
        <v>64</v>
      </c>
      <c r="V344" s="50" t="n">
        <v>58</v>
      </c>
      <c r="W344" s="50" t="n">
        <v>64</v>
      </c>
      <c r="X344" s="50" t="n">
        <v>58</v>
      </c>
      <c r="Y344" s="50" t="inlineStr">
        <is>
          <t>25%-35%</t>
        </is>
      </c>
      <c r="Z344" s="50" t="inlineStr">
        <is>
          <t>Blue grease</t>
        </is>
      </c>
      <c r="AA344" s="45" t="inlineStr">
        <is>
          <t>standard</t>
        </is>
      </c>
      <c r="AB344" s="45" t="inlineStr">
        <is>
          <t>standard</t>
        </is>
      </c>
      <c r="AC344" s="53" t="n">
        <v>43439</v>
      </c>
      <c r="AD344" s="84" t="n">
        <v>0</v>
      </c>
    </row>
    <row r="345" ht="12.75" customHeight="1" s="123">
      <c r="A345" s="85" t="n">
        <v>343</v>
      </c>
      <c r="B345" s="59" t="inlineStr">
        <is>
          <t>BPB-041-LS07-2RST1-ZH</t>
        </is>
      </c>
      <c r="C345" s="50" t="n">
        <v>14</v>
      </c>
      <c r="D345" s="50" t="n">
        <v>0</v>
      </c>
      <c r="E345" s="50" t="n">
        <v>-120</v>
      </c>
      <c r="F345" s="50" t="n">
        <v>62</v>
      </c>
      <c r="G345" s="50" t="n">
        <v>0</v>
      </c>
      <c r="H345" s="50" t="n">
        <v>-13</v>
      </c>
      <c r="I345" s="50" t="n">
        <v>14</v>
      </c>
      <c r="J345" s="50" t="n">
        <v>0</v>
      </c>
      <c r="K345" s="50" t="n">
        <v>-120</v>
      </c>
      <c r="L345" s="50" t="n">
        <v>35</v>
      </c>
      <c r="M345" s="50" t="n">
        <v>0</v>
      </c>
      <c r="N345" s="50" t="n">
        <v>-12</v>
      </c>
      <c r="O345" s="50" t="inlineStr">
        <is>
          <t>C3</t>
        </is>
      </c>
      <c r="P345" s="50" t="n">
        <v>33</v>
      </c>
      <c r="Q345" s="50" t="n">
        <v>15</v>
      </c>
      <c r="R345" s="50" t="inlineStr">
        <is>
          <t>NO</t>
        </is>
      </c>
      <c r="S345" s="50" t="inlineStr">
        <is>
          <t>NO</t>
        </is>
      </c>
      <c r="T345" s="50" t="inlineStr">
        <is>
          <t>NO</t>
        </is>
      </c>
      <c r="U345" s="50" t="n">
        <v>64</v>
      </c>
      <c r="V345" s="50" t="n">
        <v>58</v>
      </c>
      <c r="W345" s="50" t="n">
        <v>64</v>
      </c>
      <c r="X345" s="50" t="n">
        <v>58</v>
      </c>
      <c r="Y345" s="50" t="inlineStr">
        <is>
          <t>25%-35%</t>
        </is>
      </c>
      <c r="Z345" s="50" t="inlineStr">
        <is>
          <t>Blue grease</t>
        </is>
      </c>
      <c r="AA345" s="45" t="inlineStr">
        <is>
          <t>standard</t>
        </is>
      </c>
      <c r="AB345" s="45" t="inlineStr">
        <is>
          <t>standard</t>
        </is>
      </c>
      <c r="AC345" s="53" t="n">
        <v>43439</v>
      </c>
      <c r="AD345" s="84" t="n">
        <v>0</v>
      </c>
    </row>
    <row r="346" ht="12.75" customHeight="1" s="123">
      <c r="A346" s="85" t="n">
        <v>344</v>
      </c>
      <c r="B346" s="59" t="inlineStr">
        <is>
          <t>BPB-041-HD08-2RST-ZH</t>
        </is>
      </c>
      <c r="C346" s="50" t="n">
        <v>23</v>
      </c>
      <c r="D346" s="50" t="n">
        <v>0</v>
      </c>
      <c r="E346" s="50" t="n">
        <v>-120</v>
      </c>
      <c r="F346" s="50" t="n">
        <v>90</v>
      </c>
      <c r="G346" s="50" t="n">
        <v>0</v>
      </c>
      <c r="H346" s="50" t="n">
        <v>-15</v>
      </c>
      <c r="I346" s="50" t="n">
        <v>23</v>
      </c>
      <c r="J346" s="50" t="n">
        <v>0</v>
      </c>
      <c r="K346" s="50" t="n">
        <v>-120</v>
      </c>
      <c r="L346" s="50" t="n">
        <v>40</v>
      </c>
      <c r="M346" s="50" t="n">
        <v>0</v>
      </c>
      <c r="N346" s="50" t="n">
        <v>-12</v>
      </c>
      <c r="O346" s="50" t="inlineStr">
        <is>
          <t>C3</t>
        </is>
      </c>
      <c r="P346" s="50" t="n">
        <v>33</v>
      </c>
      <c r="Q346" s="50" t="n">
        <v>15</v>
      </c>
      <c r="R346" s="50" t="inlineStr">
        <is>
          <t>NO</t>
        </is>
      </c>
      <c r="S346" s="50" t="inlineStr">
        <is>
          <t>NO</t>
        </is>
      </c>
      <c r="T346" s="50" t="inlineStr">
        <is>
          <t>NO</t>
        </is>
      </c>
      <c r="U346" s="50" t="n">
        <v>64</v>
      </c>
      <c r="V346" s="50" t="n">
        <v>58</v>
      </c>
      <c r="W346" s="50" t="n">
        <v>64</v>
      </c>
      <c r="X346" s="50" t="n">
        <v>58</v>
      </c>
      <c r="Y346" s="50" t="inlineStr">
        <is>
          <t>70%-80%</t>
        </is>
      </c>
      <c r="Z346" s="50" t="inlineStr">
        <is>
          <t>Polyrex</t>
        </is>
      </c>
      <c r="AA346" s="56" t="inlineStr">
        <is>
          <t>HIGH</t>
        </is>
      </c>
      <c r="AB346" s="50" t="inlineStr">
        <is>
          <t>HIGT</t>
        </is>
      </c>
      <c r="AC346" s="53" t="n">
        <v>43440</v>
      </c>
      <c r="AD346" s="84" t="n">
        <v>0</v>
      </c>
    </row>
    <row r="347" ht="12.75" customHeight="1" s="123">
      <c r="A347" s="85" t="n">
        <v>345</v>
      </c>
      <c r="B347" s="59" t="inlineStr">
        <is>
          <t>BPB-041-HD06-2RST1-ZH</t>
        </is>
      </c>
      <c r="C347" s="50" t="n">
        <v>19</v>
      </c>
      <c r="D347" s="50" t="n">
        <v>0</v>
      </c>
      <c r="E347" s="50" t="n">
        <v>-120</v>
      </c>
      <c r="F347" s="50" t="n">
        <v>72</v>
      </c>
      <c r="G347" s="50" t="n">
        <v>0</v>
      </c>
      <c r="H347" s="50" t="n">
        <v>-13</v>
      </c>
      <c r="I347" s="50" t="n">
        <v>19</v>
      </c>
      <c r="J347" s="50" t="n">
        <v>0</v>
      </c>
      <c r="K347" s="50" t="n">
        <v>-120</v>
      </c>
      <c r="L347" s="50" t="n">
        <v>30</v>
      </c>
      <c r="M347" s="50" t="n">
        <v>0</v>
      </c>
      <c r="N347" s="50" t="n">
        <v>-10</v>
      </c>
      <c r="O347" s="50" t="inlineStr">
        <is>
          <t>C3</t>
        </is>
      </c>
      <c r="P347" s="50" t="n">
        <v>33</v>
      </c>
      <c r="Q347" s="50" t="n">
        <v>15</v>
      </c>
      <c r="R347" s="50" t="inlineStr">
        <is>
          <t>NO</t>
        </is>
      </c>
      <c r="S347" s="50" t="inlineStr">
        <is>
          <t>NO</t>
        </is>
      </c>
      <c r="T347" s="50" t="inlineStr">
        <is>
          <t>NO</t>
        </is>
      </c>
      <c r="U347" s="50" t="n">
        <v>64</v>
      </c>
      <c r="V347" s="50" t="n">
        <v>58</v>
      </c>
      <c r="W347" s="50" t="n">
        <v>64</v>
      </c>
      <c r="X347" s="50" t="n">
        <v>58</v>
      </c>
      <c r="Y347" s="50" t="inlineStr">
        <is>
          <t>25%-35%</t>
        </is>
      </c>
      <c r="Z347" s="50" t="inlineStr">
        <is>
          <t>Blue grease</t>
        </is>
      </c>
      <c r="AA347" s="45" t="inlineStr">
        <is>
          <t>standard</t>
        </is>
      </c>
      <c r="AB347" s="45" t="inlineStr">
        <is>
          <t>standard</t>
        </is>
      </c>
      <c r="AC347" s="53" t="n">
        <v>43439</v>
      </c>
      <c r="AD347" s="84" t="n">
        <v>0</v>
      </c>
    </row>
    <row r="348" ht="12.75" customHeight="1" s="123">
      <c r="A348" s="85" t="n">
        <v>346</v>
      </c>
      <c r="B348" s="31" t="inlineStr">
        <is>
          <t>BPB-041-LS03-2RLD-YS</t>
        </is>
      </c>
      <c r="C348" s="50" t="n">
        <v>10</v>
      </c>
      <c r="D348" s="50" t="n">
        <v>0</v>
      </c>
      <c r="E348" s="50" t="n">
        <v>-120</v>
      </c>
      <c r="F348" s="50" t="n">
        <v>35</v>
      </c>
      <c r="G348" s="50" t="n">
        <v>0</v>
      </c>
      <c r="H348" s="50" t="n">
        <v>-11</v>
      </c>
      <c r="I348" s="50" t="n">
        <v>10</v>
      </c>
      <c r="J348" s="50" t="n">
        <v>0</v>
      </c>
      <c r="K348" s="50" t="n">
        <v>-120</v>
      </c>
      <c r="L348" s="50" t="n">
        <v>17</v>
      </c>
      <c r="M348" s="50" t="n">
        <v>0</v>
      </c>
      <c r="N348" s="50" t="n">
        <v>-8</v>
      </c>
      <c r="O348" s="50" t="inlineStr">
        <is>
          <t>C3</t>
        </is>
      </c>
      <c r="P348" s="50" t="n">
        <v>28</v>
      </c>
      <c r="Q348" s="50" t="n">
        <v>13</v>
      </c>
      <c r="R348" s="50" t="inlineStr">
        <is>
          <t>NO</t>
        </is>
      </c>
      <c r="S348" s="50" t="inlineStr">
        <is>
          <t>NO</t>
        </is>
      </c>
      <c r="T348" s="50" t="inlineStr">
        <is>
          <t>NO</t>
        </is>
      </c>
      <c r="U348" s="50" t="n">
        <v>64</v>
      </c>
      <c r="V348" s="50" t="n">
        <v>58</v>
      </c>
      <c r="W348" s="50" t="n">
        <v>64</v>
      </c>
      <c r="X348" s="50" t="n">
        <v>58</v>
      </c>
      <c r="Y348" s="50" t="inlineStr">
        <is>
          <t>0.385 - 0.539 gr</t>
        </is>
      </c>
      <c r="Z348" s="50" t="inlineStr">
        <is>
          <t>Polyrex</t>
        </is>
      </c>
      <c r="AA348" s="56" t="inlineStr">
        <is>
          <t>0.0162 Nm</t>
        </is>
      </c>
      <c r="AB348" s="50" t="inlineStr">
        <is>
          <t>0.0063 Nm</t>
        </is>
      </c>
      <c r="AC348" s="53" t="n">
        <v>42272</v>
      </c>
      <c r="AD348" s="84" t="n">
        <v>0</v>
      </c>
    </row>
    <row r="349" ht="12.75" customHeight="1" s="123">
      <c r="A349" s="85" t="n">
        <v>347</v>
      </c>
      <c r="B349" s="31" t="inlineStr">
        <is>
          <t>BPB-041-MS01-2RST-YS</t>
        </is>
      </c>
      <c r="C349" s="50" t="n">
        <v>10</v>
      </c>
      <c r="D349" s="50" t="n">
        <v>0</v>
      </c>
      <c r="E349" s="50" t="n">
        <v>-120</v>
      </c>
      <c r="F349" s="50" t="n">
        <v>32</v>
      </c>
      <c r="G349" s="50" t="n">
        <v>0</v>
      </c>
      <c r="H349" s="50" t="n">
        <v>-11</v>
      </c>
      <c r="I349" s="50" t="n">
        <v>10</v>
      </c>
      <c r="J349" s="50" t="n">
        <v>0</v>
      </c>
      <c r="K349" s="50" t="n">
        <v>-120</v>
      </c>
      <c r="L349" s="50" t="n">
        <v>12</v>
      </c>
      <c r="M349" s="50" t="n">
        <v>0</v>
      </c>
      <c r="N349" s="50" t="n">
        <v>-8</v>
      </c>
      <c r="O349" s="50" t="inlineStr">
        <is>
          <t>C3</t>
        </is>
      </c>
      <c r="P349" s="50" t="n">
        <v>25</v>
      </c>
      <c r="Q349" s="50" t="n">
        <v>11</v>
      </c>
      <c r="R349" s="50" t="inlineStr">
        <is>
          <t>NO</t>
        </is>
      </c>
      <c r="S349" s="50" t="inlineStr">
        <is>
          <t>NO</t>
        </is>
      </c>
      <c r="T349" s="50" t="inlineStr">
        <is>
          <t>NO</t>
        </is>
      </c>
      <c r="U349" s="50" t="n">
        <v>64</v>
      </c>
      <c r="V349" s="50" t="n">
        <v>58</v>
      </c>
      <c r="W349" s="50" t="n">
        <v>64</v>
      </c>
      <c r="X349" s="50" t="n">
        <v>58</v>
      </c>
      <c r="Y349" s="50" t="inlineStr">
        <is>
          <t>1.15 - 1.31 GR</t>
        </is>
      </c>
      <c r="Z349" s="50" t="inlineStr">
        <is>
          <t>Polyrex</t>
        </is>
      </c>
      <c r="AA349" s="56" t="inlineStr">
        <is>
          <t>0.04 Nm</t>
        </is>
      </c>
      <c r="AB349" s="50" t="inlineStr">
        <is>
          <t>0.012Nm</t>
        </is>
      </c>
      <c r="AC349" s="53" t="n">
        <v>42334</v>
      </c>
      <c r="AD349" s="84" t="inlineStr">
        <is>
          <t>A</t>
        </is>
      </c>
    </row>
    <row r="350" ht="12.75" customHeight="1" s="123">
      <c r="A350" s="85" t="n">
        <v>348</v>
      </c>
      <c r="B350" s="31" t="inlineStr">
        <is>
          <t>BPB-041-MS03-2RST-YS</t>
        </is>
      </c>
      <c r="C350" s="50" t="n">
        <v>12</v>
      </c>
      <c r="D350" s="50" t="n">
        <v>0</v>
      </c>
      <c r="E350" s="50" t="n">
        <v>-12</v>
      </c>
      <c r="F350" s="50" t="n">
        <v>40</v>
      </c>
      <c r="G350" s="50" t="n">
        <v>0</v>
      </c>
      <c r="H350" s="50" t="n">
        <v>-11</v>
      </c>
      <c r="I350" s="50" t="n">
        <v>12</v>
      </c>
      <c r="J350" s="50" t="n">
        <v>0</v>
      </c>
      <c r="K350" s="50" t="n">
        <v>-12</v>
      </c>
      <c r="L350" s="50" t="n">
        <v>17</v>
      </c>
      <c r="M350" s="50" t="n">
        <v>0</v>
      </c>
      <c r="N350" s="50" t="n">
        <v>-9</v>
      </c>
      <c r="O350" s="50" t="inlineStr">
        <is>
          <t>CE</t>
        </is>
      </c>
      <c r="P350" s="50" t="n">
        <v>25</v>
      </c>
      <c r="Q350" s="50" t="n">
        <v>11</v>
      </c>
      <c r="R350" s="50" t="inlineStr">
        <is>
          <t>NO</t>
        </is>
      </c>
      <c r="S350" s="50" t="inlineStr">
        <is>
          <t>NO</t>
        </is>
      </c>
      <c r="T350" s="50" t="inlineStr">
        <is>
          <t>NO</t>
        </is>
      </c>
      <c r="U350" s="50" t="n">
        <v>64</v>
      </c>
      <c r="V350" s="50" t="n">
        <v>58</v>
      </c>
      <c r="W350" s="50" t="n">
        <v>64</v>
      </c>
      <c r="X350" s="50" t="n">
        <v>58</v>
      </c>
      <c r="Y350" s="50" t="inlineStr">
        <is>
          <t>1.92 - 2.2 gr</t>
        </is>
      </c>
      <c r="Z350" s="50" t="inlineStr">
        <is>
          <t>Polyrex</t>
        </is>
      </c>
      <c r="AA350" s="56" t="inlineStr">
        <is>
          <t>0.0268Nm</t>
        </is>
      </c>
      <c r="AB350" s="50" t="inlineStr">
        <is>
          <t>0.0162Nm</t>
        </is>
      </c>
      <c r="AC350" s="53" t="n">
        <v>43004</v>
      </c>
      <c r="AD350" s="84" t="inlineStr">
        <is>
          <t>B</t>
        </is>
      </c>
    </row>
    <row r="351" ht="12.75" customHeight="1" s="123">
      <c r="A351" s="85" t="n">
        <v>349</v>
      </c>
      <c r="B351" s="31" t="inlineStr">
        <is>
          <t>BPB-041-MS00-2RS-ZJFD</t>
        </is>
      </c>
      <c r="C351" s="50" t="n">
        <v>9</v>
      </c>
      <c r="D351" s="50" t="n">
        <v>0</v>
      </c>
      <c r="E351" s="50" t="n">
        <v>-120</v>
      </c>
      <c r="F351" s="50" t="n">
        <v>30</v>
      </c>
      <c r="G351" s="50" t="n">
        <v>0</v>
      </c>
      <c r="H351" s="50" t="n">
        <v>-8</v>
      </c>
      <c r="I351" s="50" t="n">
        <v>9</v>
      </c>
      <c r="J351" s="50" t="n">
        <v>0</v>
      </c>
      <c r="K351" s="50" t="n">
        <v>-120</v>
      </c>
      <c r="L351" s="50" t="n">
        <v>10</v>
      </c>
      <c r="M351" s="50" t="n">
        <v>0</v>
      </c>
      <c r="N351" s="50" t="n">
        <v>-7</v>
      </c>
      <c r="O351" s="50" t="inlineStr">
        <is>
          <t>C3</t>
        </is>
      </c>
      <c r="P351" s="50" t="n">
        <v>23</v>
      </c>
      <c r="Q351" s="50" t="n">
        <v>8</v>
      </c>
      <c r="R351" s="50" t="inlineStr">
        <is>
          <t>NO</t>
        </is>
      </c>
      <c r="S351" s="50" t="inlineStr">
        <is>
          <t>NO</t>
        </is>
      </c>
      <c r="T351" s="50" t="inlineStr">
        <is>
          <t>NO</t>
        </is>
      </c>
      <c r="U351" s="50" t="n">
        <v>64</v>
      </c>
      <c r="V351" s="50" t="n">
        <v>58</v>
      </c>
      <c r="W351" s="50" t="n">
        <v>64</v>
      </c>
      <c r="X351" s="50" t="n">
        <v>58</v>
      </c>
      <c r="Y351" s="50" t="inlineStr">
        <is>
          <t>-</t>
        </is>
      </c>
      <c r="Z351" s="50" t="inlineStr">
        <is>
          <t>-</t>
        </is>
      </c>
      <c r="AA351" s="56" t="inlineStr">
        <is>
          <t>-</t>
        </is>
      </c>
      <c r="AB351" s="50" t="inlineStr">
        <is>
          <t>-</t>
        </is>
      </c>
      <c r="AC351" s="84" t="inlineStr">
        <is>
          <t>-</t>
        </is>
      </c>
      <c r="AD351" s="84" t="inlineStr">
        <is>
          <t>-</t>
        </is>
      </c>
    </row>
    <row r="352" ht="12.75" customHeight="1" s="123">
      <c r="A352" s="85" t="n">
        <v>350</v>
      </c>
      <c r="B352" s="31" t="inlineStr">
        <is>
          <t>BPB-041-MS01-2RS-ZJFD</t>
        </is>
      </c>
      <c r="C352" s="50" t="n">
        <v>10</v>
      </c>
      <c r="D352" s="50" t="n">
        <v>0</v>
      </c>
      <c r="E352" s="50" t="n">
        <v>-120</v>
      </c>
      <c r="F352" s="50" t="n">
        <v>32</v>
      </c>
      <c r="G352" s="50" t="n">
        <v>0</v>
      </c>
      <c r="H352" s="50" t="n">
        <v>-11</v>
      </c>
      <c r="I352" s="50" t="n">
        <v>10</v>
      </c>
      <c r="J352" s="50" t="n">
        <v>0</v>
      </c>
      <c r="K352" s="50" t="n">
        <v>-120</v>
      </c>
      <c r="L352" s="50" t="n">
        <v>12</v>
      </c>
      <c r="M352" s="50" t="n">
        <v>0</v>
      </c>
      <c r="N352" s="50" t="n">
        <v>-8</v>
      </c>
      <c r="O352" s="50" t="inlineStr">
        <is>
          <t>C3</t>
        </is>
      </c>
      <c r="P352" s="50" t="n">
        <v>25</v>
      </c>
      <c r="Q352" s="50" t="n">
        <v>11</v>
      </c>
      <c r="R352" s="50" t="inlineStr">
        <is>
          <t>NO</t>
        </is>
      </c>
      <c r="S352" s="50" t="inlineStr">
        <is>
          <t>NO</t>
        </is>
      </c>
      <c r="T352" s="50" t="inlineStr">
        <is>
          <t>NO</t>
        </is>
      </c>
      <c r="U352" s="50" t="n">
        <v>64</v>
      </c>
      <c r="V352" s="50" t="n">
        <v>58</v>
      </c>
      <c r="W352" s="50" t="n">
        <v>64</v>
      </c>
      <c r="X352" s="50" t="n">
        <v>58</v>
      </c>
      <c r="Y352" s="50" t="n">
        <v>1.15</v>
      </c>
      <c r="Z352" s="50" t="inlineStr">
        <is>
          <t>1.31gr</t>
        </is>
      </c>
      <c r="AA352" s="56" t="inlineStr">
        <is>
          <t>standard</t>
        </is>
      </c>
      <c r="AB352" s="50" t="inlineStr">
        <is>
          <t>0.012 - 0.04Nm</t>
        </is>
      </c>
      <c r="AC352" s="53" t="n">
        <v>44463</v>
      </c>
      <c r="AD352" s="84" t="inlineStr">
        <is>
          <t>B</t>
        </is>
      </c>
    </row>
    <row r="353" ht="12.75" customHeight="1" s="123">
      <c r="A353" s="85" t="n">
        <v>351</v>
      </c>
      <c r="B353" s="31" t="inlineStr">
        <is>
          <t>BPB-041-MS03-2RS-ZJFD</t>
        </is>
      </c>
      <c r="C353" s="50" t="n">
        <v>12</v>
      </c>
      <c r="D353" s="50" t="n">
        <v>0</v>
      </c>
      <c r="E353" s="50" t="n">
        <v>-120</v>
      </c>
      <c r="F353" s="50" t="n">
        <v>40</v>
      </c>
      <c r="G353" s="50" t="n">
        <v>0</v>
      </c>
      <c r="H353" s="50" t="n">
        <v>-11</v>
      </c>
      <c r="I353" s="50" t="n">
        <v>12</v>
      </c>
      <c r="J353" s="50" t="n">
        <v>0</v>
      </c>
      <c r="K353" s="50" t="n">
        <v>-120</v>
      </c>
      <c r="L353" s="50" t="n">
        <v>17</v>
      </c>
      <c r="M353" s="50" t="n">
        <v>0</v>
      </c>
      <c r="N353" s="50" t="n">
        <v>-8</v>
      </c>
      <c r="O353" s="50" t="inlineStr">
        <is>
          <t>C3</t>
        </is>
      </c>
      <c r="P353" s="50" t="n">
        <v>25</v>
      </c>
      <c r="Q353" s="50" t="n">
        <v>11</v>
      </c>
      <c r="R353" s="50" t="inlineStr">
        <is>
          <t>NO</t>
        </is>
      </c>
      <c r="S353" s="50" t="inlineStr">
        <is>
          <t>NO</t>
        </is>
      </c>
      <c r="T353" s="50" t="inlineStr">
        <is>
          <t>NO</t>
        </is>
      </c>
      <c r="U353" s="50" t="n">
        <v>64</v>
      </c>
      <c r="V353" s="50" t="n">
        <v>58</v>
      </c>
      <c r="W353" s="50" t="n">
        <v>64</v>
      </c>
      <c r="X353" s="50" t="n">
        <v>58</v>
      </c>
      <c r="Y353" s="50" t="inlineStr">
        <is>
          <t>Grease</t>
        </is>
      </c>
      <c r="Z353" s="50" t="inlineStr">
        <is>
          <t>1.92 - 2.2 gr</t>
        </is>
      </c>
      <c r="AA353" s="56" t="inlineStr">
        <is>
          <t>0.0268 Nm</t>
        </is>
      </c>
      <c r="AB353" s="50" t="inlineStr">
        <is>
          <t>0.0162 Nm</t>
        </is>
      </c>
      <c r="AC353" s="53" t="n">
        <v>44463</v>
      </c>
      <c r="AD353" s="84" t="inlineStr">
        <is>
          <t>A</t>
        </is>
      </c>
    </row>
    <row r="354" ht="12.75" customHeight="1" s="123">
      <c r="A354" s="85" t="n">
        <v>352</v>
      </c>
      <c r="B354" s="31" t="inlineStr">
        <is>
          <t>BPB-041-MS04-2RS-ZJFD</t>
        </is>
      </c>
      <c r="C354" s="50" t="n">
        <v>14</v>
      </c>
      <c r="D354" s="50" t="n">
        <v>0</v>
      </c>
      <c r="E354" s="50" t="n">
        <v>-120</v>
      </c>
      <c r="F354" s="50" t="n">
        <v>47</v>
      </c>
      <c r="G354" s="50" t="n">
        <v>0</v>
      </c>
      <c r="H354" s="50" t="n">
        <v>-11</v>
      </c>
      <c r="I354" s="50" t="n">
        <v>14</v>
      </c>
      <c r="J354" s="50" t="n">
        <v>0</v>
      </c>
      <c r="K354" s="50" t="n">
        <v>-120</v>
      </c>
      <c r="L354" s="50" t="n">
        <v>20</v>
      </c>
      <c r="M354" s="50" t="n">
        <v>0</v>
      </c>
      <c r="N354" s="50" t="n">
        <v>-10</v>
      </c>
      <c r="O354" s="50" t="inlineStr">
        <is>
          <t>C3</t>
        </is>
      </c>
      <c r="P354" s="50" t="n">
        <v>13</v>
      </c>
      <c r="Q354" s="50" t="n">
        <v>28</v>
      </c>
      <c r="R354" s="50" t="inlineStr">
        <is>
          <t>NO</t>
        </is>
      </c>
      <c r="S354" s="50" t="inlineStr">
        <is>
          <t>NO</t>
        </is>
      </c>
      <c r="T354" s="50" t="inlineStr">
        <is>
          <t>NO</t>
        </is>
      </c>
      <c r="U354" s="50" t="n">
        <v>64</v>
      </c>
      <c r="V354" s="50" t="n">
        <v>58</v>
      </c>
      <c r="W354" s="50" t="n">
        <v>64</v>
      </c>
      <c r="X354" s="50" t="n">
        <v>58</v>
      </c>
      <c r="Y354" s="50" t="inlineStr">
        <is>
          <t>3.35 -3.83gr</t>
        </is>
      </c>
      <c r="Z354" s="50" t="inlineStr">
        <is>
          <t>Polyrex</t>
        </is>
      </c>
      <c r="AA354" s="56" t="inlineStr">
        <is>
          <t>0.04Nm</t>
        </is>
      </c>
      <c r="AB354" s="50" t="inlineStr">
        <is>
          <t>0.015Nm</t>
        </is>
      </c>
      <c r="AC354" s="53" t="n">
        <v>44180</v>
      </c>
      <c r="AD354" s="84" t="inlineStr">
        <is>
          <t>A</t>
        </is>
      </c>
    </row>
    <row r="355" ht="12.75" customHeight="1" s="123">
      <c r="A355" s="85" t="n">
        <v>353</v>
      </c>
      <c r="B355" s="31" t="inlineStr">
        <is>
          <t>BPB-041-MS05-2RS-ZJFD</t>
        </is>
      </c>
      <c r="C355" s="50" t="n">
        <v>15</v>
      </c>
      <c r="D355" s="50" t="n">
        <v>0</v>
      </c>
      <c r="E355" s="50" t="n">
        <v>-120</v>
      </c>
      <c r="F355" s="50" t="n">
        <v>52</v>
      </c>
      <c r="G355" s="50" t="n">
        <v>0</v>
      </c>
      <c r="H355" s="50" t="n">
        <v>-13</v>
      </c>
      <c r="I355" s="50" t="n">
        <v>15</v>
      </c>
      <c r="J355" s="50" t="n">
        <v>0</v>
      </c>
      <c r="K355" s="50" t="n">
        <v>-120</v>
      </c>
      <c r="L355" s="50" t="n">
        <v>25</v>
      </c>
      <c r="M355" s="50" t="n">
        <v>0</v>
      </c>
      <c r="N355" s="50" t="n">
        <v>-10</v>
      </c>
      <c r="O355" s="50" t="inlineStr">
        <is>
          <t>C3</t>
        </is>
      </c>
      <c r="P355" s="50" t="n">
        <v>13</v>
      </c>
      <c r="Q355" s="50" t="n">
        <v>28</v>
      </c>
      <c r="R355" s="50" t="inlineStr">
        <is>
          <t>NO</t>
        </is>
      </c>
      <c r="S355" s="50" t="inlineStr">
        <is>
          <t>NO</t>
        </is>
      </c>
      <c r="T355" s="50" t="inlineStr">
        <is>
          <t>NO</t>
        </is>
      </c>
      <c r="U355" s="50" t="n">
        <v>64</v>
      </c>
      <c r="V355" s="50" t="n">
        <v>58</v>
      </c>
      <c r="W355" s="50" t="n">
        <v>64</v>
      </c>
      <c r="X355" s="50" t="n">
        <v>58</v>
      </c>
      <c r="Y355" s="50" t="inlineStr">
        <is>
          <t>Grease</t>
        </is>
      </c>
      <c r="Z355" s="50" t="inlineStr">
        <is>
          <t>3.95-4.52 gr</t>
        </is>
      </c>
      <c r="AA355" s="56" t="inlineStr">
        <is>
          <t>-</t>
        </is>
      </c>
      <c r="AB355" s="50" t="inlineStr">
        <is>
          <t>-</t>
        </is>
      </c>
      <c r="AC355" s="53" t="n">
        <v>44463</v>
      </c>
      <c r="AD355" s="84" t="inlineStr">
        <is>
          <t>A</t>
        </is>
      </c>
    </row>
    <row r="356" ht="12.75" customHeight="1" s="123">
      <c r="A356" s="85" t="n">
        <v>354</v>
      </c>
      <c r="B356" s="31" t="inlineStr">
        <is>
          <t>BPB-041-MS06-2RS-ZJFD</t>
        </is>
      </c>
      <c r="C356" s="50" t="n">
        <v>16</v>
      </c>
      <c r="D356" s="50" t="n">
        <v>0</v>
      </c>
      <c r="E356" s="50" t="n">
        <v>-120</v>
      </c>
      <c r="F356" s="50" t="n">
        <v>62</v>
      </c>
      <c r="G356" s="50" t="n">
        <v>0</v>
      </c>
      <c r="H356" s="50" t="n">
        <v>-13</v>
      </c>
      <c r="I356" s="50" t="n">
        <v>16</v>
      </c>
      <c r="J356" s="50" t="n">
        <v>0</v>
      </c>
      <c r="K356" s="50" t="n">
        <v>-120</v>
      </c>
      <c r="L356" s="50" t="n">
        <v>30</v>
      </c>
      <c r="M356" s="50" t="n">
        <v>0</v>
      </c>
      <c r="N356" s="50" t="n">
        <v>-10</v>
      </c>
      <c r="O356" s="50" t="inlineStr">
        <is>
          <t>C3</t>
        </is>
      </c>
      <c r="P356" s="50" t="n">
        <v>28</v>
      </c>
      <c r="Q356" s="50" t="n">
        <v>13</v>
      </c>
      <c r="R356" s="50" t="inlineStr">
        <is>
          <t>NO</t>
        </is>
      </c>
      <c r="S356" s="50" t="inlineStr">
        <is>
          <t>NO</t>
        </is>
      </c>
      <c r="T356" s="50" t="inlineStr">
        <is>
          <t>NO</t>
        </is>
      </c>
      <c r="U356" s="50" t="n">
        <v>64</v>
      </c>
      <c r="V356" s="50" t="n">
        <v>58</v>
      </c>
      <c r="W356" s="50" t="n">
        <v>64</v>
      </c>
      <c r="X356" s="50" t="n">
        <v>58</v>
      </c>
      <c r="Y356" s="50" t="inlineStr">
        <is>
          <t>3.9-5.2gr</t>
        </is>
      </c>
      <c r="Z356" s="50" t="inlineStr">
        <is>
          <t>standard</t>
        </is>
      </c>
      <c r="AA356" s="56" t="inlineStr">
        <is>
          <t>standard</t>
        </is>
      </c>
      <c r="AB356" s="50" t="inlineStr">
        <is>
          <t>standard</t>
        </is>
      </c>
      <c r="AC356" s="53" t="n">
        <v>44572</v>
      </c>
      <c r="AD356" s="84" t="inlineStr">
        <is>
          <t>B</t>
        </is>
      </c>
    </row>
    <row r="357" ht="12.75" customHeight="1" s="123">
      <c r="A357" s="85" t="n">
        <v>355</v>
      </c>
      <c r="B357" s="31" t="inlineStr">
        <is>
          <t>BPB-041-HD07-2RST-SCB</t>
        </is>
      </c>
      <c r="C357" s="50" t="n">
        <v>21</v>
      </c>
      <c r="D357" s="50" t="n">
        <v>0</v>
      </c>
      <c r="E357" s="50" t="n">
        <v>-120</v>
      </c>
      <c r="F357" s="50" t="n">
        <v>80</v>
      </c>
      <c r="G357" s="50" t="n">
        <v>0</v>
      </c>
      <c r="H357" s="50" t="n">
        <v>-13</v>
      </c>
      <c r="I357" s="50" t="n">
        <v>21</v>
      </c>
      <c r="J357" s="50" t="n">
        <v>0</v>
      </c>
      <c r="K357" s="50" t="n">
        <v>-120</v>
      </c>
      <c r="L357" s="50" t="n">
        <v>35</v>
      </c>
      <c r="M357" s="50" t="n">
        <v>0</v>
      </c>
      <c r="N357" s="50" t="n">
        <v>-12</v>
      </c>
      <c r="O357" s="50" t="inlineStr">
        <is>
          <t>C3</t>
        </is>
      </c>
      <c r="P357" s="50" t="n">
        <v>33</v>
      </c>
      <c r="Q357" s="50" t="n">
        <v>15</v>
      </c>
      <c r="R357" s="50" t="inlineStr">
        <is>
          <t>NO</t>
        </is>
      </c>
      <c r="S357" s="50" t="inlineStr">
        <is>
          <t>NO</t>
        </is>
      </c>
      <c r="T357" s="50" t="inlineStr">
        <is>
          <t>NO</t>
        </is>
      </c>
      <c r="U357" s="50" t="n">
        <v>64</v>
      </c>
      <c r="V357" s="50" t="n">
        <v>58</v>
      </c>
      <c r="W357" s="50" t="n">
        <v>64</v>
      </c>
      <c r="X357" s="50" t="n">
        <v>58</v>
      </c>
      <c r="Y357" s="50" t="inlineStr">
        <is>
          <t>14.091-16.104gr</t>
        </is>
      </c>
      <c r="Z357" s="50" t="inlineStr">
        <is>
          <t>Polyrex</t>
        </is>
      </c>
      <c r="AA357" s="56" t="inlineStr">
        <is>
          <t>0.12Nm</t>
        </is>
      </c>
      <c r="AB357" s="50" t="inlineStr">
        <is>
          <t>0.05Nm</t>
        </is>
      </c>
      <c r="AC357" s="53" t="n">
        <v>43273</v>
      </c>
      <c r="AD357" s="84" t="inlineStr">
        <is>
          <t>A</t>
        </is>
      </c>
    </row>
    <row r="358" ht="12.75" customHeight="1" s="123">
      <c r="A358" s="85" t="n">
        <v>356</v>
      </c>
      <c r="B358" s="31" t="inlineStr">
        <is>
          <t>6907-2RLD-3-YS</t>
        </is>
      </c>
      <c r="C358" s="50" t="n">
        <v>10</v>
      </c>
      <c r="D358" s="50" t="n">
        <v>0</v>
      </c>
      <c r="E358" s="50" t="n">
        <v>-120</v>
      </c>
      <c r="F358" s="50" t="n">
        <v>55</v>
      </c>
      <c r="G358" s="50" t="n">
        <v>0</v>
      </c>
      <c r="H358" s="50" t="n">
        <v>-13</v>
      </c>
      <c r="I358" s="50" t="n">
        <v>10</v>
      </c>
      <c r="J358" s="50" t="n">
        <v>0</v>
      </c>
      <c r="K358" s="50" t="n">
        <v>-120</v>
      </c>
      <c r="L358" s="50" t="n">
        <v>35</v>
      </c>
      <c r="M358" s="50" t="n">
        <v>0</v>
      </c>
      <c r="N358" s="50" t="n">
        <v>-12</v>
      </c>
      <c r="O358" s="50" t="inlineStr">
        <is>
          <t>C3</t>
        </is>
      </c>
      <c r="P358" s="50" t="n">
        <v>28</v>
      </c>
      <c r="Q358" s="50" t="n">
        <v>18</v>
      </c>
      <c r="R358" s="50" t="inlineStr">
        <is>
          <t>NO</t>
        </is>
      </c>
      <c r="S358" s="50" t="inlineStr">
        <is>
          <t>NO</t>
        </is>
      </c>
      <c r="T358" s="50" t="inlineStr">
        <is>
          <t>NO</t>
        </is>
      </c>
      <c r="U358" s="50" t="n">
        <v>64</v>
      </c>
      <c r="V358" s="50" t="n">
        <v>58</v>
      </c>
      <c r="W358" s="50" t="n">
        <v>64</v>
      </c>
      <c r="X358" s="50" t="n">
        <v>58</v>
      </c>
      <c r="Y358" s="50" t="inlineStr">
        <is>
          <t>35-25%</t>
        </is>
      </c>
      <c r="Z358" s="50" t="inlineStr">
        <is>
          <t>Polyrex</t>
        </is>
      </c>
      <c r="AA358" s="56" t="inlineStr">
        <is>
          <t>0.035Nm</t>
        </is>
      </c>
      <c r="AB358" s="50" t="inlineStr">
        <is>
          <t>0.005Nm</t>
        </is>
      </c>
      <c r="AC358" s="53" t="n">
        <v>43859</v>
      </c>
      <c r="AD358" s="84" t="n">
        <v>0</v>
      </c>
    </row>
    <row r="359" ht="12.75" customHeight="1" s="123">
      <c r="A359" s="85" t="n">
        <v>357</v>
      </c>
      <c r="B359" s="31" t="inlineStr">
        <is>
          <t>BPB-041-1635-2RLD-HLBR</t>
        </is>
      </c>
      <c r="C359" s="50" t="n">
        <v>12.7</v>
      </c>
      <c r="D359" s="50" t="n">
        <v>0</v>
      </c>
      <c r="E359" s="50" t="n">
        <v>-120</v>
      </c>
      <c r="F359" s="50" t="n">
        <v>44.45</v>
      </c>
      <c r="G359" s="50" t="n">
        <v>0</v>
      </c>
      <c r="H359" s="50" t="n">
        <v>-11</v>
      </c>
      <c r="I359" s="50" t="n">
        <v>12.7</v>
      </c>
      <c r="J359" s="50" t="n">
        <v>0</v>
      </c>
      <c r="K359" s="50" t="n">
        <v>-120</v>
      </c>
      <c r="L359" s="50" t="n">
        <v>19.05</v>
      </c>
      <c r="M359" s="50" t="n">
        <v>0</v>
      </c>
      <c r="N359" s="50" t="n">
        <v>-12</v>
      </c>
      <c r="O359" s="50" t="inlineStr">
        <is>
          <t>C3</t>
        </is>
      </c>
      <c r="P359" s="50" t="n">
        <v>28</v>
      </c>
      <c r="Q359" s="50" t="n">
        <v>13</v>
      </c>
      <c r="R359" s="50" t="inlineStr">
        <is>
          <t>NO</t>
        </is>
      </c>
      <c r="S359" s="50" t="inlineStr">
        <is>
          <t>NO</t>
        </is>
      </c>
      <c r="T359" s="50" t="inlineStr">
        <is>
          <t>NO</t>
        </is>
      </c>
      <c r="U359" s="50" t="n">
        <v>64</v>
      </c>
      <c r="V359" s="50" t="n">
        <v>58</v>
      </c>
      <c r="W359" s="50" t="n">
        <v>64</v>
      </c>
      <c r="X359" s="50" t="n">
        <v>58</v>
      </c>
      <c r="Y359" s="50" t="inlineStr">
        <is>
          <t>35-25%</t>
        </is>
      </c>
      <c r="Z359" s="50" t="inlineStr">
        <is>
          <t>Polyrex</t>
        </is>
      </c>
      <c r="AA359" s="56" t="inlineStr">
        <is>
          <t>0.01Nm</t>
        </is>
      </c>
      <c r="AB359" s="50" t="inlineStr">
        <is>
          <t>0.026Nm</t>
        </is>
      </c>
      <c r="AC359" s="53" t="n">
        <v>42019</v>
      </c>
      <c r="AD359" s="84" t="inlineStr">
        <is>
          <t>B</t>
        </is>
      </c>
    </row>
    <row r="360" ht="12.75" customHeight="1" s="123">
      <c r="A360" s="85" t="n">
        <v>358</v>
      </c>
      <c r="B360" s="31" t="inlineStr">
        <is>
          <t>BPB-031-DAC-35720034-XCYW</t>
        </is>
      </c>
      <c r="C360" s="50" t="n">
        <v>34</v>
      </c>
      <c r="D360" s="50" t="n">
        <v>0</v>
      </c>
      <c r="E360" s="50" t="n">
        <v>-120</v>
      </c>
      <c r="F360" s="50" t="n">
        <v>72</v>
      </c>
      <c r="G360" s="50" t="n">
        <v>0</v>
      </c>
      <c r="H360" s="50" t="n">
        <v>-13</v>
      </c>
      <c r="I360" s="50" t="n">
        <v>34</v>
      </c>
      <c r="J360" s="50" t="n">
        <v>0</v>
      </c>
      <c r="K360" s="50" t="n">
        <v>-120</v>
      </c>
      <c r="L360" s="50" t="n">
        <v>35</v>
      </c>
      <c r="M360" s="50" t="n">
        <v>0</v>
      </c>
      <c r="N360" s="50" t="n">
        <v>-12</v>
      </c>
      <c r="O360" s="50" t="inlineStr">
        <is>
          <t>NO</t>
        </is>
      </c>
      <c r="P360" s="50" t="inlineStr">
        <is>
          <t>NO</t>
        </is>
      </c>
      <c r="Q360" s="50" t="inlineStr">
        <is>
          <t>NO</t>
        </is>
      </c>
      <c r="R360" s="50" t="inlineStr">
        <is>
          <t>AXIal</t>
        </is>
      </c>
      <c r="S360" s="50" t="n">
        <v>100</v>
      </c>
      <c r="T360" s="50" t="n">
        <v>70</v>
      </c>
      <c r="U360" s="50" t="n">
        <v>64</v>
      </c>
      <c r="V360" s="50" t="n">
        <v>58</v>
      </c>
      <c r="W360" s="50" t="n">
        <v>64</v>
      </c>
      <c r="X360" s="50" t="n">
        <v>58</v>
      </c>
      <c r="Y360" s="50" t="inlineStr">
        <is>
          <t>60-30%</t>
        </is>
      </c>
      <c r="Z360" s="50" t="inlineStr">
        <is>
          <t>Chinese  grease</t>
        </is>
      </c>
      <c r="AA360" s="56" t="inlineStr">
        <is>
          <t>NO</t>
        </is>
      </c>
      <c r="AB360" s="50" t="inlineStr">
        <is>
          <t>NO</t>
        </is>
      </c>
      <c r="AC360" s="53" t="n">
        <v>43943</v>
      </c>
      <c r="AD360" s="84" t="n">
        <v>0</v>
      </c>
    </row>
    <row r="361" ht="12.75" customHeight="1" s="123">
      <c r="A361" s="85" t="n">
        <v>359</v>
      </c>
      <c r="B361" s="87" t="inlineStr">
        <is>
          <t>B&amp;P-040-1209-TN-C3-HLBR</t>
        </is>
      </c>
      <c r="C361" s="85" t="inlineStr">
        <is>
          <t>19</t>
        </is>
      </c>
      <c r="D361" s="85" t="inlineStr">
        <is>
          <t>0</t>
        </is>
      </c>
      <c r="E361" s="85" t="inlineStr">
        <is>
          <t>-120</t>
        </is>
      </c>
      <c r="F361" s="85" t="inlineStr">
        <is>
          <t>85</t>
        </is>
      </c>
      <c r="G361" s="85" t="inlineStr">
        <is>
          <t>0</t>
        </is>
      </c>
      <c r="H361" s="85" t="inlineStr">
        <is>
          <t>-15</t>
        </is>
      </c>
      <c r="I361" s="85" t="inlineStr">
        <is>
          <t>19</t>
        </is>
      </c>
      <c r="J361" s="85" t="inlineStr">
        <is>
          <t>0</t>
        </is>
      </c>
      <c r="K361" s="85" t="inlineStr">
        <is>
          <t>-120</t>
        </is>
      </c>
      <c r="L361" s="85" t="inlineStr">
        <is>
          <t>45</t>
        </is>
      </c>
      <c r="M361" s="85" t="inlineStr">
        <is>
          <t>0</t>
        </is>
      </c>
      <c r="N361" s="85" t="inlineStr">
        <is>
          <t>-12</t>
        </is>
      </c>
      <c r="O361" s="85" t="inlineStr">
        <is>
          <t>C3</t>
        </is>
      </c>
      <c r="P361" s="85" t="inlineStr">
        <is>
          <t>44</t>
        </is>
      </c>
      <c r="Q361" s="85" t="inlineStr">
        <is>
          <t>21</t>
        </is>
      </c>
      <c r="R361" s="85" t="inlineStr">
        <is>
          <t>-</t>
        </is>
      </c>
      <c r="S361" s="85" t="inlineStr">
        <is>
          <t>-</t>
        </is>
      </c>
      <c r="T361" s="85" t="inlineStr">
        <is>
          <t>-</t>
        </is>
      </c>
      <c r="U361" s="85" t="inlineStr">
        <is>
          <t>65</t>
        </is>
      </c>
      <c r="V361" s="85" t="inlineStr">
        <is>
          <t>60</t>
        </is>
      </c>
      <c r="W361" s="85" t="inlineStr">
        <is>
          <t>65</t>
        </is>
      </c>
      <c r="X361" s="85" t="inlineStr">
        <is>
          <t>60</t>
        </is>
      </c>
      <c r="Y361" s="85" t="inlineStr">
        <is>
          <t>-</t>
        </is>
      </c>
      <c r="Z361" s="85" t="inlineStr">
        <is>
          <t>-</t>
        </is>
      </c>
      <c r="AA361" s="88" t="inlineStr">
        <is>
          <t>-</t>
        </is>
      </c>
      <c r="AB361" s="88" t="inlineStr">
        <is>
          <t>-</t>
        </is>
      </c>
      <c r="AC361" s="90" t="inlineStr">
        <is>
          <t>14/08/2024</t>
        </is>
      </c>
      <c r="AD361" s="88" t="inlineStr">
        <is>
          <t>E</t>
        </is>
      </c>
    </row>
    <row r="362" ht="12.75" customHeight="1" s="123">
      <c r="A362" s="85" t="n">
        <v>360</v>
      </c>
      <c r="B362" s="31" t="inlineStr">
        <is>
          <t>B&amp;P-040-1208-K-TN-C3-HLBR</t>
        </is>
      </c>
      <c r="C362" s="50" t="n">
        <v>18</v>
      </c>
      <c r="D362" s="50" t="n">
        <v>0</v>
      </c>
      <c r="E362" s="50" t="n">
        <v>-120</v>
      </c>
      <c r="F362" s="50" t="n">
        <v>80</v>
      </c>
      <c r="G362" s="50" t="n">
        <v>0</v>
      </c>
      <c r="H362" s="50" t="n">
        <v>-13</v>
      </c>
      <c r="I362" s="50" t="n">
        <v>18</v>
      </c>
      <c r="J362" s="50" t="n">
        <v>0</v>
      </c>
      <c r="K362" s="50" t="n">
        <v>-120</v>
      </c>
      <c r="L362" s="50" t="n">
        <v>40</v>
      </c>
      <c r="M362" s="50" t="n">
        <v>39</v>
      </c>
      <c r="N362" s="50" t="n">
        <v>0</v>
      </c>
      <c r="O362" s="50" t="inlineStr">
        <is>
          <t>C3</t>
        </is>
      </c>
      <c r="P362" s="50" t="n">
        <v>46</v>
      </c>
      <c r="Q362" s="50" t="n">
        <v>29</v>
      </c>
      <c r="R362" s="50" t="inlineStr">
        <is>
          <t>NO</t>
        </is>
      </c>
      <c r="S362" s="50" t="inlineStr">
        <is>
          <t>NO</t>
        </is>
      </c>
      <c r="T362" s="50" t="inlineStr">
        <is>
          <t>NO</t>
        </is>
      </c>
      <c r="U362" s="50" t="n">
        <v>65</v>
      </c>
      <c r="V362" s="50" t="n">
        <v>60</v>
      </c>
      <c r="W362" s="50" t="n">
        <v>65</v>
      </c>
      <c r="X362" s="50" t="n">
        <v>60</v>
      </c>
      <c r="Y362" s="50" t="inlineStr">
        <is>
          <t>NO</t>
        </is>
      </c>
      <c r="Z362" s="50" t="inlineStr">
        <is>
          <t>NO</t>
        </is>
      </c>
      <c r="AA362" s="56" t="inlineStr">
        <is>
          <t>NO</t>
        </is>
      </c>
      <c r="AB362" s="50" t="inlineStr">
        <is>
          <t>NO</t>
        </is>
      </c>
      <c r="AC362" s="53" t="n">
        <v>45359</v>
      </c>
      <c r="AD362" s="84" t="inlineStr">
        <is>
          <t>C</t>
        </is>
      </c>
    </row>
    <row r="363" ht="12.75" customHeight="1" s="123">
      <c r="A363" s="85" t="n">
        <v>361</v>
      </c>
      <c r="B363" s="31" t="inlineStr">
        <is>
          <t>B&amp;P-040-2309-TN-C3-HLBR</t>
        </is>
      </c>
      <c r="C363" s="50" t="n">
        <v>36</v>
      </c>
      <c r="D363" s="50" t="n">
        <v>0</v>
      </c>
      <c r="E363" s="50" t="n">
        <v>-120</v>
      </c>
      <c r="F363" s="50" t="n">
        <v>100</v>
      </c>
      <c r="G363" s="50" t="n">
        <v>0</v>
      </c>
      <c r="H363" s="50" t="n">
        <v>-15</v>
      </c>
      <c r="I363" s="50" t="n">
        <v>36</v>
      </c>
      <c r="J363" s="50" t="n">
        <v>0</v>
      </c>
      <c r="K363" s="50" t="n">
        <v>-120</v>
      </c>
      <c r="L363" s="50" t="n">
        <v>45</v>
      </c>
      <c r="M363" s="50" t="n">
        <v>0</v>
      </c>
      <c r="N363" s="50" t="n">
        <v>-12</v>
      </c>
      <c r="O363" s="50" t="inlineStr">
        <is>
          <t>C3</t>
        </is>
      </c>
      <c r="P363" s="50" t="n">
        <v>44</v>
      </c>
      <c r="Q363" s="50" t="n">
        <v>25</v>
      </c>
      <c r="R363" s="50" t="inlineStr">
        <is>
          <t>NO</t>
        </is>
      </c>
      <c r="S363" s="50" t="inlineStr">
        <is>
          <t>NO</t>
        </is>
      </c>
      <c r="T363" s="50" t="inlineStr">
        <is>
          <t>NO</t>
        </is>
      </c>
      <c r="U363" s="50" t="n">
        <v>65</v>
      </c>
      <c r="V363" s="50" t="n">
        <v>60</v>
      </c>
      <c r="W363" s="50" t="n">
        <v>65</v>
      </c>
      <c r="X363" s="50" t="n">
        <v>60</v>
      </c>
      <c r="Y363" s="50" t="inlineStr">
        <is>
          <t>NO</t>
        </is>
      </c>
      <c r="Z363" s="50" t="inlineStr">
        <is>
          <t>NO</t>
        </is>
      </c>
      <c r="AA363" s="56" t="inlineStr">
        <is>
          <t>NO</t>
        </is>
      </c>
      <c r="AB363" s="50" t="inlineStr">
        <is>
          <t>NO</t>
        </is>
      </c>
      <c r="AC363" s="53" t="n">
        <v>44043</v>
      </c>
      <c r="AD363" s="84" t="n">
        <v>0</v>
      </c>
    </row>
    <row r="364" ht="12.75" customHeight="1" s="123">
      <c r="A364" s="85" t="n">
        <v>362</v>
      </c>
      <c r="B364" s="31" t="inlineStr">
        <is>
          <t>B&amp;P-040-2305-TN-C3-HLBR</t>
        </is>
      </c>
      <c r="C364" s="50" t="n">
        <v>24</v>
      </c>
      <c r="D364" s="50" t="n">
        <v>0</v>
      </c>
      <c r="E364" s="50" t="n">
        <v>-120</v>
      </c>
      <c r="F364" s="50" t="n">
        <v>62</v>
      </c>
      <c r="G364" s="50" t="n">
        <v>0</v>
      </c>
      <c r="H364" s="50" t="n">
        <v>-13</v>
      </c>
      <c r="I364" s="50" t="n">
        <v>24</v>
      </c>
      <c r="J364" s="50" t="n">
        <v>0</v>
      </c>
      <c r="K364" s="50" t="n">
        <v>-120</v>
      </c>
      <c r="L364" s="50" t="n">
        <v>25</v>
      </c>
      <c r="M364" s="50" t="n">
        <v>0</v>
      </c>
      <c r="N364" s="50" t="n">
        <v>-10</v>
      </c>
      <c r="O364" s="50" t="inlineStr">
        <is>
          <t>C3</t>
        </is>
      </c>
      <c r="P364" s="50" t="n">
        <v>35</v>
      </c>
      <c r="Q364" s="50" t="n">
        <v>19</v>
      </c>
      <c r="R364" s="50" t="inlineStr">
        <is>
          <t>NO</t>
        </is>
      </c>
      <c r="S364" s="50" t="inlineStr">
        <is>
          <t>NO</t>
        </is>
      </c>
      <c r="T364" s="50" t="inlineStr">
        <is>
          <t>NO</t>
        </is>
      </c>
      <c r="U364" s="50" t="n">
        <v>65</v>
      </c>
      <c r="V364" s="50" t="n">
        <v>60</v>
      </c>
      <c r="W364" s="50" t="n">
        <v>65</v>
      </c>
      <c r="X364" s="50" t="n">
        <v>60</v>
      </c>
      <c r="Y364" s="50" t="inlineStr">
        <is>
          <t>NO</t>
        </is>
      </c>
      <c r="Z364" s="50" t="inlineStr">
        <is>
          <t>NO</t>
        </is>
      </c>
      <c r="AA364" s="56" t="inlineStr">
        <is>
          <t>NO</t>
        </is>
      </c>
      <c r="AB364" s="50" t="inlineStr">
        <is>
          <t>NO</t>
        </is>
      </c>
      <c r="AC364" s="53" t="n">
        <v>44043</v>
      </c>
      <c r="AD364" s="84" t="n">
        <v>0</v>
      </c>
    </row>
    <row r="365" ht="12.75" customHeight="1" s="123">
      <c r="A365" s="85" t="n">
        <v>363</v>
      </c>
      <c r="B365" s="31" t="inlineStr">
        <is>
          <t>B&amp;P-040-2207-TN-C3-HLBR</t>
        </is>
      </c>
      <c r="C365" s="50" t="n">
        <v>23</v>
      </c>
      <c r="D365" s="50" t="n">
        <v>0</v>
      </c>
      <c r="E365" s="50" t="n">
        <v>-120</v>
      </c>
      <c r="F365" s="50" t="n">
        <v>72</v>
      </c>
      <c r="G365" s="50" t="n">
        <v>0</v>
      </c>
      <c r="H365" s="50" t="n">
        <v>-13</v>
      </c>
      <c r="I365" s="50" t="n">
        <v>23</v>
      </c>
      <c r="J365" s="50" t="n">
        <v>0</v>
      </c>
      <c r="K365" s="50" t="n">
        <v>-120</v>
      </c>
      <c r="L365" s="50" t="n">
        <v>35</v>
      </c>
      <c r="M365" s="50" t="n">
        <v>0</v>
      </c>
      <c r="N365" s="50" t="n">
        <v>-12</v>
      </c>
      <c r="O365" s="50" t="inlineStr">
        <is>
          <t>C3</t>
        </is>
      </c>
      <c r="P365" s="50" t="n">
        <v>40</v>
      </c>
      <c r="Q365" s="50" t="n">
        <v>23</v>
      </c>
      <c r="R365" s="50" t="inlineStr">
        <is>
          <t>NO</t>
        </is>
      </c>
      <c r="S365" s="50" t="inlineStr">
        <is>
          <t>NO</t>
        </is>
      </c>
      <c r="T365" s="50" t="inlineStr">
        <is>
          <t>NO</t>
        </is>
      </c>
      <c r="U365" s="50" t="n">
        <v>65</v>
      </c>
      <c r="V365" s="50" t="n">
        <v>60</v>
      </c>
      <c r="W365" s="50" t="n">
        <v>65</v>
      </c>
      <c r="X365" s="50" t="n">
        <v>60</v>
      </c>
      <c r="Y365" s="50" t="inlineStr">
        <is>
          <t>NO</t>
        </is>
      </c>
      <c r="Z365" s="50" t="inlineStr">
        <is>
          <t>NO</t>
        </is>
      </c>
      <c r="AA365" s="56" t="inlineStr">
        <is>
          <t>NO</t>
        </is>
      </c>
      <c r="AB365" s="50" t="inlineStr">
        <is>
          <t>NO</t>
        </is>
      </c>
      <c r="AC365" s="53" t="n">
        <v>45588</v>
      </c>
      <c r="AD365" s="84" t="inlineStr">
        <is>
          <t>B</t>
        </is>
      </c>
    </row>
    <row r="366" ht="12.75" customHeight="1" s="123">
      <c r="A366" s="85" t="n">
        <v>364</v>
      </c>
      <c r="B366" s="31" t="inlineStr">
        <is>
          <t>B&amp;P-040-1306-TN-C3-HLBR</t>
        </is>
      </c>
      <c r="C366" s="50" t="n">
        <v>19</v>
      </c>
      <c r="D366" s="50" t="n">
        <v>0</v>
      </c>
      <c r="E366" s="50" t="n">
        <v>-120</v>
      </c>
      <c r="F366" s="50" t="n">
        <v>72</v>
      </c>
      <c r="G366" s="50" t="n">
        <v>0</v>
      </c>
      <c r="H366" s="50" t="n">
        <v>-13</v>
      </c>
      <c r="I366" s="50" t="n">
        <v>19</v>
      </c>
      <c r="J366" s="50" t="n">
        <v>0</v>
      </c>
      <c r="K366" s="50" t="n">
        <v>-120</v>
      </c>
      <c r="L366" s="50" t="n">
        <v>30</v>
      </c>
      <c r="M366" s="50" t="n">
        <v>0</v>
      </c>
      <c r="N366" s="50" t="n">
        <v>-10</v>
      </c>
      <c r="O366" s="50" t="inlineStr">
        <is>
          <t>C3</t>
        </is>
      </c>
      <c r="P366" s="50" t="n">
        <v>35</v>
      </c>
      <c r="Q366" s="50" t="n">
        <v>19</v>
      </c>
      <c r="R366" s="50" t="inlineStr">
        <is>
          <t>NO</t>
        </is>
      </c>
      <c r="S366" s="50" t="inlineStr">
        <is>
          <t>NO</t>
        </is>
      </c>
      <c r="T366" s="50" t="inlineStr">
        <is>
          <t>NO</t>
        </is>
      </c>
      <c r="U366" s="50" t="n">
        <v>65</v>
      </c>
      <c r="V366" s="50" t="n">
        <v>60</v>
      </c>
      <c r="W366" s="50" t="n">
        <v>65</v>
      </c>
      <c r="X366" s="50" t="n">
        <v>60</v>
      </c>
      <c r="Y366" s="50" t="inlineStr">
        <is>
          <t>NO</t>
        </is>
      </c>
      <c r="Z366" s="50" t="inlineStr">
        <is>
          <t>NO</t>
        </is>
      </c>
      <c r="AA366" s="56" t="inlineStr">
        <is>
          <t>NO</t>
        </is>
      </c>
      <c r="AB366" s="50" t="inlineStr">
        <is>
          <t>NO</t>
        </is>
      </c>
      <c r="AC366" s="53" t="n">
        <v>45348</v>
      </c>
      <c r="AD366" s="84" t="inlineStr">
        <is>
          <t>A</t>
        </is>
      </c>
    </row>
    <row r="367" ht="12.75" customHeight="1" s="123">
      <c r="A367" s="85" t="n">
        <v>365</v>
      </c>
      <c r="B367" s="31" t="inlineStr">
        <is>
          <t>B&amp;P-040-1306-K-TN-C3-HLBR</t>
        </is>
      </c>
      <c r="C367" s="50" t="n">
        <v>19</v>
      </c>
      <c r="D367" s="50" t="n">
        <v>0</v>
      </c>
      <c r="E367" s="50" t="n">
        <v>-120</v>
      </c>
      <c r="F367" s="50" t="n">
        <v>72</v>
      </c>
      <c r="G367" s="50" t="n">
        <v>0</v>
      </c>
      <c r="H367" s="50" t="n">
        <v>-13</v>
      </c>
      <c r="I367" s="50" t="n">
        <v>19</v>
      </c>
      <c r="J367" s="50" t="n">
        <v>0</v>
      </c>
      <c r="K367" s="50" t="n">
        <v>-120</v>
      </c>
      <c r="L367" s="50" t="n">
        <v>30</v>
      </c>
      <c r="M367" s="50" t="n">
        <v>21</v>
      </c>
      <c r="N367" s="50" t="n">
        <v>0</v>
      </c>
      <c r="O367" s="50" t="inlineStr">
        <is>
          <t>C3</t>
        </is>
      </c>
      <c r="P367" s="50" t="n">
        <v>39</v>
      </c>
      <c r="Q367" s="50" t="n">
        <v>23</v>
      </c>
      <c r="R367" s="50" t="inlineStr">
        <is>
          <t>NO</t>
        </is>
      </c>
      <c r="S367" s="50" t="inlineStr">
        <is>
          <t>NO</t>
        </is>
      </c>
      <c r="T367" s="50" t="inlineStr">
        <is>
          <t>NO</t>
        </is>
      </c>
      <c r="U367" s="50" t="n">
        <v>65</v>
      </c>
      <c r="V367" s="50" t="n">
        <v>60</v>
      </c>
      <c r="W367" s="50" t="n">
        <v>65</v>
      </c>
      <c r="X367" s="50" t="n">
        <v>60</v>
      </c>
      <c r="Y367" s="50" t="inlineStr">
        <is>
          <t>NO</t>
        </is>
      </c>
      <c r="Z367" s="50" t="inlineStr">
        <is>
          <t>NO</t>
        </is>
      </c>
      <c r="AA367" s="56" t="inlineStr">
        <is>
          <t>NO</t>
        </is>
      </c>
      <c r="AB367" s="50" t="inlineStr">
        <is>
          <t>NO</t>
        </is>
      </c>
      <c r="AC367" s="53" t="n">
        <v>44043</v>
      </c>
      <c r="AD367" s="84" t="n">
        <v>0</v>
      </c>
    </row>
    <row r="368" ht="12.75" customHeight="1" s="123">
      <c r="A368" s="85" t="n">
        <v>366</v>
      </c>
      <c r="B368" s="31" t="inlineStr">
        <is>
          <t>B&amp;P-040-1305-TN-C3-HLBR</t>
        </is>
      </c>
      <c r="C368" s="50" t="n">
        <v>17</v>
      </c>
      <c r="D368" s="50" t="n">
        <v>0</v>
      </c>
      <c r="E368" s="50" t="n">
        <v>-120</v>
      </c>
      <c r="F368" s="50" t="n">
        <v>62</v>
      </c>
      <c r="G368" s="50" t="n">
        <v>0</v>
      </c>
      <c r="H368" s="50" t="n">
        <v>-13</v>
      </c>
      <c r="I368" s="50" t="n">
        <v>17</v>
      </c>
      <c r="J368" s="50" t="n">
        <v>0</v>
      </c>
      <c r="K368" s="50" t="n">
        <v>-120</v>
      </c>
      <c r="L368" s="50" t="n">
        <v>25</v>
      </c>
      <c r="M368" s="50" t="n">
        <v>0</v>
      </c>
      <c r="N368" s="50" t="n">
        <v>-10</v>
      </c>
      <c r="O368" s="50" t="inlineStr">
        <is>
          <t>C3</t>
        </is>
      </c>
      <c r="P368" s="50" t="n">
        <v>35</v>
      </c>
      <c r="Q368" s="50" t="n">
        <v>19</v>
      </c>
      <c r="R368" s="50" t="inlineStr">
        <is>
          <t>NO</t>
        </is>
      </c>
      <c r="S368" s="50" t="inlineStr">
        <is>
          <t>NO</t>
        </is>
      </c>
      <c r="T368" s="50" t="inlineStr">
        <is>
          <t>NO</t>
        </is>
      </c>
      <c r="U368" s="50" t="n">
        <v>65</v>
      </c>
      <c r="V368" s="50" t="n">
        <v>60</v>
      </c>
      <c r="W368" s="50" t="n">
        <v>65</v>
      </c>
      <c r="X368" s="50" t="n">
        <v>60</v>
      </c>
      <c r="Y368" s="50" t="inlineStr">
        <is>
          <t>NO</t>
        </is>
      </c>
      <c r="Z368" s="50" t="inlineStr">
        <is>
          <t>NO</t>
        </is>
      </c>
      <c r="AA368" s="56" t="inlineStr">
        <is>
          <t>NO</t>
        </is>
      </c>
      <c r="AB368" s="50" t="inlineStr">
        <is>
          <t>NO</t>
        </is>
      </c>
      <c r="AC368" s="53" t="n">
        <v>45348</v>
      </c>
      <c r="AD368" s="84" t="inlineStr">
        <is>
          <t>C</t>
        </is>
      </c>
    </row>
    <row r="369" ht="12.75" customHeight="1" s="123">
      <c r="A369" s="85" t="n">
        <v>367</v>
      </c>
      <c r="B369" s="31" t="inlineStr">
        <is>
          <t>B&amp;P-040-1210-K-TN-C3-HLBR</t>
        </is>
      </c>
      <c r="C369" s="50" t="n">
        <v>20</v>
      </c>
      <c r="D369" s="50" t="n">
        <v>0</v>
      </c>
      <c r="E369" s="50" t="n">
        <v>-120</v>
      </c>
      <c r="F369" s="50" t="n">
        <v>90</v>
      </c>
      <c r="G369" s="50" t="n">
        <v>0</v>
      </c>
      <c r="H369" s="50" t="n">
        <v>-15</v>
      </c>
      <c r="I369" s="50" t="n">
        <v>20</v>
      </c>
      <c r="J369" s="50" t="n">
        <v>0</v>
      </c>
      <c r="K369" s="50" t="n">
        <v>-120</v>
      </c>
      <c r="L369" s="50" t="n">
        <v>50</v>
      </c>
      <c r="M369" s="50" t="n">
        <v>39</v>
      </c>
      <c r="N369" s="50" t="n">
        <v>0</v>
      </c>
      <c r="O369" s="50" t="inlineStr">
        <is>
          <t>C3</t>
        </is>
      </c>
      <c r="P369" s="50" t="n">
        <v>44</v>
      </c>
      <c r="Q369" s="50" t="n">
        <v>25</v>
      </c>
      <c r="R369" s="50" t="inlineStr">
        <is>
          <t>NO</t>
        </is>
      </c>
      <c r="S369" s="50" t="inlineStr">
        <is>
          <t>NO</t>
        </is>
      </c>
      <c r="T369" s="50" t="inlineStr">
        <is>
          <t>NO</t>
        </is>
      </c>
      <c r="U369" s="50" t="n">
        <v>65</v>
      </c>
      <c r="V369" s="50" t="n">
        <v>60</v>
      </c>
      <c r="W369" s="50" t="n">
        <v>65</v>
      </c>
      <c r="X369" s="50" t="n">
        <v>60</v>
      </c>
      <c r="Y369" s="50" t="inlineStr">
        <is>
          <t>NO</t>
        </is>
      </c>
      <c r="Z369" s="50" t="inlineStr">
        <is>
          <t>NO</t>
        </is>
      </c>
      <c r="AA369" s="56" t="inlineStr">
        <is>
          <t>NO</t>
        </is>
      </c>
      <c r="AB369" s="50" t="inlineStr">
        <is>
          <t>NO</t>
        </is>
      </c>
      <c r="AC369" s="53" t="n">
        <v>45579</v>
      </c>
      <c r="AD369" s="84" t="inlineStr">
        <is>
          <t>B</t>
        </is>
      </c>
    </row>
    <row r="370" ht="12.75" customHeight="1" s="123">
      <c r="A370" s="85" t="n">
        <v>368</v>
      </c>
      <c r="B370" s="31" t="inlineStr">
        <is>
          <t>B&amp;P-040-1209-K-TN-C3-HLBR</t>
        </is>
      </c>
      <c r="C370" s="50" t="n">
        <v>19</v>
      </c>
      <c r="D370" s="50" t="n">
        <v>0</v>
      </c>
      <c r="E370" s="50" t="n">
        <v>-120</v>
      </c>
      <c r="F370" s="50" t="n">
        <v>85</v>
      </c>
      <c r="G370" s="50" t="n">
        <v>0</v>
      </c>
      <c r="H370" s="50" t="n">
        <v>-15</v>
      </c>
      <c r="I370" s="50" t="n">
        <v>19</v>
      </c>
      <c r="J370" s="50" t="n">
        <v>0</v>
      </c>
      <c r="K370" s="50" t="n">
        <v>-120</v>
      </c>
      <c r="L370" s="50" t="n">
        <v>45</v>
      </c>
      <c r="M370" s="50" t="n">
        <v>25</v>
      </c>
      <c r="N370" s="50" t="n">
        <v>0</v>
      </c>
      <c r="O370" s="50" t="inlineStr">
        <is>
          <t>C3</t>
        </is>
      </c>
      <c r="P370" s="50" t="n">
        <v>40</v>
      </c>
      <c r="Q370" s="50" t="n">
        <v>25</v>
      </c>
      <c r="R370" s="50" t="inlineStr">
        <is>
          <t>NO</t>
        </is>
      </c>
      <c r="S370" s="50" t="inlineStr">
        <is>
          <t>NO</t>
        </is>
      </c>
      <c r="T370" s="50" t="inlineStr">
        <is>
          <t>NO</t>
        </is>
      </c>
      <c r="U370" s="50" t="n">
        <v>65</v>
      </c>
      <c r="V370" s="50" t="n">
        <v>60</v>
      </c>
      <c r="W370" s="50" t="n">
        <v>65</v>
      </c>
      <c r="X370" s="50" t="n">
        <v>60</v>
      </c>
      <c r="Y370" s="50" t="inlineStr">
        <is>
          <t>NO</t>
        </is>
      </c>
      <c r="Z370" s="50" t="inlineStr">
        <is>
          <t>NO</t>
        </is>
      </c>
      <c r="AA370" s="56" t="inlineStr">
        <is>
          <t>NO</t>
        </is>
      </c>
      <c r="AB370" s="50" t="inlineStr">
        <is>
          <t>NO</t>
        </is>
      </c>
      <c r="AC370" s="53" t="n">
        <v>45093</v>
      </c>
      <c r="AD370" s="84" t="inlineStr">
        <is>
          <t>B</t>
        </is>
      </c>
    </row>
    <row r="371" ht="12.75" customHeight="1" s="123">
      <c r="A371" s="85" t="n">
        <v>369</v>
      </c>
      <c r="B371" s="31" t="inlineStr">
        <is>
          <t>B&amp;P-040-1207-TN-C3-HLBR</t>
        </is>
      </c>
      <c r="C371" s="50" t="n">
        <v>17</v>
      </c>
      <c r="D371" s="50" t="n">
        <v>0</v>
      </c>
      <c r="E371" s="50" t="n">
        <v>-120</v>
      </c>
      <c r="F371" s="50" t="n">
        <v>72</v>
      </c>
      <c r="G371" s="50" t="n">
        <v>0</v>
      </c>
      <c r="H371" s="50" t="n">
        <v>-13</v>
      </c>
      <c r="I371" s="50" t="n">
        <v>17</v>
      </c>
      <c r="J371" s="50" t="n">
        <v>0</v>
      </c>
      <c r="K371" s="50" t="n">
        <v>-120</v>
      </c>
      <c r="L371" s="50" t="n">
        <v>35</v>
      </c>
      <c r="M371" s="50" t="n">
        <v>0</v>
      </c>
      <c r="N371" s="50" t="n">
        <v>-12</v>
      </c>
      <c r="O371" s="50" t="inlineStr">
        <is>
          <t>C3</t>
        </is>
      </c>
      <c r="P371" s="50" t="n">
        <v>40</v>
      </c>
      <c r="Q371" s="50" t="n">
        <v>23</v>
      </c>
      <c r="R371" s="50" t="inlineStr">
        <is>
          <t>NO</t>
        </is>
      </c>
      <c r="S371" s="50" t="inlineStr">
        <is>
          <t>NO</t>
        </is>
      </c>
      <c r="T371" s="50" t="inlineStr">
        <is>
          <t>NO</t>
        </is>
      </c>
      <c r="U371" s="50" t="n">
        <v>65</v>
      </c>
      <c r="V371" s="50" t="n">
        <v>60</v>
      </c>
      <c r="W371" s="50" t="n">
        <v>65</v>
      </c>
      <c r="X371" s="50" t="n">
        <v>60</v>
      </c>
      <c r="Y371" s="50" t="inlineStr">
        <is>
          <t>NO</t>
        </is>
      </c>
      <c r="Z371" s="50" t="inlineStr">
        <is>
          <t>NO</t>
        </is>
      </c>
      <c r="AA371" s="56" t="inlineStr">
        <is>
          <t>NO</t>
        </is>
      </c>
      <c r="AB371" s="50" t="inlineStr">
        <is>
          <t>NO</t>
        </is>
      </c>
      <c r="AC371" s="53" t="n">
        <v>45348</v>
      </c>
      <c r="AD371" s="84" t="inlineStr">
        <is>
          <t>C</t>
        </is>
      </c>
    </row>
    <row r="372" ht="12.75" customHeight="1" s="123">
      <c r="A372" s="85" t="n">
        <v>370</v>
      </c>
      <c r="B372" s="27" t="inlineStr">
        <is>
          <t>BPB-040-5210-2RS-C3-HLBR</t>
        </is>
      </c>
      <c r="C372" s="38" t="n">
        <v>30.163</v>
      </c>
      <c r="D372" s="38" t="n">
        <v>0</v>
      </c>
      <c r="E372" s="38" t="n">
        <v>-120</v>
      </c>
      <c r="F372" s="38" t="n">
        <v>90</v>
      </c>
      <c r="G372" s="38" t="n">
        <v>0</v>
      </c>
      <c r="H372" s="38" t="n">
        <v>-15</v>
      </c>
      <c r="I372" s="38" t="n">
        <v>30.163</v>
      </c>
      <c r="J372" s="38" t="n">
        <v>0</v>
      </c>
      <c r="K372" s="38" t="n">
        <v>-120</v>
      </c>
      <c r="L372" s="38" t="n">
        <v>50</v>
      </c>
      <c r="M372" s="38" t="n">
        <v>0</v>
      </c>
      <c r="N372" s="38" t="n">
        <v>-12</v>
      </c>
      <c r="O372" s="50" t="inlineStr">
        <is>
          <t>NO</t>
        </is>
      </c>
      <c r="P372" s="50" t="inlineStr">
        <is>
          <t>NO</t>
        </is>
      </c>
      <c r="Q372" s="50" t="inlineStr">
        <is>
          <t>NO</t>
        </is>
      </c>
      <c r="R372" s="38" t="inlineStr">
        <is>
          <t>Axial (C3)</t>
        </is>
      </c>
      <c r="S372" s="38" t="n">
        <v>23</v>
      </c>
      <c r="T372" s="38" t="n">
        <v>44</v>
      </c>
      <c r="U372" s="38" t="n">
        <v>58</v>
      </c>
      <c r="V372" s="38" t="n">
        <v>64</v>
      </c>
      <c r="W372" s="38" t="n">
        <v>58</v>
      </c>
      <c r="X372" s="38" t="n">
        <v>64</v>
      </c>
      <c r="Y372" s="36" t="inlineStr">
        <is>
          <t>25%- 35%</t>
        </is>
      </c>
      <c r="Z372" s="38" t="inlineStr">
        <is>
          <t>Polyrex</t>
        </is>
      </c>
      <c r="AA372" s="45" t="inlineStr">
        <is>
          <t>12cNm / 1,2Nm</t>
        </is>
      </c>
      <c r="AB372" s="45" t="inlineStr">
        <is>
          <t>7,2cNm / 0,72Nm</t>
        </is>
      </c>
      <c r="AC372" s="44" t="n">
        <v>43068</v>
      </c>
      <c r="AD372" s="57" t="inlineStr">
        <is>
          <t>A</t>
        </is>
      </c>
    </row>
    <row r="373" ht="12.75" customHeight="1" s="123">
      <c r="A373" s="85" t="n">
        <v>371</v>
      </c>
      <c r="B373" s="31" t="inlineStr">
        <is>
          <t>BPB-041-MS07-2RS-ZJFD</t>
        </is>
      </c>
      <c r="C373" s="50" t="n">
        <v>17</v>
      </c>
      <c r="D373" s="50" t="n">
        <v>0</v>
      </c>
      <c r="E373" s="50" t="n">
        <v>-120</v>
      </c>
      <c r="F373" s="50" t="n">
        <v>72</v>
      </c>
      <c r="G373" s="50" t="n">
        <v>0</v>
      </c>
      <c r="H373" s="50" t="n">
        <v>-13</v>
      </c>
      <c r="I373" s="50" t="n">
        <v>17</v>
      </c>
      <c r="J373" s="50" t="n">
        <v>0</v>
      </c>
      <c r="K373" s="50" t="n">
        <v>-120</v>
      </c>
      <c r="L373" s="50" t="n">
        <v>35</v>
      </c>
      <c r="M373" s="50" t="n">
        <v>0</v>
      </c>
      <c r="N373" s="50" t="n">
        <v>-12</v>
      </c>
      <c r="O373" s="50" t="inlineStr">
        <is>
          <t>C3</t>
        </is>
      </c>
      <c r="P373" s="50" t="n">
        <v>33</v>
      </c>
      <c r="Q373" s="50" t="n">
        <v>15</v>
      </c>
      <c r="R373" s="50" t="inlineStr">
        <is>
          <t>NO</t>
        </is>
      </c>
      <c r="S373" s="50" t="inlineStr">
        <is>
          <t>NO</t>
        </is>
      </c>
      <c r="T373" s="50" t="inlineStr">
        <is>
          <t>NO</t>
        </is>
      </c>
      <c r="U373" s="50" t="n">
        <v>64</v>
      </c>
      <c r="V373" s="50" t="n">
        <v>58</v>
      </c>
      <c r="W373" s="50" t="n">
        <v>64</v>
      </c>
      <c r="X373" s="50" t="n">
        <v>58</v>
      </c>
      <c r="Y373" s="50" t="inlineStr">
        <is>
          <t>8.03-9.17gr</t>
        </is>
      </c>
      <c r="Z373" s="50" t="inlineStr">
        <is>
          <t>standard</t>
        </is>
      </c>
      <c r="AA373" s="56" t="inlineStr">
        <is>
          <t>0.12Nm</t>
        </is>
      </c>
      <c r="AB373" s="50" t="inlineStr">
        <is>
          <t>0.05Nm</t>
        </is>
      </c>
      <c r="AC373" s="53" t="n">
        <v>44463</v>
      </c>
      <c r="AD373" s="84" t="inlineStr">
        <is>
          <t>B</t>
        </is>
      </c>
    </row>
    <row r="374" ht="12.75" customHeight="1" s="123">
      <c r="A374" s="85" t="n">
        <v>372</v>
      </c>
      <c r="B374" s="31" t="inlineStr">
        <is>
          <t>B&amp;P-001-MS03-D-YS</t>
        </is>
      </c>
      <c r="C374" s="50" t="n">
        <v>12</v>
      </c>
      <c r="D374" s="50" t="n">
        <v>0</v>
      </c>
      <c r="E374" s="50" t="n">
        <v>-120</v>
      </c>
      <c r="F374" s="50" t="n">
        <v>40</v>
      </c>
      <c r="G374" s="50" t="n">
        <v>0</v>
      </c>
      <c r="H374" s="50" t="n">
        <v>-11</v>
      </c>
      <c r="I374" s="50" t="inlineStr">
        <is>
          <t>NO</t>
        </is>
      </c>
      <c r="J374" s="50" t="inlineStr">
        <is>
          <t>NO</t>
        </is>
      </c>
      <c r="K374" s="50" t="inlineStr">
        <is>
          <t>NO</t>
        </is>
      </c>
      <c r="L374" s="50" t="inlineStr">
        <is>
          <t>NO</t>
        </is>
      </c>
      <c r="M374" s="50" t="inlineStr">
        <is>
          <t>NO</t>
        </is>
      </c>
      <c r="N374" s="50" t="inlineStr">
        <is>
          <t>NO</t>
        </is>
      </c>
      <c r="O374" s="50" t="inlineStr">
        <is>
          <t>NO</t>
        </is>
      </c>
      <c r="P374" s="50" t="inlineStr">
        <is>
          <t>NO</t>
        </is>
      </c>
      <c r="Q374" s="50" t="inlineStr">
        <is>
          <t>NO</t>
        </is>
      </c>
      <c r="R374" s="50" t="inlineStr">
        <is>
          <t>NO</t>
        </is>
      </c>
      <c r="S374" s="50" t="inlineStr">
        <is>
          <t>NO</t>
        </is>
      </c>
      <c r="T374" s="50" t="inlineStr">
        <is>
          <t>NO</t>
        </is>
      </c>
      <c r="U374" s="50" t="inlineStr">
        <is>
          <t>NO</t>
        </is>
      </c>
      <c r="V374" s="50" t="inlineStr">
        <is>
          <t>NO</t>
        </is>
      </c>
      <c r="W374" s="50" t="n">
        <v>64</v>
      </c>
      <c r="X374" s="50" t="n">
        <v>58</v>
      </c>
      <c r="Y374" s="50" t="inlineStr">
        <is>
          <t>NO</t>
        </is>
      </c>
      <c r="Z374" s="50" t="inlineStr">
        <is>
          <t>NO</t>
        </is>
      </c>
      <c r="AA374" s="56" t="inlineStr">
        <is>
          <t>NO</t>
        </is>
      </c>
      <c r="AB374" s="50" t="inlineStr">
        <is>
          <t>NO</t>
        </is>
      </c>
      <c r="AC374" s="53" t="n">
        <v>44049</v>
      </c>
      <c r="AD374" s="84" t="n">
        <v>0</v>
      </c>
    </row>
    <row r="375" ht="12.75" customHeight="1" s="123">
      <c r="A375" s="85" t="n">
        <v>373</v>
      </c>
      <c r="B375" s="31" t="inlineStr">
        <is>
          <t>B&amp;P-002-MS03-D-YS</t>
        </is>
      </c>
      <c r="C375" s="50" t="inlineStr">
        <is>
          <t>NO</t>
        </is>
      </c>
      <c r="D375" s="50" t="inlineStr">
        <is>
          <t>NO</t>
        </is>
      </c>
      <c r="E375" s="50" t="inlineStr">
        <is>
          <t>NO</t>
        </is>
      </c>
      <c r="F375" s="50" t="inlineStr">
        <is>
          <t>NO</t>
        </is>
      </c>
      <c r="G375" s="50" t="inlineStr">
        <is>
          <t>NO</t>
        </is>
      </c>
      <c r="H375" s="50" t="inlineStr">
        <is>
          <t>NO</t>
        </is>
      </c>
      <c r="I375" s="50" t="n">
        <v>12</v>
      </c>
      <c r="J375" s="50" t="n">
        <v>0</v>
      </c>
      <c r="K375" s="50" t="n">
        <v>-120</v>
      </c>
      <c r="L375" s="50" t="n">
        <v>17</v>
      </c>
      <c r="M375" s="50" t="n">
        <v>0</v>
      </c>
      <c r="N375" s="50" t="n">
        <v>-8</v>
      </c>
      <c r="O375" s="50" t="inlineStr">
        <is>
          <t>NO</t>
        </is>
      </c>
      <c r="P375" s="50" t="inlineStr">
        <is>
          <t>NO</t>
        </is>
      </c>
      <c r="Q375" s="50" t="inlineStr">
        <is>
          <t>NO</t>
        </is>
      </c>
      <c r="R375" s="50" t="inlineStr">
        <is>
          <t>NO</t>
        </is>
      </c>
      <c r="S375" s="50" t="inlineStr">
        <is>
          <t>NO</t>
        </is>
      </c>
      <c r="T375" s="50" t="inlineStr">
        <is>
          <t>NO</t>
        </is>
      </c>
      <c r="U375" s="50" t="n">
        <v>64</v>
      </c>
      <c r="V375" s="50" t="n">
        <v>58</v>
      </c>
      <c r="W375" s="50" t="inlineStr">
        <is>
          <t>NO</t>
        </is>
      </c>
      <c r="X375" s="50" t="inlineStr">
        <is>
          <t>NO</t>
        </is>
      </c>
      <c r="Y375" s="50" t="inlineStr">
        <is>
          <t>NO</t>
        </is>
      </c>
      <c r="Z375" s="50" t="inlineStr">
        <is>
          <t>NO</t>
        </is>
      </c>
      <c r="AA375" s="56" t="inlineStr">
        <is>
          <t>NO</t>
        </is>
      </c>
      <c r="AB375" s="50" t="inlineStr">
        <is>
          <t>NO</t>
        </is>
      </c>
      <c r="AC375" s="53" t="n">
        <v>44049</v>
      </c>
      <c r="AD375" s="84" t="n">
        <v>0</v>
      </c>
    </row>
    <row r="376" ht="12.75" customHeight="1" s="123">
      <c r="A376" s="85" t="n">
        <v>374</v>
      </c>
      <c r="B376" s="31" t="inlineStr">
        <is>
          <t>B&amp;P-001-LS06-D-YS</t>
        </is>
      </c>
      <c r="C376" s="50" t="n">
        <v>13</v>
      </c>
      <c r="D376" s="50" t="n">
        <v>0</v>
      </c>
      <c r="E376" s="50" t="n">
        <v>-120</v>
      </c>
      <c r="F376" s="50" t="n">
        <v>55</v>
      </c>
      <c r="G376" s="50" t="n">
        <v>0</v>
      </c>
      <c r="H376" s="50" t="n">
        <v>-13</v>
      </c>
      <c r="I376" s="50" t="inlineStr">
        <is>
          <t>NO</t>
        </is>
      </c>
      <c r="J376" s="50" t="inlineStr">
        <is>
          <t>NO</t>
        </is>
      </c>
      <c r="K376" s="50" t="inlineStr">
        <is>
          <t>NO</t>
        </is>
      </c>
      <c r="L376" s="50" t="inlineStr">
        <is>
          <t>NO</t>
        </is>
      </c>
      <c r="M376" s="50" t="inlineStr">
        <is>
          <t>NO</t>
        </is>
      </c>
      <c r="N376" s="50" t="inlineStr">
        <is>
          <t>NO</t>
        </is>
      </c>
      <c r="O376" s="50" t="inlineStr">
        <is>
          <t>NO</t>
        </is>
      </c>
      <c r="P376" s="50" t="inlineStr">
        <is>
          <t>NO</t>
        </is>
      </c>
      <c r="Q376" s="50" t="inlineStr">
        <is>
          <t>NO</t>
        </is>
      </c>
      <c r="R376" s="50" t="inlineStr">
        <is>
          <t>NO</t>
        </is>
      </c>
      <c r="S376" s="50" t="inlineStr">
        <is>
          <t>NO</t>
        </is>
      </c>
      <c r="T376" s="50" t="inlineStr">
        <is>
          <t>NO</t>
        </is>
      </c>
      <c r="U376" s="50" t="inlineStr">
        <is>
          <t>NO</t>
        </is>
      </c>
      <c r="V376" s="50" t="inlineStr">
        <is>
          <t>NO</t>
        </is>
      </c>
      <c r="W376" s="50" t="n">
        <v>64</v>
      </c>
      <c r="X376" s="50" t="n">
        <v>58</v>
      </c>
      <c r="Y376" s="50" t="inlineStr">
        <is>
          <t>NO</t>
        </is>
      </c>
      <c r="Z376" s="50" t="inlineStr">
        <is>
          <t>NO</t>
        </is>
      </c>
      <c r="AA376" s="56" t="inlineStr">
        <is>
          <t>NO</t>
        </is>
      </c>
      <c r="AB376" s="50" t="inlineStr">
        <is>
          <t>NO</t>
        </is>
      </c>
      <c r="AC376" s="53" t="n">
        <v>43605</v>
      </c>
      <c r="AD376" s="84" t="inlineStr">
        <is>
          <t>E</t>
        </is>
      </c>
    </row>
    <row r="377" ht="12.75" customHeight="1" s="123">
      <c r="A377" s="85" t="n">
        <v>375</v>
      </c>
      <c r="B377" s="31" t="inlineStr">
        <is>
          <t>B&amp;P-002-LS06-D-YS</t>
        </is>
      </c>
      <c r="C377" s="50" t="inlineStr">
        <is>
          <t>NO</t>
        </is>
      </c>
      <c r="D377" s="50" t="inlineStr">
        <is>
          <t>NO</t>
        </is>
      </c>
      <c r="E377" s="50" t="inlineStr">
        <is>
          <t>NO</t>
        </is>
      </c>
      <c r="F377" s="50" t="inlineStr">
        <is>
          <t>NO</t>
        </is>
      </c>
      <c r="G377" s="50" t="inlineStr">
        <is>
          <t>NO</t>
        </is>
      </c>
      <c r="H377" s="50" t="inlineStr">
        <is>
          <t>NO</t>
        </is>
      </c>
      <c r="I377" s="50" t="n">
        <v>13</v>
      </c>
      <c r="J377" s="50" t="n">
        <v>0</v>
      </c>
      <c r="K377" s="50" t="n">
        <v>-120</v>
      </c>
      <c r="L377" s="50" t="n">
        <v>30</v>
      </c>
      <c r="M377" s="50" t="n">
        <v>0</v>
      </c>
      <c r="N377" s="50" t="n">
        <v>-10</v>
      </c>
      <c r="O377" s="50" t="inlineStr">
        <is>
          <t>NO</t>
        </is>
      </c>
      <c r="P377" s="50" t="inlineStr">
        <is>
          <t>NO</t>
        </is>
      </c>
      <c r="Q377" s="50" t="inlineStr">
        <is>
          <t>NO</t>
        </is>
      </c>
      <c r="R377" s="50" t="inlineStr">
        <is>
          <t>NO</t>
        </is>
      </c>
      <c r="S377" s="50" t="inlineStr">
        <is>
          <t>NO</t>
        </is>
      </c>
      <c r="T377" s="50" t="inlineStr">
        <is>
          <t>NO</t>
        </is>
      </c>
      <c r="U377" s="50" t="n">
        <v>64</v>
      </c>
      <c r="V377" s="50" t="n">
        <v>58</v>
      </c>
      <c r="W377" s="50" t="inlineStr">
        <is>
          <t>NO</t>
        </is>
      </c>
      <c r="X377" s="50" t="inlineStr">
        <is>
          <t>NO</t>
        </is>
      </c>
      <c r="Y377" s="50" t="inlineStr">
        <is>
          <t>NO</t>
        </is>
      </c>
      <c r="Z377" s="50" t="inlineStr">
        <is>
          <t>NO</t>
        </is>
      </c>
      <c r="AA377" s="56" t="inlineStr">
        <is>
          <t>NO</t>
        </is>
      </c>
      <c r="AB377" s="50" t="inlineStr">
        <is>
          <t>NO</t>
        </is>
      </c>
      <c r="AC377" s="53" t="n">
        <v>43605</v>
      </c>
      <c r="AD377" s="84" t="inlineStr">
        <is>
          <t>E</t>
        </is>
      </c>
    </row>
    <row r="378" ht="12.75" customHeight="1" s="123">
      <c r="A378" s="85" t="n">
        <v>376</v>
      </c>
      <c r="B378" s="31" t="inlineStr">
        <is>
          <t>B&amp;P-041-MS03-2RST-YS</t>
        </is>
      </c>
      <c r="C378" s="50" t="n">
        <v>12</v>
      </c>
      <c r="D378" s="50" t="n">
        <v>0</v>
      </c>
      <c r="E378" s="50" t="n">
        <v>-120</v>
      </c>
      <c r="F378" s="50" t="n">
        <v>40</v>
      </c>
      <c r="G378" s="50" t="n">
        <v>0</v>
      </c>
      <c r="H378" s="50" t="n">
        <v>-11</v>
      </c>
      <c r="I378" s="50" t="n">
        <v>12</v>
      </c>
      <c r="J378" s="50" t="n">
        <v>0</v>
      </c>
      <c r="K378" s="50" t="n">
        <v>-120</v>
      </c>
      <c r="L378" s="50" t="n">
        <v>17</v>
      </c>
      <c r="M378" s="50" t="n">
        <v>0</v>
      </c>
      <c r="N378" s="50" t="n">
        <v>-9</v>
      </c>
      <c r="O378" s="50" t="inlineStr">
        <is>
          <t>CE</t>
        </is>
      </c>
      <c r="P378" s="50" t="n">
        <v>25</v>
      </c>
      <c r="Q378" s="50" t="n">
        <v>11</v>
      </c>
      <c r="R378" s="50" t="inlineStr">
        <is>
          <t>NO</t>
        </is>
      </c>
      <c r="S378" s="50" t="inlineStr">
        <is>
          <t>NO</t>
        </is>
      </c>
      <c r="T378" s="50" t="inlineStr">
        <is>
          <t>NO</t>
        </is>
      </c>
      <c r="U378" s="50" t="n">
        <v>64</v>
      </c>
      <c r="V378" s="50" t="n">
        <v>58</v>
      </c>
      <c r="W378" s="50" t="n">
        <v>64</v>
      </c>
      <c r="X378" s="50" t="n">
        <v>58</v>
      </c>
      <c r="Y378" s="50" t="inlineStr">
        <is>
          <t>1.92 - 2.2 gr</t>
        </is>
      </c>
      <c r="Z378" s="50" t="inlineStr">
        <is>
          <t>Polyrex</t>
        </is>
      </c>
      <c r="AA378" s="56" t="inlineStr">
        <is>
          <t>0.0268Nm</t>
        </is>
      </c>
      <c r="AB378" s="50" t="inlineStr">
        <is>
          <t>0.0162Nm</t>
        </is>
      </c>
      <c r="AC378" s="53" t="n">
        <v>44770</v>
      </c>
      <c r="AD378" s="84" t="inlineStr">
        <is>
          <t>D</t>
        </is>
      </c>
    </row>
    <row r="379" ht="12.75" customHeight="1" s="123">
      <c r="A379" s="85" t="n">
        <v>377</v>
      </c>
      <c r="B379" s="31" t="inlineStr">
        <is>
          <t>BPB-041-6210-2RS</t>
        </is>
      </c>
      <c r="C379" s="50" t="n">
        <v>20</v>
      </c>
      <c r="D379" s="50" t="n">
        <v>0</v>
      </c>
      <c r="E379" s="50" t="n">
        <v>-12</v>
      </c>
      <c r="F379" s="50" t="n">
        <v>90</v>
      </c>
      <c r="G379" s="50" t="n">
        <v>0</v>
      </c>
      <c r="H379" s="50" t="n">
        <v>-15</v>
      </c>
      <c r="I379" s="50" t="n">
        <v>20</v>
      </c>
      <c r="J379" s="50" t="n">
        <v>0</v>
      </c>
      <c r="K379" s="50" t="n">
        <v>-12</v>
      </c>
      <c r="L379" s="50" t="n">
        <v>50</v>
      </c>
      <c r="M379" s="50" t="n">
        <v>0</v>
      </c>
      <c r="N379" s="50" t="n">
        <v>-12</v>
      </c>
      <c r="O379" s="50" t="inlineStr">
        <is>
          <t>C3</t>
        </is>
      </c>
      <c r="P379" s="50" t="n">
        <v>28</v>
      </c>
      <c r="Q379" s="50" t="n">
        <v>13</v>
      </c>
      <c r="R379" s="50" t="inlineStr">
        <is>
          <t>NO</t>
        </is>
      </c>
      <c r="S379" s="50" t="inlineStr">
        <is>
          <t>NO</t>
        </is>
      </c>
      <c r="T379" s="50" t="inlineStr">
        <is>
          <t>NO</t>
        </is>
      </c>
      <c r="U379" s="50" t="n">
        <v>64</v>
      </c>
      <c r="V379" s="50" t="n">
        <v>58</v>
      </c>
      <c r="W379" s="50" t="n">
        <v>64</v>
      </c>
      <c r="X379" s="50" t="n">
        <v>58</v>
      </c>
      <c r="Y379" s="50" t="inlineStr">
        <is>
          <t>1.92 - 2.2 gr</t>
        </is>
      </c>
      <c r="Z379" s="50" t="inlineStr">
        <is>
          <t>Polyrex</t>
        </is>
      </c>
      <c r="AA379" s="56" t="inlineStr">
        <is>
          <t>0.0268Nm</t>
        </is>
      </c>
      <c r="AB379" s="50" t="inlineStr">
        <is>
          <t>0.0162Nm</t>
        </is>
      </c>
      <c r="AC379" s="53" t="n">
        <v>42733</v>
      </c>
      <c r="AD379" s="84" t="inlineStr">
        <is>
          <t>A</t>
        </is>
      </c>
      <c r="AE379" s="50" t="n"/>
      <c r="AF379" s="50" t="n"/>
      <c r="AG379" s="50" t="n"/>
      <c r="AH379" s="50" t="n"/>
      <c r="AI379" s="50" t="n"/>
      <c r="AJ379" s="50" t="n"/>
      <c r="AK379" s="50" t="n"/>
      <c r="AL379" s="50" t="n"/>
      <c r="AM379" s="50" t="n"/>
      <c r="AN379" s="50" t="n"/>
      <c r="AO379" s="50" t="n"/>
      <c r="AP379" s="50" t="n"/>
      <c r="AQ379" s="50" t="n"/>
      <c r="AR379" s="50" t="n"/>
      <c r="AS379" s="50" t="n"/>
      <c r="AT379" s="50" t="n"/>
      <c r="AU379" s="50" t="n"/>
      <c r="AV379" s="56" t="n"/>
      <c r="AW379" s="50" t="n"/>
      <c r="AX379" s="53" t="n"/>
      <c r="AY379" s="84" t="n"/>
      <c r="AZ379" s="85" t="n"/>
      <c r="BA379" s="31" t="n"/>
      <c r="BB379" s="50" t="n"/>
      <c r="BC379" s="50" t="n"/>
      <c r="BD379" s="50" t="n"/>
      <c r="BE379" s="50" t="n"/>
      <c r="BF379" s="50" t="n"/>
      <c r="BG379" s="50" t="n"/>
      <c r="BH379" s="50" t="n"/>
      <c r="BI379" s="50" t="n"/>
      <c r="BJ379" s="50" t="n"/>
      <c r="BK379" s="50" t="n"/>
      <c r="BL379" s="50" t="n"/>
      <c r="BM379" s="50" t="n"/>
      <c r="BN379" s="50" t="n"/>
      <c r="BO379" s="50" t="n"/>
      <c r="BP379" s="50" t="n"/>
      <c r="BQ379" s="50" t="n"/>
      <c r="BR379" s="50" t="n"/>
      <c r="BS379" s="50" t="n"/>
      <c r="BT379" s="50" t="n"/>
      <c r="BU379" s="50" t="n"/>
      <c r="BV379" s="50" t="n"/>
      <c r="BW379" s="50" t="n"/>
      <c r="BX379" s="50" t="n"/>
      <c r="BY379" s="50" t="n"/>
      <c r="BZ379" s="56" t="n"/>
      <c r="CA379" s="50" t="n"/>
      <c r="CB379" s="53" t="n"/>
      <c r="CC379" s="84" t="n"/>
      <c r="CD379" s="85" t="n"/>
      <c r="CE379" s="31" t="n"/>
      <c r="CF379" s="50" t="n"/>
      <c r="CG379" s="50" t="n"/>
      <c r="CH379" s="50" t="n"/>
      <c r="CI379" s="50" t="n"/>
      <c r="CJ379" s="50" t="n"/>
      <c r="CK379" s="50" t="n"/>
      <c r="CL379" s="50" t="n"/>
      <c r="CM379" s="50" t="n"/>
      <c r="CN379" s="50" t="n"/>
      <c r="CO379" s="50" t="n"/>
      <c r="CP379" s="50" t="n"/>
      <c r="CQ379" s="50" t="n"/>
      <c r="CR379" s="50" t="n"/>
      <c r="CS379" s="50" t="n"/>
      <c r="CT379" s="50" t="n"/>
      <c r="CU379" s="50" t="n"/>
      <c r="CV379" s="50" t="n"/>
      <c r="CW379" s="50" t="n"/>
      <c r="CX379" s="50" t="n"/>
      <c r="CY379" s="50" t="n"/>
      <c r="CZ379" s="50" t="n"/>
      <c r="DA379" s="50" t="n"/>
      <c r="DB379" s="50" t="n"/>
      <c r="DC379" s="50" t="n"/>
      <c r="DD379" s="56" t="n"/>
      <c r="DE379" s="50" t="n"/>
      <c r="DF379" s="53" t="n"/>
      <c r="DG379" s="84" t="n"/>
      <c r="DH379" s="85" t="n"/>
      <c r="DI379" s="31" t="n"/>
      <c r="DJ379" s="50" t="n"/>
      <c r="DK379" s="50" t="n"/>
      <c r="DL379" s="50" t="n"/>
      <c r="DM379" s="50" t="n"/>
      <c r="DN379" s="50" t="n"/>
      <c r="DO379" s="50" t="n"/>
      <c r="DP379" s="50" t="n"/>
      <c r="DQ379" s="50" t="n"/>
      <c r="DR379" s="50" t="n"/>
      <c r="DS379" s="50" t="n"/>
      <c r="DT379" s="50" t="n"/>
      <c r="DU379" s="50" t="n"/>
      <c r="DV379" s="50" t="n"/>
      <c r="DW379" s="50" t="n"/>
      <c r="DX379" s="50" t="n"/>
      <c r="DY379" s="50" t="n"/>
      <c r="DZ379" s="50" t="n"/>
      <c r="EA379" s="50" t="n"/>
      <c r="EB379" s="50" t="n"/>
      <c r="EC379" s="50" t="n"/>
      <c r="ED379" s="50" t="n"/>
      <c r="EE379" s="50" t="n"/>
      <c r="EF379" s="50" t="n"/>
      <c r="EG379" s="50" t="n"/>
      <c r="EH379" s="56" t="n"/>
      <c r="EI379" s="50" t="n"/>
      <c r="EJ379" s="53" t="n"/>
      <c r="EK379" s="84" t="n"/>
      <c r="EL379" s="85" t="n"/>
      <c r="EM379" s="31" t="n"/>
      <c r="EN379" s="50" t="n"/>
      <c r="EO379" s="50" t="n"/>
      <c r="EP379" s="50" t="n"/>
      <c r="EQ379" s="50" t="n"/>
      <c r="ER379" s="50" t="n"/>
      <c r="ES379" s="50" t="n"/>
      <c r="ET379" s="50" t="n"/>
      <c r="EU379" s="50" t="n"/>
      <c r="EV379" s="50" t="n"/>
      <c r="EW379" s="50" t="n"/>
      <c r="EX379" s="50" t="n"/>
      <c r="EY379" s="50" t="n"/>
      <c r="EZ379" s="50" t="n"/>
      <c r="FA379" s="50" t="n"/>
      <c r="FB379" s="50" t="n"/>
      <c r="FC379" s="50" t="n"/>
      <c r="FD379" s="50" t="n"/>
      <c r="FE379" s="50" t="n"/>
      <c r="FF379" s="50" t="n"/>
      <c r="FG379" s="50" t="n"/>
      <c r="FH379" s="50" t="n"/>
      <c r="FI379" s="50" t="n"/>
      <c r="FJ379" s="50" t="n"/>
      <c r="FK379" s="50" t="n"/>
      <c r="FL379" s="56" t="n"/>
      <c r="FM379" s="50" t="n"/>
      <c r="FN379" s="53" t="n"/>
      <c r="FO379" s="84" t="n"/>
      <c r="FP379" s="85" t="n"/>
      <c r="FQ379" s="31" t="n"/>
      <c r="FR379" s="50" t="n"/>
      <c r="FS379" s="50" t="n"/>
      <c r="FT379" s="50" t="n"/>
      <c r="FU379" s="50" t="n"/>
      <c r="FV379" s="50" t="n"/>
      <c r="FW379" s="50" t="n"/>
      <c r="FX379" s="50" t="n"/>
      <c r="FY379" s="50" t="n"/>
      <c r="FZ379" s="50" t="n"/>
      <c r="GA379" s="50" t="n"/>
      <c r="GB379" s="50" t="n"/>
      <c r="GC379" s="50" t="n"/>
      <c r="GD379" s="50" t="n"/>
      <c r="GE379" s="50" t="n"/>
      <c r="GF379" s="50" t="n"/>
      <c r="GG379" s="50" t="n"/>
      <c r="GH379" s="50" t="n"/>
      <c r="GI379" s="50" t="n"/>
      <c r="GJ379" s="50" t="n"/>
      <c r="GK379" s="50" t="n"/>
      <c r="GL379" s="50" t="n"/>
      <c r="GM379" s="50" t="n"/>
      <c r="GN379" s="50" t="n"/>
      <c r="GO379" s="50" t="n"/>
      <c r="GP379" s="56" t="n"/>
      <c r="GQ379" s="50" t="n"/>
      <c r="GR379" s="53" t="n"/>
      <c r="GS379" s="84" t="n"/>
      <c r="GT379" s="85" t="n"/>
      <c r="GU379" s="31" t="n"/>
      <c r="GV379" s="50" t="n"/>
      <c r="GW379" s="50" t="n"/>
      <c r="GX379" s="50" t="n"/>
      <c r="GY379" s="50" t="n"/>
      <c r="GZ379" s="50" t="n"/>
      <c r="HA379" s="50" t="n"/>
      <c r="HB379" s="50" t="n"/>
      <c r="HC379" s="50" t="n"/>
      <c r="HD379" s="50" t="n"/>
      <c r="HE379" s="50" t="n"/>
      <c r="HF379" s="50" t="n"/>
      <c r="HG379" s="50" t="n"/>
      <c r="HH379" s="50" t="n"/>
      <c r="HI379" s="50" t="n"/>
      <c r="HJ379" s="50" t="n"/>
      <c r="HK379" s="50" t="n"/>
      <c r="HL379" s="50" t="n"/>
      <c r="HM379" s="50" t="n"/>
      <c r="HN379" s="50" t="n"/>
      <c r="HO379" s="50" t="n"/>
      <c r="HP379" s="50" t="n"/>
      <c r="HQ379" s="50" t="n"/>
      <c r="HR379" s="50" t="n"/>
      <c r="HS379" s="50" t="n"/>
      <c r="HT379" s="56" t="n"/>
      <c r="HU379" s="50" t="n"/>
      <c r="HV379" s="53" t="n"/>
      <c r="HW379" s="84" t="n"/>
      <c r="HX379" s="85" t="n"/>
      <c r="HY379" s="31" t="n"/>
      <c r="HZ379" s="50" t="n"/>
      <c r="IA379" s="50" t="n"/>
      <c r="IB379" s="50" t="n"/>
      <c r="IC379" s="50" t="n"/>
      <c r="ID379" s="50" t="n"/>
      <c r="IE379" s="50" t="n"/>
      <c r="IF379" s="50" t="n"/>
      <c r="IG379" s="50" t="n"/>
      <c r="IH379" s="50" t="n"/>
      <c r="II379" s="50" t="n"/>
      <c r="IJ379" s="50" t="n"/>
      <c r="IK379" s="50" t="n"/>
      <c r="IL379" s="50" t="n"/>
      <c r="IM379" s="50" t="n"/>
      <c r="IN379" s="50" t="n"/>
      <c r="IO379" s="50" t="n"/>
      <c r="IP379" s="50" t="n"/>
      <c r="IQ379" s="50" t="n"/>
      <c r="IR379" s="50" t="n"/>
      <c r="IS379" s="50" t="n"/>
      <c r="IT379" s="50" t="n"/>
      <c r="IU379" s="50" t="n"/>
      <c r="IV379" s="50" t="n"/>
      <c r="IW379" s="50" t="n"/>
      <c r="IX379" s="56" t="n"/>
      <c r="IY379" s="50" t="n"/>
      <c r="IZ379" s="53" t="n"/>
      <c r="JA379" s="84" t="n"/>
      <c r="JB379" s="85" t="n"/>
      <c r="JC379" s="31" t="n"/>
      <c r="JD379" s="50" t="n"/>
      <c r="JE379" s="50" t="n"/>
      <c r="JF379" s="50" t="n"/>
      <c r="JG379" s="50" t="n"/>
      <c r="JH379" s="50" t="n"/>
      <c r="JI379" s="50" t="n"/>
      <c r="JJ379" s="50" t="n"/>
      <c r="JK379" s="50" t="n"/>
      <c r="JL379" s="50" t="n"/>
      <c r="JM379" s="50" t="n"/>
      <c r="JN379" s="50" t="n"/>
      <c r="JO379" s="50" t="n"/>
      <c r="JP379" s="50" t="n"/>
      <c r="JQ379" s="50" t="n"/>
      <c r="JR379" s="50" t="n"/>
      <c r="JS379" s="50" t="n"/>
      <c r="JT379" s="50" t="n"/>
      <c r="JU379" s="50" t="n"/>
      <c r="JV379" s="50" t="n"/>
      <c r="JW379" s="50" t="n"/>
      <c r="JX379" s="50" t="n"/>
      <c r="JY379" s="50" t="n"/>
      <c r="JZ379" s="50" t="n"/>
      <c r="KA379" s="50" t="n"/>
      <c r="KB379" s="56" t="n"/>
      <c r="KC379" s="50" t="n"/>
      <c r="KD379" s="53" t="n"/>
      <c r="KE379" s="84" t="n"/>
      <c r="KF379" s="85" t="n"/>
      <c r="KG379" s="31" t="n"/>
      <c r="KH379" s="50" t="n"/>
      <c r="KI379" s="50" t="n"/>
      <c r="KJ379" s="50" t="n"/>
      <c r="KK379" s="50" t="n"/>
      <c r="KL379" s="50" t="n"/>
      <c r="KM379" s="50" t="n"/>
      <c r="KN379" s="50" t="n"/>
      <c r="KO379" s="50" t="n"/>
      <c r="KP379" s="50" t="n"/>
      <c r="KQ379" s="50" t="n"/>
      <c r="KR379" s="50" t="n"/>
      <c r="KS379" s="50" t="n"/>
      <c r="KT379" s="50" t="n"/>
      <c r="KU379" s="50" t="n"/>
      <c r="KV379" s="50" t="n"/>
      <c r="KW379" s="50" t="n"/>
      <c r="KX379" s="50" t="n"/>
      <c r="KY379" s="50" t="n"/>
      <c r="KZ379" s="50" t="n"/>
      <c r="LA379" s="50" t="n"/>
      <c r="LB379" s="50" t="n"/>
      <c r="LC379" s="50" t="n"/>
      <c r="LD379" s="50" t="n"/>
      <c r="LE379" s="50" t="n"/>
      <c r="LF379" s="56" t="n"/>
      <c r="LG379" s="50" t="n"/>
      <c r="LH379" s="53" t="n"/>
      <c r="LI379" s="84" t="n"/>
      <c r="LJ379" s="85" t="n"/>
      <c r="LK379" s="31" t="n"/>
      <c r="LL379" s="50" t="n"/>
      <c r="LM379" s="50" t="n"/>
      <c r="LN379" s="50" t="n"/>
      <c r="LO379" s="50" t="n"/>
      <c r="LP379" s="50" t="n"/>
      <c r="LQ379" s="50" t="n"/>
      <c r="LR379" s="50" t="n"/>
      <c r="LS379" s="50" t="n"/>
      <c r="LT379" s="50" t="n"/>
      <c r="LU379" s="50" t="n"/>
      <c r="LV379" s="50" t="n"/>
      <c r="LW379" s="50" t="n"/>
      <c r="LX379" s="50" t="n"/>
      <c r="LY379" s="50" t="n"/>
      <c r="LZ379" s="50" t="n"/>
      <c r="MA379" s="50" t="n"/>
      <c r="MB379" s="50" t="n"/>
      <c r="MC379" s="50" t="n"/>
      <c r="MD379" s="50" t="n"/>
      <c r="ME379" s="50" t="n"/>
      <c r="MF379" s="50" t="n"/>
      <c r="MG379" s="50" t="n"/>
      <c r="MH379" s="50" t="n"/>
      <c r="MI379" s="50" t="n"/>
      <c r="MJ379" s="56" t="n"/>
      <c r="MK379" s="50" t="n"/>
      <c r="ML379" s="53" t="n"/>
      <c r="MM379" s="84" t="n"/>
      <c r="MN379" s="85" t="n"/>
      <c r="MO379" s="31" t="n"/>
      <c r="MP379" s="50" t="n"/>
      <c r="MQ379" s="50" t="n"/>
      <c r="MR379" s="50" t="n"/>
      <c r="MS379" s="50" t="n"/>
      <c r="MT379" s="50" t="n"/>
      <c r="MU379" s="50" t="n"/>
      <c r="MV379" s="50" t="n"/>
      <c r="MW379" s="50" t="n"/>
      <c r="MX379" s="50" t="n"/>
      <c r="MY379" s="50" t="n"/>
      <c r="MZ379" s="50" t="n"/>
      <c r="NA379" s="50" t="n"/>
      <c r="NB379" s="50" t="n"/>
      <c r="NC379" s="50" t="n"/>
      <c r="ND379" s="50" t="n"/>
      <c r="NE379" s="50" t="n"/>
      <c r="NF379" s="50" t="n"/>
      <c r="NG379" s="50" t="n"/>
      <c r="NH379" s="50" t="n"/>
      <c r="NI379" s="50" t="n"/>
      <c r="NJ379" s="50" t="n"/>
      <c r="NK379" s="50" t="n"/>
      <c r="NL379" s="50" t="n"/>
      <c r="NM379" s="50" t="n"/>
      <c r="NN379" s="56" t="n"/>
      <c r="NO379" s="50" t="n"/>
      <c r="NP379" s="53" t="n"/>
      <c r="NQ379" s="84" t="n"/>
      <c r="NR379" s="85" t="n"/>
      <c r="NS379" s="31" t="n"/>
      <c r="NT379" s="50" t="n"/>
      <c r="NU379" s="50" t="n"/>
      <c r="NV379" s="50" t="n"/>
      <c r="NW379" s="50" t="n"/>
      <c r="NX379" s="50" t="n"/>
      <c r="NY379" s="50" t="n"/>
      <c r="NZ379" s="50" t="n"/>
      <c r="OA379" s="50" t="n"/>
      <c r="OB379" s="50" t="n"/>
      <c r="OC379" s="50" t="n"/>
      <c r="OD379" s="50" t="n"/>
      <c r="OE379" s="50" t="n"/>
      <c r="OF379" s="50" t="n"/>
      <c r="OG379" s="50" t="n"/>
      <c r="OH379" s="50" t="n"/>
      <c r="OI379" s="50" t="n"/>
      <c r="OJ379" s="50" t="n"/>
      <c r="OK379" s="50" t="n"/>
      <c r="OL379" s="50" t="n"/>
      <c r="OM379" s="50" t="n"/>
      <c r="ON379" s="50" t="n"/>
      <c r="OO379" s="50" t="n"/>
      <c r="OP379" s="50" t="n"/>
      <c r="OQ379" s="50" t="n"/>
      <c r="OR379" s="56" t="n"/>
      <c r="OS379" s="50" t="n"/>
      <c r="OT379" s="53" t="n"/>
      <c r="OU379" s="84" t="n"/>
      <c r="OV379" s="85" t="n"/>
      <c r="OW379" s="31" t="n"/>
      <c r="OX379" s="50" t="n"/>
      <c r="OY379" s="50" t="n"/>
      <c r="OZ379" s="50" t="n"/>
      <c r="PA379" s="50" t="n"/>
      <c r="PB379" s="50" t="n"/>
      <c r="PC379" s="50" t="n"/>
      <c r="PD379" s="50" t="n"/>
      <c r="PE379" s="50" t="n"/>
      <c r="PF379" s="50" t="n"/>
      <c r="PG379" s="50" t="n"/>
      <c r="PH379" s="50" t="n"/>
      <c r="PI379" s="50" t="n"/>
      <c r="PJ379" s="50" t="n"/>
      <c r="PK379" s="50" t="n"/>
      <c r="PL379" s="50" t="n"/>
      <c r="PM379" s="50" t="n"/>
      <c r="PN379" s="50" t="n"/>
      <c r="PO379" s="50" t="n"/>
      <c r="PP379" s="50" t="n"/>
      <c r="PQ379" s="50" t="n"/>
      <c r="PR379" s="50" t="n"/>
      <c r="PS379" s="50" t="n"/>
      <c r="PT379" s="50" t="n"/>
      <c r="PU379" s="50" t="n"/>
      <c r="PV379" s="56" t="n"/>
      <c r="PW379" s="50" t="n"/>
      <c r="PX379" s="53" t="n"/>
      <c r="PY379" s="84" t="n"/>
      <c r="PZ379" s="85" t="n"/>
      <c r="QA379" s="31" t="n"/>
      <c r="QB379" s="50" t="n"/>
      <c r="QC379" s="50" t="n"/>
      <c r="QD379" s="50" t="n"/>
      <c r="QE379" s="50" t="n"/>
      <c r="QF379" s="50" t="n"/>
      <c r="QG379" s="50" t="n"/>
      <c r="QH379" s="50" t="n"/>
      <c r="QI379" s="50" t="n"/>
      <c r="QJ379" s="50" t="n"/>
      <c r="QK379" s="50" t="n"/>
      <c r="QL379" s="50" t="n"/>
      <c r="QM379" s="50" t="n"/>
      <c r="QN379" s="50" t="n"/>
      <c r="QO379" s="50" t="n"/>
      <c r="QP379" s="50" t="n"/>
      <c r="QQ379" s="50" t="n"/>
      <c r="QR379" s="50" t="n"/>
      <c r="QS379" s="50" t="n"/>
      <c r="QT379" s="50" t="n"/>
      <c r="QU379" s="50" t="n"/>
      <c r="QV379" s="50" t="n"/>
      <c r="QW379" s="50" t="n"/>
      <c r="QX379" s="50" t="n"/>
      <c r="QY379" s="50" t="n"/>
      <c r="QZ379" s="56" t="n"/>
      <c r="RA379" s="50" t="n"/>
      <c r="RB379" s="53" t="n"/>
      <c r="RC379" s="84" t="n"/>
      <c r="RD379" s="85" t="n"/>
      <c r="RE379" s="31" t="n"/>
      <c r="RF379" s="50" t="n"/>
      <c r="RG379" s="50" t="n"/>
      <c r="RH379" s="50" t="n"/>
      <c r="RI379" s="50" t="n"/>
      <c r="RJ379" s="50" t="n"/>
      <c r="RK379" s="50" t="n"/>
      <c r="RL379" s="50" t="n"/>
      <c r="RM379" s="50" t="n"/>
      <c r="RN379" s="50" t="n"/>
      <c r="RO379" s="50" t="n"/>
      <c r="RP379" s="50" t="n"/>
      <c r="RQ379" s="50" t="n"/>
      <c r="RR379" s="50" t="n"/>
      <c r="RS379" s="50" t="n"/>
      <c r="RT379" s="50" t="n"/>
      <c r="RU379" s="50" t="n"/>
      <c r="RV379" s="50" t="n"/>
      <c r="RW379" s="50" t="n"/>
      <c r="RX379" s="50" t="n"/>
      <c r="RY379" s="50" t="n"/>
      <c r="RZ379" s="50" t="n"/>
      <c r="SA379" s="50" t="n"/>
      <c r="SB379" s="50" t="n"/>
      <c r="SC379" s="50" t="n"/>
      <c r="SD379" s="56" t="n"/>
      <c r="SE379" s="50" t="n"/>
      <c r="SF379" s="53" t="n"/>
      <c r="SG379" s="84" t="n"/>
      <c r="SH379" s="85" t="n"/>
      <c r="SI379" s="31" t="n"/>
      <c r="SJ379" s="50" t="n"/>
      <c r="SK379" s="50" t="n"/>
      <c r="SL379" s="50" t="n"/>
      <c r="SM379" s="50" t="n"/>
      <c r="SN379" s="50" t="n"/>
      <c r="SO379" s="50" t="n"/>
      <c r="SP379" s="50" t="n"/>
      <c r="SQ379" s="50" t="n"/>
      <c r="SR379" s="50" t="n"/>
      <c r="SS379" s="50" t="n"/>
      <c r="ST379" s="50" t="n"/>
      <c r="SU379" s="50" t="n"/>
      <c r="SV379" s="50" t="n"/>
      <c r="SW379" s="50" t="n"/>
      <c r="SX379" s="50" t="n"/>
      <c r="SY379" s="50" t="n"/>
      <c r="SZ379" s="50" t="n"/>
      <c r="TA379" s="50" t="n"/>
      <c r="TB379" s="50" t="n"/>
      <c r="TC379" s="50" t="n"/>
      <c r="TD379" s="50" t="n"/>
      <c r="TE379" s="50" t="n"/>
      <c r="TF379" s="50" t="n"/>
      <c r="TG379" s="50" t="n"/>
      <c r="TH379" s="56" t="n"/>
      <c r="TI379" s="50" t="n"/>
      <c r="TJ379" s="53" t="n"/>
      <c r="TK379" s="84" t="n"/>
      <c r="TL379" s="85" t="n"/>
      <c r="TM379" s="31" t="n"/>
      <c r="TN379" s="50" t="n"/>
      <c r="TO379" s="50" t="n"/>
      <c r="TP379" s="50" t="n"/>
      <c r="TQ379" s="50" t="n"/>
      <c r="TR379" s="50" t="n"/>
      <c r="TS379" s="50" t="n"/>
      <c r="TT379" s="50" t="n"/>
      <c r="TU379" s="50" t="n"/>
      <c r="TV379" s="50" t="n"/>
      <c r="TW379" s="50" t="n"/>
      <c r="TX379" s="50" t="n"/>
      <c r="TY379" s="50" t="n"/>
      <c r="TZ379" s="50" t="n"/>
      <c r="UA379" s="50" t="n"/>
      <c r="UB379" s="50" t="n"/>
      <c r="UC379" s="50" t="n"/>
      <c r="UD379" s="50" t="n"/>
      <c r="UE379" s="50" t="n"/>
      <c r="UF379" s="50" t="n"/>
      <c r="UG379" s="50" t="n"/>
      <c r="UH379" s="50" t="n"/>
      <c r="UI379" s="50" t="n"/>
      <c r="UJ379" s="50" t="n"/>
      <c r="UK379" s="50" t="n"/>
      <c r="UL379" s="56" t="n"/>
      <c r="UM379" s="50" t="n"/>
      <c r="UN379" s="53" t="n"/>
      <c r="UO379" s="84" t="n"/>
      <c r="UP379" s="85" t="n"/>
      <c r="UQ379" s="31" t="n"/>
      <c r="UR379" s="50" t="n"/>
      <c r="US379" s="50" t="n"/>
      <c r="UT379" s="50" t="n"/>
      <c r="UU379" s="50" t="n"/>
      <c r="UV379" s="50" t="n"/>
      <c r="UW379" s="50" t="n"/>
      <c r="UX379" s="50" t="n"/>
      <c r="UY379" s="50" t="n"/>
      <c r="UZ379" s="50" t="n"/>
      <c r="VA379" s="50" t="n"/>
      <c r="VB379" s="50" t="n"/>
      <c r="VC379" s="50" t="n"/>
      <c r="VD379" s="50" t="n"/>
      <c r="VE379" s="50" t="n"/>
      <c r="VF379" s="50" t="n"/>
      <c r="VG379" s="50" t="n"/>
      <c r="VH379" s="50" t="n"/>
      <c r="VI379" s="50" t="n"/>
      <c r="VJ379" s="50" t="n"/>
      <c r="VK379" s="50" t="n"/>
      <c r="VL379" s="50" t="n"/>
      <c r="VM379" s="50" t="n"/>
      <c r="VN379" s="50" t="n"/>
      <c r="VO379" s="50" t="n"/>
      <c r="VP379" s="56" t="n"/>
      <c r="VQ379" s="50" t="n"/>
      <c r="VR379" s="53" t="n"/>
      <c r="VS379" s="84" t="n"/>
      <c r="VT379" s="85" t="n"/>
      <c r="VU379" s="31" t="n"/>
      <c r="VV379" s="50" t="n"/>
      <c r="VW379" s="50" t="n"/>
      <c r="VX379" s="50" t="n"/>
      <c r="VY379" s="50" t="n"/>
      <c r="VZ379" s="50" t="n"/>
      <c r="WA379" s="50" t="n"/>
      <c r="WB379" s="50" t="n"/>
      <c r="WC379" s="50" t="n"/>
      <c r="WD379" s="50" t="n"/>
      <c r="WE379" s="50" t="n"/>
      <c r="WF379" s="50" t="n"/>
      <c r="WG379" s="50" t="n"/>
      <c r="WH379" s="50" t="n"/>
      <c r="WI379" s="50" t="n"/>
      <c r="WJ379" s="50" t="n"/>
      <c r="WK379" s="50" t="n"/>
      <c r="WL379" s="50" t="n"/>
      <c r="WM379" s="50" t="n"/>
      <c r="WN379" s="50" t="n"/>
      <c r="WO379" s="50" t="n"/>
      <c r="WP379" s="50" t="n"/>
      <c r="WQ379" s="50" t="n"/>
      <c r="WR379" s="50" t="n"/>
      <c r="WS379" s="50" t="n"/>
      <c r="WT379" s="56" t="n"/>
      <c r="WU379" s="50" t="n"/>
      <c r="WV379" s="53" t="n"/>
      <c r="WW379" s="84" t="n"/>
      <c r="WX379" s="85" t="n"/>
      <c r="WY379" s="31" t="n"/>
      <c r="WZ379" s="50" t="n"/>
      <c r="XA379" s="50" t="n"/>
      <c r="XB379" s="50" t="n"/>
      <c r="XC379" s="50" t="n"/>
      <c r="XD379" s="50" t="n"/>
      <c r="XE379" s="50" t="n"/>
      <c r="XF379" s="50" t="n"/>
      <c r="XG379" s="50" t="n"/>
      <c r="XH379" s="50" t="n"/>
      <c r="XI379" s="50" t="n"/>
      <c r="XJ379" s="50" t="n"/>
      <c r="XK379" s="50" t="n"/>
      <c r="XL379" s="50" t="n"/>
      <c r="XM379" s="50" t="n"/>
      <c r="XN379" s="50" t="n"/>
      <c r="XO379" s="50" t="n"/>
      <c r="XP379" s="50" t="n"/>
      <c r="XQ379" s="50" t="n"/>
      <c r="XR379" s="50" t="n"/>
      <c r="XS379" s="50" t="n"/>
      <c r="XT379" s="50" t="n"/>
      <c r="XU379" s="50" t="n"/>
      <c r="XV379" s="50" t="n"/>
      <c r="XW379" s="50" t="n"/>
      <c r="XX379" s="56" t="n"/>
      <c r="XY379" s="50" t="n"/>
      <c r="XZ379" s="53" t="n"/>
      <c r="YA379" s="84" t="n"/>
      <c r="YB379" s="85" t="n"/>
      <c r="YC379" s="31" t="n"/>
      <c r="YD379" s="50" t="n"/>
      <c r="YE379" s="50" t="n"/>
      <c r="YF379" s="50" t="n"/>
      <c r="YG379" s="50" t="n"/>
      <c r="YH379" s="50" t="n"/>
      <c r="YI379" s="50" t="n"/>
      <c r="YJ379" s="50" t="n"/>
      <c r="YK379" s="50" t="n"/>
      <c r="YL379" s="50" t="n"/>
      <c r="YM379" s="50" t="n"/>
      <c r="YN379" s="50" t="n"/>
      <c r="YO379" s="50" t="n"/>
      <c r="YP379" s="50" t="n"/>
      <c r="YQ379" s="50" t="n"/>
      <c r="YR379" s="50" t="n"/>
      <c r="YS379" s="50" t="n"/>
      <c r="YT379" s="50" t="n"/>
      <c r="YU379" s="50" t="n"/>
      <c r="YV379" s="50" t="n"/>
      <c r="YW379" s="50" t="n"/>
      <c r="YX379" s="50" t="n"/>
      <c r="YY379" s="50" t="n"/>
      <c r="YZ379" s="50" t="n"/>
      <c r="ZA379" s="50" t="n"/>
      <c r="ZB379" s="56" t="n"/>
      <c r="ZC379" s="50" t="n"/>
      <c r="ZD379" s="53" t="n"/>
      <c r="ZE379" s="84" t="n"/>
      <c r="ZF379" s="85" t="n"/>
      <c r="ZG379" s="31" t="n"/>
      <c r="ZH379" s="50" t="n"/>
      <c r="ZI379" s="50" t="n"/>
      <c r="ZJ379" s="50" t="n"/>
      <c r="ZK379" s="50" t="n"/>
      <c r="ZL379" s="50" t="n"/>
      <c r="ZM379" s="50" t="n"/>
      <c r="ZN379" s="50" t="n"/>
      <c r="ZO379" s="50" t="n"/>
      <c r="ZP379" s="50" t="n"/>
      <c r="ZQ379" s="50" t="n"/>
      <c r="ZR379" s="50" t="n"/>
      <c r="ZS379" s="50" t="n"/>
      <c r="ZT379" s="50" t="n"/>
      <c r="ZU379" s="50" t="n"/>
      <c r="ZV379" s="50" t="n"/>
      <c r="ZW379" s="50" t="n"/>
      <c r="ZX379" s="50" t="n"/>
      <c r="ZY379" s="50" t="n"/>
      <c r="ZZ379" s="50" t="n"/>
      <c r="AAA379" s="50" t="n"/>
      <c r="AAB379" s="50" t="n"/>
      <c r="AAC379" s="50" t="n"/>
      <c r="AAD379" s="50" t="n"/>
      <c r="AAE379" s="50" t="n"/>
      <c r="AAF379" s="56" t="n"/>
      <c r="AAG379" s="50" t="n"/>
      <c r="AAH379" s="53" t="n"/>
      <c r="AAI379" s="84" t="n"/>
      <c r="AAJ379" s="85" t="n"/>
      <c r="AAK379" s="31" t="n"/>
      <c r="AAL379" s="50" t="n"/>
      <c r="AAM379" s="50" t="n"/>
      <c r="AAN379" s="50" t="n"/>
      <c r="AAO379" s="50" t="n"/>
      <c r="AAP379" s="50" t="n"/>
      <c r="AAQ379" s="50" t="n"/>
      <c r="AAR379" s="50" t="n"/>
      <c r="AAS379" s="50" t="n"/>
      <c r="AAT379" s="50" t="n"/>
      <c r="AAU379" s="50" t="n"/>
      <c r="AAV379" s="50" t="n"/>
      <c r="AAW379" s="50" t="n"/>
      <c r="AAX379" s="50" t="n"/>
      <c r="AAY379" s="50" t="n"/>
      <c r="AAZ379" s="50" t="n"/>
      <c r="ABA379" s="50" t="n"/>
      <c r="ABB379" s="50" t="n"/>
      <c r="ABC379" s="50" t="n"/>
      <c r="ABD379" s="50" t="n"/>
      <c r="ABE379" s="50" t="n"/>
      <c r="ABF379" s="50" t="n"/>
      <c r="ABG379" s="50" t="n"/>
      <c r="ABH379" s="50" t="n"/>
      <c r="ABI379" s="50" t="n"/>
      <c r="ABJ379" s="56" t="n"/>
      <c r="ABK379" s="50" t="n"/>
      <c r="ABL379" s="53" t="n"/>
      <c r="ABM379" s="84" t="n"/>
      <c r="ABN379" s="85" t="n"/>
      <c r="ABO379" s="31" t="n"/>
      <c r="ABP379" s="50" t="n"/>
      <c r="ABQ379" s="50" t="n"/>
      <c r="ABR379" s="50" t="n"/>
      <c r="ABS379" s="50" t="n"/>
      <c r="ABT379" s="50" t="n"/>
      <c r="ABU379" s="50" t="n"/>
      <c r="ABV379" s="50" t="n"/>
      <c r="ABW379" s="50" t="n"/>
      <c r="ABX379" s="50" t="n"/>
      <c r="ABY379" s="50" t="n"/>
      <c r="ABZ379" s="50" t="n"/>
      <c r="ACA379" s="50" t="n"/>
      <c r="ACB379" s="50" t="n"/>
      <c r="ACC379" s="50" t="n"/>
      <c r="ACD379" s="50" t="n"/>
      <c r="ACE379" s="50" t="n"/>
      <c r="ACF379" s="50" t="n"/>
      <c r="ACG379" s="50" t="n"/>
      <c r="ACH379" s="50" t="n"/>
      <c r="ACI379" s="50" t="n"/>
      <c r="ACJ379" s="50" t="n"/>
      <c r="ACK379" s="50" t="n"/>
      <c r="ACL379" s="50" t="n"/>
      <c r="ACM379" s="50" t="n"/>
      <c r="ACN379" s="56" t="n"/>
      <c r="ACO379" s="50" t="n"/>
      <c r="ACP379" s="53" t="n"/>
      <c r="ACQ379" s="84" t="n"/>
      <c r="ACR379" s="85" t="n"/>
      <c r="ACS379" s="31" t="n"/>
      <c r="ACT379" s="50" t="n"/>
      <c r="ACU379" s="50" t="n"/>
      <c r="ACV379" s="50" t="n"/>
      <c r="ACW379" s="50" t="n"/>
      <c r="ACX379" s="50" t="n"/>
      <c r="ACY379" s="50" t="n"/>
      <c r="ACZ379" s="50" t="n"/>
      <c r="ADA379" s="50" t="n"/>
      <c r="ADB379" s="50" t="n"/>
      <c r="ADC379" s="50" t="n"/>
      <c r="ADD379" s="50" t="n"/>
      <c r="ADE379" s="50" t="n"/>
      <c r="ADF379" s="50" t="n"/>
      <c r="ADG379" s="50" t="n"/>
      <c r="ADH379" s="50" t="n"/>
      <c r="ADI379" s="50" t="n"/>
      <c r="ADJ379" s="50" t="n"/>
      <c r="ADK379" s="50" t="n"/>
      <c r="ADL379" s="50" t="n"/>
      <c r="ADM379" s="50" t="n"/>
      <c r="ADN379" s="50" t="n"/>
      <c r="ADO379" s="50" t="n"/>
      <c r="ADP379" s="50" t="n"/>
      <c r="ADQ379" s="50" t="n"/>
      <c r="ADR379" s="56" t="n"/>
      <c r="ADS379" s="50" t="n"/>
      <c r="ADT379" s="53" t="n"/>
      <c r="ADU379" s="84" t="n"/>
      <c r="ADV379" s="85" t="n"/>
      <c r="ADW379" s="31" t="n"/>
      <c r="ADX379" s="50" t="n"/>
      <c r="ADY379" s="50" t="n"/>
      <c r="ADZ379" s="50" t="n"/>
      <c r="AEA379" s="50" t="n"/>
      <c r="AEB379" s="50" t="n"/>
      <c r="AEC379" s="50" t="n"/>
      <c r="AED379" s="50" t="n"/>
      <c r="AEE379" s="50" t="n"/>
      <c r="AEF379" s="50" t="n"/>
      <c r="AEG379" s="50" t="n"/>
      <c r="AEH379" s="50" t="n"/>
      <c r="AEI379" s="50" t="n"/>
      <c r="AEJ379" s="50" t="n"/>
      <c r="AEK379" s="50" t="n"/>
      <c r="AEL379" s="50" t="n"/>
      <c r="AEM379" s="50" t="n"/>
      <c r="AEN379" s="50" t="n"/>
      <c r="AEO379" s="50" t="n"/>
      <c r="AEP379" s="50" t="n"/>
      <c r="AEQ379" s="50" t="n"/>
      <c r="AER379" s="50" t="n"/>
      <c r="AES379" s="50" t="n"/>
      <c r="AET379" s="50" t="n"/>
      <c r="AEU379" s="50" t="n"/>
      <c r="AEV379" s="56" t="n"/>
      <c r="AEW379" s="50" t="n"/>
      <c r="AEX379" s="53" t="n"/>
      <c r="AEY379" s="84" t="n"/>
      <c r="AEZ379" s="85" t="n"/>
      <c r="AFA379" s="31" t="n"/>
      <c r="AFB379" s="50" t="n"/>
      <c r="AFC379" s="50" t="n"/>
      <c r="AFD379" s="50" t="n"/>
      <c r="AFE379" s="50" t="n"/>
      <c r="AFF379" s="50" t="n"/>
      <c r="AFG379" s="50" t="n"/>
      <c r="AFH379" s="50" t="n"/>
      <c r="AFI379" s="50" t="n"/>
      <c r="AFJ379" s="50" t="n"/>
      <c r="AFK379" s="50" t="n"/>
      <c r="AFL379" s="50" t="n"/>
      <c r="AFM379" s="50" t="n"/>
      <c r="AFN379" s="50" t="n"/>
      <c r="AFO379" s="50" t="n"/>
      <c r="AFP379" s="50" t="n"/>
      <c r="AFQ379" s="50" t="n"/>
      <c r="AFR379" s="50" t="n"/>
      <c r="AFS379" s="50" t="n"/>
      <c r="AFT379" s="50" t="n"/>
      <c r="AFU379" s="50" t="n"/>
      <c r="AFV379" s="50" t="n"/>
      <c r="AFW379" s="50" t="n"/>
      <c r="AFX379" s="50" t="n"/>
      <c r="AFY379" s="50" t="n"/>
      <c r="AFZ379" s="56" t="n"/>
      <c r="AGA379" s="50" t="n"/>
      <c r="AGB379" s="53" t="n"/>
      <c r="AGC379" s="84" t="n"/>
      <c r="AGD379" s="85" t="n"/>
      <c r="AGE379" s="31" t="n"/>
      <c r="AGF379" s="50" t="n"/>
      <c r="AGG379" s="50" t="n"/>
      <c r="AGH379" s="50" t="n"/>
      <c r="AGI379" s="50" t="n"/>
      <c r="AGJ379" s="50" t="n"/>
      <c r="AGK379" s="50" t="n"/>
      <c r="AGL379" s="50" t="n"/>
      <c r="AGM379" s="50" t="n"/>
      <c r="AGN379" s="50" t="n"/>
      <c r="AGO379" s="50" t="n"/>
      <c r="AGP379" s="50" t="n"/>
      <c r="AGQ379" s="50" t="n"/>
      <c r="AGR379" s="50" t="n"/>
      <c r="AGS379" s="50" t="n"/>
      <c r="AGT379" s="50" t="n"/>
      <c r="AGU379" s="50" t="n"/>
      <c r="AGV379" s="50" t="n"/>
      <c r="AGW379" s="50" t="n"/>
      <c r="AGX379" s="50" t="n"/>
      <c r="AGY379" s="50" t="n"/>
      <c r="AGZ379" s="50" t="n"/>
      <c r="AHA379" s="50" t="n"/>
      <c r="AHB379" s="50" t="n"/>
      <c r="AHC379" s="50" t="n"/>
      <c r="AHD379" s="56" t="n"/>
      <c r="AHE379" s="50" t="n"/>
      <c r="AHF379" s="53" t="n"/>
      <c r="AHG379" s="84" t="n"/>
      <c r="AHH379" s="85" t="n"/>
      <c r="AHI379" s="31" t="n"/>
      <c r="AHJ379" s="50" t="n"/>
      <c r="AHK379" s="50" t="n"/>
      <c r="AHL379" s="50" t="n"/>
      <c r="AHM379" s="50" t="n"/>
      <c r="AHN379" s="50" t="n"/>
      <c r="AHO379" s="50" t="n"/>
      <c r="AHP379" s="50" t="n"/>
      <c r="AHQ379" s="50" t="n"/>
      <c r="AHR379" s="50" t="n"/>
      <c r="AHS379" s="50" t="n"/>
      <c r="AHT379" s="50" t="n"/>
      <c r="AHU379" s="50" t="n"/>
      <c r="AHV379" s="50" t="n"/>
      <c r="AHW379" s="50" t="n"/>
      <c r="AHX379" s="50" t="n"/>
      <c r="AHY379" s="50" t="n"/>
      <c r="AHZ379" s="50" t="n"/>
      <c r="AIA379" s="50" t="n"/>
      <c r="AIB379" s="50" t="n"/>
      <c r="AIC379" s="50" t="n"/>
      <c r="AID379" s="50" t="n"/>
      <c r="AIE379" s="50" t="n"/>
      <c r="AIF379" s="50" t="n"/>
      <c r="AIG379" s="50" t="n"/>
      <c r="AIH379" s="56" t="n"/>
      <c r="AII379" s="50" t="n"/>
      <c r="AIJ379" s="53" t="n"/>
      <c r="AIK379" s="84" t="n"/>
      <c r="AIL379" s="85" t="n"/>
      <c r="AIM379" s="31" t="n"/>
      <c r="AIN379" s="50" t="n"/>
      <c r="AIO379" s="50" t="n"/>
      <c r="AIP379" s="50" t="n"/>
      <c r="AIQ379" s="50" t="n"/>
      <c r="AIR379" s="50" t="n"/>
      <c r="AIS379" s="50" t="n"/>
      <c r="AIT379" s="50" t="n"/>
      <c r="AIU379" s="50" t="n"/>
      <c r="AIV379" s="50" t="n"/>
      <c r="AIW379" s="50" t="n"/>
      <c r="AIX379" s="50" t="n"/>
      <c r="AIY379" s="50" t="n"/>
      <c r="AIZ379" s="50" t="n"/>
      <c r="AJA379" s="50" t="n"/>
      <c r="AJB379" s="50" t="n"/>
      <c r="AJC379" s="50" t="n"/>
      <c r="AJD379" s="50" t="n"/>
      <c r="AJE379" s="50" t="n"/>
      <c r="AJF379" s="50" t="n"/>
      <c r="AJG379" s="50" t="n"/>
      <c r="AJH379" s="50" t="n"/>
      <c r="AJI379" s="50" t="n"/>
      <c r="AJJ379" s="50" t="n"/>
      <c r="AJK379" s="50" t="n"/>
      <c r="AJL379" s="56" t="n"/>
      <c r="AJM379" s="50" t="n"/>
      <c r="AJN379" s="53" t="n"/>
      <c r="AJO379" s="84" t="n"/>
      <c r="AJP379" s="85" t="n"/>
      <c r="AJQ379" s="31" t="n"/>
      <c r="AJR379" s="50" t="n"/>
      <c r="AJS379" s="50" t="n"/>
      <c r="AJT379" s="50" t="n"/>
      <c r="AJU379" s="50" t="n"/>
      <c r="AJV379" s="50" t="n"/>
      <c r="AJW379" s="50" t="n"/>
      <c r="AJX379" s="50" t="n"/>
      <c r="AJY379" s="50" t="n"/>
      <c r="AJZ379" s="50" t="n"/>
      <c r="AKA379" s="50" t="n"/>
      <c r="AKB379" s="50" t="n"/>
      <c r="AKC379" s="50" t="n"/>
      <c r="AKD379" s="50" t="n"/>
      <c r="AKE379" s="50" t="n"/>
      <c r="AKF379" s="50" t="n"/>
      <c r="AKG379" s="50" t="n"/>
      <c r="AKH379" s="50" t="n"/>
      <c r="AKI379" s="50" t="n"/>
      <c r="AKJ379" s="50" t="n"/>
      <c r="AKK379" s="50" t="n"/>
      <c r="AKL379" s="50" t="n"/>
      <c r="AKM379" s="50" t="n"/>
      <c r="AKN379" s="50" t="n"/>
      <c r="AKO379" s="50" t="n"/>
      <c r="AKP379" s="56" t="n"/>
      <c r="AKQ379" s="50" t="n"/>
      <c r="AKR379" s="53" t="n"/>
      <c r="AKS379" s="84" t="n"/>
      <c r="AKT379" s="85" t="n"/>
      <c r="AKU379" s="31" t="n"/>
      <c r="AKV379" s="50" t="n"/>
      <c r="AKW379" s="50" t="n"/>
      <c r="AKX379" s="50" t="n"/>
      <c r="AKY379" s="50" t="n"/>
      <c r="AKZ379" s="50" t="n"/>
      <c r="ALA379" s="50" t="n"/>
      <c r="ALB379" s="50" t="n"/>
      <c r="ALC379" s="50" t="n"/>
      <c r="ALD379" s="50" t="n"/>
      <c r="ALE379" s="50" t="n"/>
      <c r="ALF379" s="50" t="n"/>
      <c r="ALG379" s="50" t="n"/>
      <c r="ALH379" s="50" t="n"/>
      <c r="ALI379" s="50" t="n"/>
      <c r="ALJ379" s="50" t="n"/>
      <c r="ALK379" s="50" t="n"/>
      <c r="ALL379" s="50" t="n"/>
      <c r="ALM379" s="50" t="n"/>
      <c r="ALN379" s="50" t="n"/>
      <c r="ALO379" s="50" t="n"/>
      <c r="ALP379" s="50" t="n"/>
      <c r="ALQ379" s="50" t="n"/>
      <c r="ALR379" s="50" t="n"/>
      <c r="ALS379" s="50" t="n"/>
      <c r="ALT379" s="56" t="n"/>
      <c r="ALU379" s="50" t="n"/>
      <c r="ALV379" s="53" t="n"/>
      <c r="ALW379" s="84" t="n"/>
      <c r="ALX379" s="85" t="n"/>
      <c r="ALY379" s="31" t="n"/>
      <c r="ALZ379" s="50" t="n"/>
      <c r="AMA379" s="50" t="n"/>
      <c r="AMB379" s="50" t="n"/>
      <c r="AMC379" s="50" t="n"/>
      <c r="AMD379" s="50" t="n"/>
      <c r="AME379" s="50" t="n"/>
      <c r="AMF379" s="50" t="n"/>
      <c r="AMG379" s="50" t="n"/>
      <c r="AMH379" s="50" t="n"/>
      <c r="AMI379" s="50" t="n"/>
      <c r="AMJ379" s="50" t="n"/>
      <c r="AMK379" s="50" t="n"/>
      <c r="AML379" s="50" t="n"/>
      <c r="AMM379" s="50" t="n"/>
      <c r="AMN379" s="50" t="n"/>
      <c r="AMO379" s="50" t="n"/>
      <c r="AMP379" s="50" t="n"/>
      <c r="AMQ379" s="50" t="n"/>
      <c r="AMR379" s="50" t="n"/>
      <c r="AMS379" s="50" t="n"/>
      <c r="AMT379" s="50" t="n"/>
      <c r="AMU379" s="50" t="n"/>
      <c r="AMV379" s="50" t="n"/>
      <c r="AMW379" s="50" t="n"/>
      <c r="AMX379" s="56" t="n"/>
      <c r="AMY379" s="50" t="n"/>
      <c r="AMZ379" s="53" t="n"/>
      <c r="ANA379" s="84" t="n"/>
      <c r="ANB379" s="85" t="n"/>
      <c r="ANC379" s="31" t="n"/>
      <c r="AND379" s="50" t="n"/>
      <c r="ANE379" s="50" t="n"/>
      <c r="ANF379" s="50" t="n"/>
      <c r="ANG379" s="50" t="n"/>
      <c r="ANH379" s="50" t="n"/>
      <c r="ANI379" s="50" t="n"/>
      <c r="ANJ379" s="50" t="n"/>
      <c r="ANK379" s="50" t="n"/>
      <c r="ANL379" s="50" t="n"/>
      <c r="ANM379" s="50" t="n"/>
      <c r="ANN379" s="50" t="n"/>
      <c r="ANO379" s="50" t="n"/>
      <c r="ANP379" s="50" t="n"/>
      <c r="ANQ379" s="50" t="n"/>
      <c r="ANR379" s="50" t="n"/>
      <c r="ANS379" s="50" t="n"/>
      <c r="ANT379" s="50" t="n"/>
      <c r="ANU379" s="50" t="n"/>
      <c r="ANV379" s="50" t="n"/>
      <c r="ANW379" s="50" t="n"/>
      <c r="ANX379" s="50" t="n"/>
      <c r="ANY379" s="50" t="n"/>
      <c r="ANZ379" s="50" t="n"/>
      <c r="AOA379" s="50" t="n"/>
      <c r="AOB379" s="56" t="n"/>
      <c r="AOC379" s="50" t="n"/>
      <c r="AOD379" s="53" t="n"/>
      <c r="AOE379" s="84" t="n"/>
      <c r="AOF379" s="85" t="n"/>
      <c r="AOG379" s="31" t="n"/>
      <c r="AOH379" s="50" t="n"/>
      <c r="AOI379" s="50" t="n"/>
      <c r="AOJ379" s="50" t="n"/>
      <c r="AOK379" s="50" t="n"/>
      <c r="AOL379" s="50" t="n"/>
      <c r="AOM379" s="50" t="n"/>
      <c r="AON379" s="50" t="n"/>
      <c r="AOO379" s="50" t="n"/>
      <c r="AOP379" s="50" t="n"/>
      <c r="AOQ379" s="50" t="n"/>
      <c r="AOR379" s="50" t="n"/>
      <c r="AOS379" s="50" t="n"/>
      <c r="AOT379" s="50" t="n"/>
      <c r="AOU379" s="50" t="n"/>
      <c r="AOV379" s="50" t="n"/>
      <c r="AOW379" s="50" t="n"/>
      <c r="AOX379" s="50" t="n"/>
      <c r="AOY379" s="50" t="n"/>
      <c r="AOZ379" s="50" t="n"/>
      <c r="APA379" s="50" t="n"/>
      <c r="APB379" s="50" t="n"/>
      <c r="APC379" s="50" t="n"/>
      <c r="APD379" s="50" t="n"/>
      <c r="APE379" s="50" t="n"/>
      <c r="APF379" s="56" t="n"/>
      <c r="APG379" s="50" t="n"/>
      <c r="APH379" s="53" t="n"/>
      <c r="API379" s="84" t="n"/>
      <c r="APJ379" s="85" t="n"/>
      <c r="APK379" s="31" t="n"/>
      <c r="APL379" s="50" t="n"/>
      <c r="APM379" s="50" t="n"/>
      <c r="APN379" s="50" t="n"/>
      <c r="APO379" s="50" t="n"/>
      <c r="APP379" s="50" t="n"/>
      <c r="APQ379" s="50" t="n"/>
      <c r="APR379" s="50" t="n"/>
      <c r="APS379" s="50" t="n"/>
      <c r="APT379" s="50" t="n"/>
      <c r="APU379" s="50" t="n"/>
      <c r="APV379" s="50" t="n"/>
      <c r="APW379" s="50" t="n"/>
      <c r="APX379" s="50" t="n"/>
      <c r="APY379" s="50" t="n"/>
      <c r="APZ379" s="50" t="n"/>
      <c r="AQA379" s="50" t="n"/>
      <c r="AQB379" s="50" t="n"/>
      <c r="AQC379" s="50" t="n"/>
      <c r="AQD379" s="50" t="n"/>
      <c r="AQE379" s="50" t="n"/>
      <c r="AQF379" s="50" t="n"/>
      <c r="AQG379" s="50" t="n"/>
      <c r="AQH379" s="50" t="n"/>
      <c r="AQI379" s="50" t="n"/>
      <c r="AQJ379" s="56" t="n"/>
      <c r="AQK379" s="50" t="n"/>
      <c r="AQL379" s="53" t="n"/>
      <c r="AQM379" s="84" t="n"/>
      <c r="AQN379" s="85" t="n"/>
      <c r="AQO379" s="31" t="n"/>
      <c r="AQP379" s="50" t="n"/>
      <c r="AQQ379" s="50" t="n"/>
      <c r="AQR379" s="50" t="n"/>
      <c r="AQS379" s="50" t="n"/>
      <c r="AQT379" s="50" t="n"/>
      <c r="AQU379" s="50" t="n"/>
      <c r="AQV379" s="50" t="n"/>
      <c r="AQW379" s="50" t="n"/>
      <c r="AQX379" s="50" t="n"/>
      <c r="AQY379" s="50" t="n"/>
      <c r="AQZ379" s="50" t="n"/>
      <c r="ARA379" s="50" t="n"/>
      <c r="ARB379" s="50" t="n"/>
      <c r="ARC379" s="50" t="n"/>
      <c r="ARD379" s="50" t="n"/>
      <c r="ARE379" s="50" t="n"/>
      <c r="ARF379" s="50" t="n"/>
      <c r="ARG379" s="50" t="n"/>
      <c r="ARH379" s="50" t="n"/>
      <c r="ARI379" s="50" t="n"/>
      <c r="ARJ379" s="50" t="n"/>
      <c r="ARK379" s="50" t="n"/>
      <c r="ARL379" s="50" t="n"/>
      <c r="ARM379" s="50" t="n"/>
      <c r="ARN379" s="56" t="n"/>
      <c r="ARO379" s="50" t="n"/>
      <c r="ARP379" s="53" t="n"/>
      <c r="ARQ379" s="84" t="n"/>
      <c r="ARR379" s="85" t="n"/>
      <c r="ARS379" s="31" t="n"/>
      <c r="ART379" s="50" t="n"/>
      <c r="ARU379" s="50" t="n"/>
      <c r="ARV379" s="50" t="n"/>
      <c r="ARW379" s="50" t="n"/>
      <c r="ARX379" s="50" t="n"/>
      <c r="ARY379" s="50" t="n"/>
      <c r="ARZ379" s="50" t="n"/>
      <c r="ASA379" s="50" t="n"/>
      <c r="ASB379" s="50" t="n"/>
      <c r="ASC379" s="50" t="n"/>
      <c r="ASD379" s="50" t="n"/>
      <c r="ASE379" s="50" t="n"/>
      <c r="ASF379" s="50" t="n"/>
      <c r="ASG379" s="50" t="n"/>
      <c r="ASH379" s="50" t="n"/>
      <c r="ASI379" s="50" t="n"/>
      <c r="ASJ379" s="50" t="n"/>
      <c r="ASK379" s="50" t="n"/>
      <c r="ASL379" s="50" t="n"/>
      <c r="ASM379" s="50" t="n"/>
      <c r="ASN379" s="50" t="n"/>
      <c r="ASO379" s="50" t="n"/>
      <c r="ASP379" s="50" t="n"/>
      <c r="ASQ379" s="50" t="n"/>
      <c r="ASR379" s="56" t="n"/>
      <c r="ASS379" s="50" t="n"/>
      <c r="AST379" s="53" t="n"/>
      <c r="ASU379" s="84" t="n"/>
      <c r="ASV379" s="85" t="n"/>
      <c r="ASW379" s="31" t="n"/>
      <c r="ASX379" s="50" t="n"/>
      <c r="ASY379" s="50" t="n"/>
      <c r="ASZ379" s="50" t="n"/>
      <c r="ATA379" s="50" t="n"/>
      <c r="ATB379" s="50" t="n"/>
      <c r="ATC379" s="50" t="n"/>
      <c r="ATD379" s="50" t="n"/>
      <c r="ATE379" s="50" t="n"/>
      <c r="ATF379" s="50" t="n"/>
      <c r="ATG379" s="50" t="n"/>
      <c r="ATH379" s="50" t="n"/>
      <c r="ATI379" s="50" t="n"/>
      <c r="ATJ379" s="50" t="n"/>
      <c r="ATK379" s="50" t="n"/>
      <c r="ATL379" s="50" t="n"/>
      <c r="ATM379" s="50" t="n"/>
      <c r="ATN379" s="50" t="n"/>
      <c r="ATO379" s="50" t="n"/>
      <c r="ATP379" s="50" t="n"/>
      <c r="ATQ379" s="50" t="n"/>
      <c r="ATR379" s="50" t="n"/>
      <c r="ATS379" s="50" t="n"/>
      <c r="ATT379" s="50" t="n"/>
      <c r="ATU379" s="50" t="n"/>
      <c r="ATV379" s="56" t="n"/>
      <c r="ATW379" s="50" t="n"/>
      <c r="ATX379" s="53" t="n"/>
      <c r="ATY379" s="84" t="n"/>
      <c r="ATZ379" s="85" t="n"/>
      <c r="AUA379" s="31" t="n"/>
      <c r="AUB379" s="50" t="n"/>
      <c r="AUC379" s="50" t="n"/>
      <c r="AUD379" s="50" t="n"/>
      <c r="AUE379" s="50" t="n"/>
      <c r="AUF379" s="50" t="n"/>
      <c r="AUG379" s="50" t="n"/>
      <c r="AUH379" s="50" t="n"/>
      <c r="AUI379" s="50" t="n"/>
      <c r="AUJ379" s="50" t="n"/>
      <c r="AUK379" s="50" t="n"/>
      <c r="AUL379" s="50" t="n"/>
      <c r="AUM379" s="50" t="n"/>
      <c r="AUN379" s="50" t="n"/>
      <c r="AUO379" s="50" t="n"/>
      <c r="AUP379" s="50" t="n"/>
      <c r="AUQ379" s="50" t="n"/>
      <c r="AUR379" s="50" t="n"/>
      <c r="AUS379" s="50" t="n"/>
      <c r="AUT379" s="50" t="n"/>
      <c r="AUU379" s="50" t="n"/>
      <c r="AUV379" s="50" t="n"/>
      <c r="AUW379" s="50" t="n"/>
      <c r="AUX379" s="50" t="n"/>
      <c r="AUY379" s="50" t="n"/>
      <c r="AUZ379" s="56" t="n"/>
      <c r="AVA379" s="50" t="n"/>
      <c r="AVB379" s="53" t="n"/>
      <c r="AVC379" s="84" t="n"/>
      <c r="AVD379" s="85" t="n"/>
      <c r="AVE379" s="31" t="n"/>
      <c r="AVF379" s="50" t="n"/>
      <c r="AVG379" s="50" t="n"/>
      <c r="AVH379" s="50" t="n"/>
      <c r="AVI379" s="50" t="n"/>
      <c r="AVJ379" s="50" t="n"/>
      <c r="AVK379" s="50" t="n"/>
      <c r="AVL379" s="50" t="n"/>
      <c r="AVM379" s="50" t="n"/>
      <c r="AVN379" s="50" t="n"/>
      <c r="AVO379" s="50" t="n"/>
      <c r="AVP379" s="50" t="n"/>
      <c r="AVQ379" s="50" t="n"/>
      <c r="AVR379" s="50" t="n"/>
      <c r="AVS379" s="50" t="n"/>
      <c r="AVT379" s="50" t="n"/>
      <c r="AVU379" s="50" t="n"/>
      <c r="AVV379" s="50" t="n"/>
      <c r="AVW379" s="50" t="n"/>
      <c r="AVX379" s="50" t="n"/>
      <c r="AVY379" s="50" t="n"/>
      <c r="AVZ379" s="50" t="n"/>
      <c r="AWA379" s="50" t="n"/>
      <c r="AWB379" s="50" t="n"/>
      <c r="AWC379" s="50" t="n"/>
      <c r="AWD379" s="56" t="n"/>
      <c r="AWE379" s="50" t="n"/>
      <c r="AWF379" s="53" t="n"/>
      <c r="AWG379" s="84" t="n"/>
      <c r="AWH379" s="85" t="n"/>
      <c r="AWI379" s="31" t="n"/>
      <c r="AWJ379" s="50" t="n"/>
      <c r="AWK379" s="50" t="n"/>
      <c r="AWL379" s="50" t="n"/>
      <c r="AWM379" s="50" t="n"/>
      <c r="AWN379" s="50" t="n"/>
      <c r="AWO379" s="50" t="n"/>
      <c r="AWP379" s="50" t="n"/>
      <c r="AWQ379" s="50" t="n"/>
      <c r="AWR379" s="50" t="n"/>
      <c r="AWS379" s="50" t="n"/>
      <c r="AWT379" s="50" t="n"/>
      <c r="AWU379" s="50" t="n"/>
      <c r="AWV379" s="50" t="n"/>
      <c r="AWW379" s="50" t="n"/>
      <c r="AWX379" s="50" t="n"/>
      <c r="AWY379" s="50" t="n"/>
      <c r="AWZ379" s="50" t="n"/>
      <c r="AXA379" s="50" t="n"/>
      <c r="AXB379" s="50" t="n"/>
      <c r="AXC379" s="50" t="n"/>
      <c r="AXD379" s="50" t="n"/>
      <c r="AXE379" s="50" t="n"/>
      <c r="AXF379" s="50" t="n"/>
      <c r="AXG379" s="50" t="n"/>
      <c r="AXH379" s="56" t="n"/>
      <c r="AXI379" s="50" t="n"/>
      <c r="AXJ379" s="53" t="n"/>
      <c r="AXK379" s="84" t="n"/>
      <c r="AXL379" s="85" t="n"/>
      <c r="AXM379" s="31" t="n"/>
      <c r="AXN379" s="50" t="n"/>
      <c r="AXO379" s="50" t="n"/>
      <c r="AXP379" s="50" t="n"/>
      <c r="AXQ379" s="50" t="n"/>
      <c r="AXR379" s="50" t="n"/>
      <c r="AXS379" s="50" t="n"/>
      <c r="AXT379" s="50" t="n"/>
      <c r="AXU379" s="50" t="n"/>
      <c r="AXV379" s="50" t="n"/>
      <c r="AXW379" s="50" t="n"/>
      <c r="AXX379" s="50" t="n"/>
      <c r="AXY379" s="50" t="n"/>
      <c r="AXZ379" s="50" t="n"/>
      <c r="AYA379" s="50" t="n"/>
      <c r="AYB379" s="50" t="n"/>
      <c r="AYC379" s="50" t="n"/>
      <c r="AYD379" s="50" t="n"/>
      <c r="AYE379" s="50" t="n"/>
      <c r="AYF379" s="50" t="n"/>
      <c r="AYG379" s="50" t="n"/>
      <c r="AYH379" s="50" t="n"/>
      <c r="AYI379" s="50" t="n"/>
      <c r="AYJ379" s="50" t="n"/>
      <c r="AYK379" s="50" t="n"/>
      <c r="AYL379" s="56" t="n"/>
      <c r="AYM379" s="50" t="n"/>
      <c r="AYN379" s="53" t="n"/>
      <c r="AYO379" s="84" t="n"/>
      <c r="AYP379" s="85" t="n"/>
      <c r="AYQ379" s="31" t="n"/>
      <c r="AYR379" s="50" t="n"/>
      <c r="AYS379" s="50" t="n"/>
      <c r="AYT379" s="50" t="n"/>
      <c r="AYU379" s="50" t="n"/>
      <c r="AYV379" s="50" t="n"/>
      <c r="AYW379" s="50" t="n"/>
      <c r="AYX379" s="50" t="n"/>
      <c r="AYY379" s="50" t="n"/>
      <c r="AYZ379" s="50" t="n"/>
      <c r="AZA379" s="50" t="n"/>
      <c r="AZB379" s="50" t="n"/>
      <c r="AZC379" s="50" t="n"/>
      <c r="AZD379" s="50" t="n"/>
      <c r="AZE379" s="50" t="n"/>
      <c r="AZF379" s="50" t="n"/>
      <c r="AZG379" s="50" t="n"/>
      <c r="AZH379" s="50" t="n"/>
      <c r="AZI379" s="50" t="n"/>
      <c r="AZJ379" s="50" t="n"/>
      <c r="AZK379" s="50" t="n"/>
      <c r="AZL379" s="50" t="n"/>
      <c r="AZM379" s="50" t="n"/>
      <c r="AZN379" s="50" t="n"/>
      <c r="AZO379" s="50" t="n"/>
      <c r="AZP379" s="56" t="n"/>
      <c r="AZQ379" s="50" t="n"/>
      <c r="AZR379" s="53" t="n"/>
      <c r="AZS379" s="84" t="n"/>
      <c r="AZT379" s="85" t="n"/>
      <c r="AZU379" s="31" t="n"/>
      <c r="AZV379" s="50" t="n"/>
      <c r="AZW379" s="50" t="n"/>
      <c r="AZX379" s="50" t="n"/>
      <c r="AZY379" s="50" t="n"/>
      <c r="AZZ379" s="50" t="n"/>
      <c r="BAA379" s="50" t="n"/>
      <c r="BAB379" s="50" t="n"/>
      <c r="BAC379" s="50" t="n"/>
      <c r="BAD379" s="50" t="n"/>
      <c r="BAE379" s="50" t="n"/>
      <c r="BAF379" s="50" t="n"/>
      <c r="BAG379" s="50" t="n"/>
      <c r="BAH379" s="50" t="n"/>
      <c r="BAI379" s="50" t="n"/>
      <c r="BAJ379" s="50" t="n"/>
      <c r="BAK379" s="50" t="n"/>
      <c r="BAL379" s="50" t="n"/>
      <c r="BAM379" s="50" t="n"/>
      <c r="BAN379" s="50" t="n"/>
      <c r="BAO379" s="50" t="n"/>
      <c r="BAP379" s="50" t="n"/>
      <c r="BAQ379" s="50" t="n"/>
      <c r="BAR379" s="50" t="n"/>
      <c r="BAS379" s="50" t="n"/>
      <c r="BAT379" s="56" t="n"/>
      <c r="BAU379" s="50" t="n"/>
      <c r="BAV379" s="53" t="n"/>
      <c r="BAW379" s="84" t="n"/>
      <c r="BAX379" s="85" t="n"/>
      <c r="BAY379" s="31" t="n"/>
      <c r="BAZ379" s="50" t="n"/>
      <c r="BBA379" s="50" t="n"/>
      <c r="BBB379" s="50" t="n"/>
      <c r="BBC379" s="50" t="n"/>
      <c r="BBD379" s="50" t="n"/>
      <c r="BBE379" s="50" t="n"/>
      <c r="BBF379" s="50" t="n"/>
      <c r="BBG379" s="50" t="n"/>
      <c r="BBH379" s="50" t="n"/>
      <c r="BBI379" s="50" t="n"/>
      <c r="BBJ379" s="50" t="n"/>
      <c r="BBK379" s="50" t="n"/>
      <c r="BBL379" s="50" t="n"/>
      <c r="BBM379" s="50" t="n"/>
      <c r="BBN379" s="50" t="n"/>
      <c r="BBO379" s="50" t="n"/>
      <c r="BBP379" s="50" t="n"/>
      <c r="BBQ379" s="50" t="n"/>
      <c r="BBR379" s="50" t="n"/>
      <c r="BBS379" s="50" t="n"/>
      <c r="BBT379" s="50" t="n"/>
      <c r="BBU379" s="50" t="n"/>
      <c r="BBV379" s="50" t="n"/>
      <c r="BBW379" s="50" t="n"/>
      <c r="BBX379" s="56" t="n"/>
      <c r="BBY379" s="50" t="n"/>
      <c r="BBZ379" s="53" t="n"/>
      <c r="BCA379" s="84" t="n"/>
      <c r="BCB379" s="85" t="n"/>
      <c r="BCC379" s="31" t="n"/>
      <c r="BCD379" s="50" t="n"/>
      <c r="BCE379" s="50" t="n"/>
      <c r="BCF379" s="50" t="n"/>
      <c r="BCG379" s="50" t="n"/>
      <c r="BCH379" s="50" t="n"/>
      <c r="BCI379" s="50" t="n"/>
      <c r="BCJ379" s="50" t="n"/>
      <c r="BCK379" s="50" t="n"/>
      <c r="BCL379" s="50" t="n"/>
      <c r="BCM379" s="50" t="n"/>
      <c r="BCN379" s="50" t="n"/>
      <c r="BCO379" s="50" t="n"/>
      <c r="BCP379" s="50" t="n"/>
      <c r="BCQ379" s="50" t="n"/>
      <c r="BCR379" s="50" t="n"/>
      <c r="BCS379" s="50" t="n"/>
      <c r="BCT379" s="50" t="n"/>
      <c r="BCU379" s="50" t="n"/>
      <c r="BCV379" s="50" t="n"/>
      <c r="BCW379" s="50" t="n"/>
      <c r="BCX379" s="50" t="n"/>
      <c r="BCY379" s="50" t="n"/>
      <c r="BCZ379" s="50" t="n"/>
      <c r="BDA379" s="50" t="n"/>
      <c r="BDB379" s="56" t="n"/>
      <c r="BDC379" s="50" t="n"/>
      <c r="BDD379" s="53" t="n"/>
      <c r="BDE379" s="84" t="n"/>
      <c r="BDF379" s="85" t="n"/>
      <c r="BDG379" s="31" t="n"/>
      <c r="BDH379" s="50" t="n"/>
      <c r="BDI379" s="50" t="n"/>
      <c r="BDJ379" s="50" t="n"/>
      <c r="BDK379" s="50" t="n"/>
      <c r="BDL379" s="50" t="n"/>
      <c r="BDM379" s="50" t="n"/>
      <c r="BDN379" s="50" t="n"/>
      <c r="BDO379" s="50" t="n"/>
      <c r="BDP379" s="50" t="n"/>
      <c r="BDQ379" s="50" t="n"/>
      <c r="BDR379" s="50" t="n"/>
      <c r="BDS379" s="50" t="n"/>
      <c r="BDT379" s="50" t="n"/>
      <c r="BDU379" s="50" t="n"/>
      <c r="BDV379" s="50" t="n"/>
      <c r="BDW379" s="50" t="n"/>
      <c r="BDX379" s="50" t="n"/>
      <c r="BDY379" s="50" t="n"/>
      <c r="BDZ379" s="50" t="n"/>
      <c r="BEA379" s="50" t="n"/>
      <c r="BEB379" s="50" t="n"/>
      <c r="BEC379" s="50" t="n"/>
      <c r="BED379" s="50" t="n"/>
      <c r="BEE379" s="50" t="n"/>
      <c r="BEF379" s="56" t="n"/>
      <c r="BEG379" s="50" t="n"/>
      <c r="BEH379" s="53" t="n"/>
      <c r="BEI379" s="84" t="n"/>
      <c r="BEJ379" s="85" t="n"/>
      <c r="BEK379" s="31" t="n"/>
      <c r="BEL379" s="50" t="n"/>
      <c r="BEM379" s="50" t="n"/>
      <c r="BEN379" s="50" t="n"/>
      <c r="BEO379" s="50" t="n"/>
      <c r="BEP379" s="50" t="n"/>
      <c r="BEQ379" s="50" t="n"/>
      <c r="BER379" s="50" t="n"/>
      <c r="BES379" s="50" t="n"/>
      <c r="BET379" s="50" t="n"/>
      <c r="BEU379" s="50" t="n"/>
      <c r="BEV379" s="50" t="n"/>
      <c r="BEW379" s="50" t="n"/>
      <c r="BEX379" s="50" t="n"/>
      <c r="BEY379" s="50" t="n"/>
      <c r="BEZ379" s="50" t="n"/>
      <c r="BFA379" s="50" t="n"/>
      <c r="BFB379" s="50" t="n"/>
      <c r="BFC379" s="50" t="n"/>
      <c r="BFD379" s="50" t="n"/>
      <c r="BFE379" s="50" t="n"/>
      <c r="BFF379" s="50" t="n"/>
      <c r="BFG379" s="50" t="n"/>
      <c r="BFH379" s="50" t="n"/>
      <c r="BFI379" s="50" t="n"/>
      <c r="BFJ379" s="56" t="n"/>
      <c r="BFK379" s="50" t="n"/>
      <c r="BFL379" s="53" t="n"/>
      <c r="BFM379" s="84" t="n"/>
      <c r="BFN379" s="85" t="n"/>
      <c r="BFO379" s="31" t="n"/>
      <c r="BFP379" s="50" t="n"/>
      <c r="BFQ379" s="50" t="n"/>
      <c r="BFR379" s="50" t="n"/>
      <c r="BFS379" s="50" t="n"/>
      <c r="BFT379" s="50" t="n"/>
      <c r="BFU379" s="50" t="n"/>
      <c r="BFV379" s="50" t="n"/>
      <c r="BFW379" s="50" t="n"/>
      <c r="BFX379" s="50" t="n"/>
      <c r="BFY379" s="50" t="n"/>
      <c r="BFZ379" s="50" t="n"/>
      <c r="BGA379" s="50" t="n"/>
      <c r="BGB379" s="50" t="n"/>
      <c r="BGC379" s="50" t="n"/>
      <c r="BGD379" s="50" t="n"/>
      <c r="BGE379" s="50" t="n"/>
      <c r="BGF379" s="50" t="n"/>
      <c r="BGG379" s="50" t="n"/>
      <c r="BGH379" s="50" t="n"/>
      <c r="BGI379" s="50" t="n"/>
      <c r="BGJ379" s="50" t="n"/>
      <c r="BGK379" s="50" t="n"/>
      <c r="BGL379" s="50" t="n"/>
      <c r="BGM379" s="50" t="n"/>
      <c r="BGN379" s="56" t="n"/>
      <c r="BGO379" s="50" t="n"/>
      <c r="BGP379" s="53" t="n"/>
      <c r="BGQ379" s="84" t="n"/>
      <c r="BGR379" s="85" t="n"/>
      <c r="BGS379" s="31" t="n"/>
      <c r="BGT379" s="50" t="n"/>
      <c r="BGU379" s="50" t="n"/>
      <c r="BGV379" s="50" t="n"/>
      <c r="BGW379" s="50" t="n"/>
      <c r="BGX379" s="50" t="n"/>
      <c r="BGY379" s="50" t="n"/>
      <c r="BGZ379" s="50" t="n"/>
      <c r="BHA379" s="50" t="n"/>
      <c r="BHB379" s="50" t="n"/>
      <c r="BHC379" s="50" t="n"/>
      <c r="BHD379" s="50" t="n"/>
      <c r="BHE379" s="50" t="n"/>
      <c r="BHF379" s="50" t="n"/>
      <c r="BHG379" s="50" t="n"/>
      <c r="BHH379" s="50" t="n"/>
      <c r="BHI379" s="50" t="n"/>
      <c r="BHJ379" s="50" t="n"/>
      <c r="BHK379" s="50" t="n"/>
      <c r="BHL379" s="50" t="n"/>
      <c r="BHM379" s="50" t="n"/>
      <c r="BHN379" s="50" t="n"/>
      <c r="BHO379" s="50" t="n"/>
      <c r="BHP379" s="50" t="n"/>
      <c r="BHQ379" s="50" t="n"/>
      <c r="BHR379" s="56" t="n"/>
      <c r="BHS379" s="50" t="n"/>
      <c r="BHT379" s="53" t="n"/>
      <c r="BHU379" s="84" t="n"/>
      <c r="BHV379" s="85" t="n"/>
      <c r="BHW379" s="31" t="n"/>
      <c r="BHX379" s="50" t="n"/>
      <c r="BHY379" s="50" t="n"/>
      <c r="BHZ379" s="50" t="n"/>
      <c r="BIA379" s="50" t="n"/>
      <c r="BIB379" s="50" t="n"/>
      <c r="BIC379" s="50" t="n"/>
      <c r="BID379" s="50" t="n"/>
      <c r="BIE379" s="50" t="n"/>
      <c r="BIF379" s="50" t="n"/>
      <c r="BIG379" s="50" t="n"/>
      <c r="BIH379" s="50" t="n"/>
      <c r="BII379" s="50" t="n"/>
      <c r="BIJ379" s="50" t="n"/>
      <c r="BIK379" s="50" t="n"/>
      <c r="BIL379" s="50" t="n"/>
      <c r="BIM379" s="50" t="n"/>
      <c r="BIN379" s="50" t="n"/>
      <c r="BIO379" s="50" t="n"/>
      <c r="BIP379" s="50" t="n"/>
      <c r="BIQ379" s="50" t="n"/>
      <c r="BIR379" s="50" t="n"/>
      <c r="BIS379" s="50" t="n"/>
      <c r="BIT379" s="50" t="n"/>
      <c r="BIU379" s="50" t="n"/>
      <c r="BIV379" s="56" t="n"/>
      <c r="BIW379" s="50" t="n"/>
      <c r="BIX379" s="53" t="n"/>
      <c r="BIY379" s="84" t="n"/>
      <c r="BIZ379" s="85" t="n"/>
      <c r="BJA379" s="31" t="n"/>
      <c r="BJB379" s="50" t="n"/>
      <c r="BJC379" s="50" t="n"/>
      <c r="BJD379" s="50" t="n"/>
      <c r="BJE379" s="50" t="n"/>
      <c r="BJF379" s="50" t="n"/>
      <c r="BJG379" s="50" t="n"/>
      <c r="BJH379" s="50" t="n"/>
      <c r="BJI379" s="50" t="n"/>
      <c r="BJJ379" s="50" t="n"/>
      <c r="BJK379" s="50" t="n"/>
      <c r="BJL379" s="50" t="n"/>
      <c r="BJM379" s="50" t="n"/>
      <c r="BJN379" s="50" t="n"/>
      <c r="BJO379" s="50" t="n"/>
      <c r="BJP379" s="50" t="n"/>
      <c r="BJQ379" s="50" t="n"/>
      <c r="BJR379" s="50" t="n"/>
      <c r="BJS379" s="50" t="n"/>
      <c r="BJT379" s="50" t="n"/>
      <c r="BJU379" s="50" t="n"/>
      <c r="BJV379" s="50" t="n"/>
      <c r="BJW379" s="50" t="n"/>
      <c r="BJX379" s="50" t="n"/>
      <c r="BJY379" s="50" t="n"/>
      <c r="BJZ379" s="56" t="n"/>
      <c r="BKA379" s="50" t="n"/>
      <c r="BKB379" s="53" t="n"/>
      <c r="BKC379" s="84" t="n"/>
      <c r="BKD379" s="85" t="n"/>
      <c r="BKE379" s="31" t="n"/>
      <c r="BKF379" s="50" t="n"/>
      <c r="BKG379" s="50" t="n"/>
      <c r="BKH379" s="50" t="n"/>
      <c r="BKI379" s="50" t="n"/>
      <c r="BKJ379" s="50" t="n"/>
      <c r="BKK379" s="50" t="n"/>
      <c r="BKL379" s="50" t="n"/>
      <c r="BKM379" s="50" t="n"/>
      <c r="BKN379" s="50" t="n"/>
      <c r="BKO379" s="50" t="n"/>
      <c r="BKP379" s="50" t="n"/>
      <c r="BKQ379" s="50" t="n"/>
      <c r="BKR379" s="50" t="n"/>
      <c r="BKS379" s="50" t="n"/>
      <c r="BKT379" s="50" t="n"/>
      <c r="BKU379" s="50" t="n"/>
      <c r="BKV379" s="50" t="n"/>
      <c r="BKW379" s="50" t="n"/>
      <c r="BKX379" s="50" t="n"/>
      <c r="BKY379" s="50" t="n"/>
      <c r="BKZ379" s="50" t="n"/>
      <c r="BLA379" s="50" t="n"/>
      <c r="BLB379" s="50" t="n"/>
      <c r="BLC379" s="50" t="n"/>
      <c r="BLD379" s="56" t="n"/>
      <c r="BLE379" s="50" t="n"/>
      <c r="BLF379" s="53" t="n"/>
      <c r="BLG379" s="84" t="n"/>
      <c r="BLH379" s="85" t="n"/>
      <c r="BLI379" s="31" t="n"/>
      <c r="BLJ379" s="50" t="n"/>
      <c r="BLK379" s="50" t="n"/>
      <c r="BLL379" s="50" t="n"/>
      <c r="BLM379" s="50" t="n"/>
      <c r="BLN379" s="50" t="n"/>
      <c r="BLO379" s="50" t="n"/>
      <c r="BLP379" s="50" t="n"/>
      <c r="BLQ379" s="50" t="n"/>
      <c r="BLR379" s="50" t="n"/>
      <c r="BLS379" s="50" t="n"/>
      <c r="BLT379" s="50" t="n"/>
      <c r="BLU379" s="50" t="n"/>
      <c r="BLV379" s="50" t="n"/>
      <c r="BLW379" s="50" t="n"/>
      <c r="BLX379" s="50" t="n"/>
      <c r="BLY379" s="50" t="n"/>
      <c r="BLZ379" s="50" t="n"/>
      <c r="BMA379" s="50" t="n"/>
      <c r="BMB379" s="50" t="n"/>
      <c r="BMC379" s="50" t="n"/>
      <c r="BMD379" s="50" t="n"/>
      <c r="BME379" s="50" t="n"/>
      <c r="BMF379" s="50" t="n"/>
      <c r="BMG379" s="50" t="n"/>
      <c r="BMH379" s="56" t="n"/>
      <c r="BMI379" s="50" t="n"/>
      <c r="BMJ379" s="53" t="n"/>
      <c r="BMK379" s="84" t="n"/>
      <c r="BML379" s="85" t="n"/>
      <c r="BMM379" s="31" t="n"/>
      <c r="BMN379" s="50" t="n"/>
      <c r="BMO379" s="50" t="n"/>
      <c r="BMP379" s="50" t="n"/>
      <c r="BMQ379" s="50" t="n"/>
      <c r="BMR379" s="50" t="n"/>
      <c r="BMS379" s="50" t="n"/>
      <c r="BMT379" s="50" t="n"/>
      <c r="BMU379" s="50" t="n"/>
      <c r="BMV379" s="50" t="n"/>
      <c r="BMW379" s="50" t="n"/>
      <c r="BMX379" s="50" t="n"/>
      <c r="BMY379" s="50" t="n"/>
      <c r="BMZ379" s="50" t="n"/>
      <c r="BNA379" s="50" t="n"/>
      <c r="BNB379" s="50" t="n"/>
      <c r="BNC379" s="50" t="n"/>
      <c r="BND379" s="50" t="n"/>
      <c r="BNE379" s="50" t="n"/>
      <c r="BNF379" s="50" t="n"/>
      <c r="BNG379" s="50" t="n"/>
      <c r="BNH379" s="50" t="n"/>
      <c r="BNI379" s="50" t="n"/>
      <c r="BNJ379" s="50" t="n"/>
      <c r="BNK379" s="50" t="n"/>
      <c r="BNL379" s="56" t="n"/>
      <c r="BNM379" s="50" t="n"/>
      <c r="BNN379" s="53" t="n"/>
      <c r="BNO379" s="84" t="n"/>
      <c r="BNP379" s="85" t="n"/>
      <c r="BNQ379" s="31" t="n"/>
      <c r="BNR379" s="50" t="n"/>
      <c r="BNS379" s="50" t="n"/>
      <c r="BNT379" s="50" t="n"/>
      <c r="BNU379" s="50" t="n"/>
      <c r="BNV379" s="50" t="n"/>
      <c r="BNW379" s="50" t="n"/>
      <c r="BNX379" s="50" t="n"/>
      <c r="BNY379" s="50" t="n"/>
      <c r="BNZ379" s="50" t="n"/>
      <c r="BOA379" s="50" t="n"/>
      <c r="BOB379" s="50" t="n"/>
      <c r="BOC379" s="50" t="n"/>
      <c r="BOD379" s="50" t="n"/>
      <c r="BOE379" s="50" t="n"/>
      <c r="BOF379" s="50" t="n"/>
      <c r="BOG379" s="50" t="n"/>
      <c r="BOH379" s="50" t="n"/>
      <c r="BOI379" s="50" t="n"/>
      <c r="BOJ379" s="50" t="n"/>
      <c r="BOK379" s="50" t="n"/>
      <c r="BOL379" s="50" t="n"/>
      <c r="BOM379" s="50" t="n"/>
      <c r="BON379" s="50" t="n"/>
      <c r="BOO379" s="50" t="n"/>
      <c r="BOP379" s="56" t="n"/>
      <c r="BOQ379" s="50" t="n"/>
      <c r="BOR379" s="53" t="n"/>
      <c r="BOS379" s="84" t="n"/>
      <c r="BOT379" s="85" t="n"/>
      <c r="BOU379" s="31" t="n"/>
      <c r="BOV379" s="50" t="n"/>
      <c r="BOW379" s="50" t="n"/>
      <c r="BOX379" s="50" t="n"/>
      <c r="BOY379" s="50" t="n"/>
      <c r="BOZ379" s="50" t="n"/>
      <c r="BPA379" s="50" t="n"/>
      <c r="BPB379" s="50" t="n"/>
      <c r="BPC379" s="50" t="n"/>
      <c r="BPD379" s="50" t="n"/>
      <c r="BPE379" s="50" t="n"/>
      <c r="BPF379" s="50" t="n"/>
      <c r="BPG379" s="50" t="n"/>
      <c r="BPH379" s="50" t="n"/>
      <c r="BPI379" s="50" t="n"/>
      <c r="BPJ379" s="50" t="n"/>
      <c r="BPK379" s="50" t="n"/>
      <c r="BPL379" s="50" t="n"/>
      <c r="BPM379" s="50" t="n"/>
      <c r="BPN379" s="50" t="n"/>
      <c r="BPO379" s="50" t="n"/>
      <c r="BPP379" s="50" t="n"/>
      <c r="BPQ379" s="50" t="n"/>
      <c r="BPR379" s="50" t="n"/>
      <c r="BPS379" s="50" t="n"/>
      <c r="BPT379" s="56" t="n"/>
      <c r="BPU379" s="50" t="n"/>
      <c r="BPV379" s="53" t="n"/>
      <c r="BPW379" s="84" t="n"/>
      <c r="BPX379" s="85" t="n"/>
      <c r="BPY379" s="31" t="n"/>
      <c r="BPZ379" s="50" t="n"/>
      <c r="BQA379" s="50" t="n"/>
      <c r="BQB379" s="50" t="n"/>
      <c r="BQC379" s="50" t="n"/>
      <c r="BQD379" s="50" t="n"/>
      <c r="BQE379" s="50" t="n"/>
      <c r="BQF379" s="50" t="n"/>
      <c r="BQG379" s="50" t="n"/>
      <c r="BQH379" s="50" t="n"/>
      <c r="BQI379" s="50" t="n"/>
      <c r="BQJ379" s="50" t="n"/>
      <c r="BQK379" s="50" t="n"/>
      <c r="BQL379" s="50" t="n"/>
      <c r="BQM379" s="50" t="n"/>
      <c r="BQN379" s="50" t="n"/>
      <c r="BQO379" s="50" t="n"/>
      <c r="BQP379" s="50" t="n"/>
      <c r="BQQ379" s="50" t="n"/>
      <c r="BQR379" s="50" t="n"/>
      <c r="BQS379" s="50" t="n"/>
      <c r="BQT379" s="50" t="n"/>
      <c r="BQU379" s="50" t="n"/>
      <c r="BQV379" s="50" t="n"/>
      <c r="BQW379" s="50" t="n"/>
      <c r="BQX379" s="56" t="n"/>
      <c r="BQY379" s="50" t="n"/>
      <c r="BQZ379" s="53" t="n"/>
      <c r="BRA379" s="84" t="n"/>
      <c r="BRB379" s="85" t="n"/>
      <c r="BRC379" s="31" t="n"/>
      <c r="BRD379" s="50" t="n"/>
      <c r="BRE379" s="50" t="n"/>
      <c r="BRF379" s="50" t="n"/>
      <c r="BRG379" s="50" t="n"/>
      <c r="BRH379" s="50" t="n"/>
      <c r="BRI379" s="50" t="n"/>
      <c r="BRJ379" s="50" t="n"/>
      <c r="BRK379" s="50" t="n"/>
      <c r="BRL379" s="50" t="n"/>
      <c r="BRM379" s="50" t="n"/>
      <c r="BRN379" s="50" t="n"/>
      <c r="BRO379" s="50" t="n"/>
      <c r="BRP379" s="50" t="n"/>
      <c r="BRQ379" s="50" t="n"/>
      <c r="BRR379" s="50" t="n"/>
      <c r="BRS379" s="50" t="n"/>
      <c r="BRT379" s="50" t="n"/>
      <c r="BRU379" s="50" t="n"/>
      <c r="BRV379" s="50" t="n"/>
      <c r="BRW379" s="50" t="n"/>
      <c r="BRX379" s="50" t="n"/>
      <c r="BRY379" s="50" t="n"/>
      <c r="BRZ379" s="50" t="n"/>
      <c r="BSA379" s="50" t="n"/>
      <c r="BSB379" s="56" t="n"/>
      <c r="BSC379" s="50" t="n"/>
      <c r="BSD379" s="53" t="n"/>
      <c r="BSE379" s="84" t="n"/>
      <c r="BSF379" s="85" t="n"/>
      <c r="BSG379" s="31" t="n"/>
      <c r="BSH379" s="50" t="n"/>
      <c r="BSI379" s="50" t="n"/>
      <c r="BSJ379" s="50" t="n"/>
      <c r="BSK379" s="50" t="n"/>
      <c r="BSL379" s="50" t="n"/>
      <c r="BSM379" s="50" t="n"/>
      <c r="BSN379" s="50" t="n"/>
      <c r="BSO379" s="50" t="n"/>
      <c r="BSP379" s="50" t="n"/>
      <c r="BSQ379" s="50" t="n"/>
      <c r="BSR379" s="50" t="n"/>
      <c r="BSS379" s="50" t="n"/>
      <c r="BST379" s="50" t="n"/>
      <c r="BSU379" s="50" t="n"/>
      <c r="BSV379" s="50" t="n"/>
      <c r="BSW379" s="50" t="n"/>
      <c r="BSX379" s="50" t="n"/>
      <c r="BSY379" s="50" t="n"/>
      <c r="BSZ379" s="50" t="n"/>
      <c r="BTA379" s="50" t="n"/>
      <c r="BTB379" s="50" t="n"/>
      <c r="BTC379" s="50" t="n"/>
      <c r="BTD379" s="50" t="n"/>
      <c r="BTE379" s="50" t="n"/>
      <c r="BTF379" s="56" t="n"/>
      <c r="BTG379" s="50" t="n"/>
      <c r="BTH379" s="53" t="n"/>
      <c r="BTI379" s="84" t="n"/>
      <c r="BTJ379" s="85" t="n"/>
      <c r="BTK379" s="31" t="n"/>
      <c r="BTL379" s="50" t="n"/>
      <c r="BTM379" s="50" t="n"/>
      <c r="BTN379" s="50" t="n"/>
      <c r="BTO379" s="50" t="n"/>
      <c r="BTP379" s="50" t="n"/>
      <c r="BTQ379" s="50" t="n"/>
      <c r="BTR379" s="50" t="n"/>
      <c r="BTS379" s="50" t="n"/>
      <c r="BTT379" s="50" t="n"/>
      <c r="BTU379" s="50" t="n"/>
      <c r="BTV379" s="50" t="n"/>
      <c r="BTW379" s="50" t="n"/>
      <c r="BTX379" s="50" t="n"/>
      <c r="BTY379" s="50" t="n"/>
      <c r="BTZ379" s="50" t="n"/>
      <c r="BUA379" s="50" t="n"/>
      <c r="BUB379" s="50" t="n"/>
      <c r="BUC379" s="50" t="n"/>
      <c r="BUD379" s="50" t="n"/>
      <c r="BUE379" s="50" t="n"/>
      <c r="BUF379" s="50" t="n"/>
      <c r="BUG379" s="50" t="n"/>
      <c r="BUH379" s="50" t="n"/>
      <c r="BUI379" s="50" t="n"/>
      <c r="BUJ379" s="56" t="n"/>
      <c r="BUK379" s="50" t="n"/>
      <c r="BUL379" s="53" t="n"/>
      <c r="BUM379" s="84" t="n"/>
      <c r="BUN379" s="85" t="n"/>
      <c r="BUO379" s="31" t="n"/>
      <c r="BUP379" s="50" t="n"/>
      <c r="BUQ379" s="50" t="n"/>
      <c r="BUR379" s="50" t="n"/>
      <c r="BUS379" s="50" t="n"/>
      <c r="BUT379" s="50" t="n"/>
      <c r="BUU379" s="50" t="n"/>
      <c r="BUV379" s="50" t="n"/>
      <c r="BUW379" s="50" t="n"/>
      <c r="BUX379" s="50" t="n"/>
      <c r="BUY379" s="50" t="n"/>
      <c r="BUZ379" s="50" t="n"/>
      <c r="BVA379" s="50" t="n"/>
      <c r="BVB379" s="50" t="n"/>
      <c r="BVC379" s="50" t="n"/>
      <c r="BVD379" s="50" t="n"/>
      <c r="BVE379" s="50" t="n"/>
      <c r="BVF379" s="50" t="n"/>
      <c r="BVG379" s="50" t="n"/>
      <c r="BVH379" s="50" t="n"/>
      <c r="BVI379" s="50" t="n"/>
      <c r="BVJ379" s="50" t="n"/>
      <c r="BVK379" s="50" t="n"/>
      <c r="BVL379" s="50" t="n"/>
      <c r="BVM379" s="50" t="n"/>
      <c r="BVN379" s="56" t="n"/>
      <c r="BVO379" s="50" t="n"/>
      <c r="BVP379" s="53" t="n"/>
      <c r="BVQ379" s="84" t="n"/>
      <c r="BVR379" s="85" t="n"/>
      <c r="BVS379" s="31" t="n"/>
      <c r="BVT379" s="50" t="n"/>
      <c r="BVU379" s="50" t="n"/>
      <c r="BVV379" s="50" t="n"/>
      <c r="BVW379" s="50" t="n"/>
      <c r="BVX379" s="50" t="n"/>
      <c r="BVY379" s="50" t="n"/>
      <c r="BVZ379" s="50" t="n"/>
      <c r="BWA379" s="50" t="n"/>
      <c r="BWB379" s="50" t="n"/>
      <c r="BWC379" s="50" t="n"/>
      <c r="BWD379" s="50" t="n"/>
      <c r="BWE379" s="50" t="n"/>
      <c r="BWF379" s="50" t="n"/>
      <c r="BWG379" s="50" t="n"/>
      <c r="BWH379" s="50" t="n"/>
      <c r="BWI379" s="50" t="n"/>
      <c r="BWJ379" s="50" t="n"/>
      <c r="BWK379" s="50" t="n"/>
      <c r="BWL379" s="50" t="n"/>
      <c r="BWM379" s="50" t="n"/>
      <c r="BWN379" s="50" t="n"/>
      <c r="BWO379" s="50" t="n"/>
      <c r="BWP379" s="50" t="n"/>
      <c r="BWQ379" s="50" t="n"/>
      <c r="BWR379" s="56" t="n"/>
      <c r="BWS379" s="50" t="n"/>
      <c r="BWT379" s="53" t="n"/>
      <c r="BWU379" s="84" t="n"/>
      <c r="BWV379" s="85" t="n"/>
      <c r="BWW379" s="31" t="n"/>
      <c r="BWX379" s="50" t="n"/>
      <c r="BWY379" s="50" t="n"/>
      <c r="BWZ379" s="50" t="n"/>
      <c r="BXA379" s="50" t="n"/>
      <c r="BXB379" s="50" t="n"/>
      <c r="BXC379" s="50" t="n"/>
      <c r="BXD379" s="50" t="n"/>
      <c r="BXE379" s="50" t="n"/>
      <c r="BXF379" s="50" t="n"/>
      <c r="BXG379" s="50" t="n"/>
      <c r="BXH379" s="50" t="n"/>
      <c r="BXI379" s="50" t="n"/>
      <c r="BXJ379" s="50" t="n"/>
      <c r="BXK379" s="50" t="n"/>
      <c r="BXL379" s="50" t="n"/>
      <c r="BXM379" s="50" t="n"/>
      <c r="BXN379" s="50" t="n"/>
      <c r="BXO379" s="50" t="n"/>
      <c r="BXP379" s="50" t="n"/>
      <c r="BXQ379" s="50" t="n"/>
      <c r="BXR379" s="50" t="n"/>
      <c r="BXS379" s="50" t="n"/>
      <c r="BXT379" s="50" t="n"/>
      <c r="BXU379" s="50" t="n"/>
      <c r="BXV379" s="56" t="n"/>
      <c r="BXW379" s="50" t="n"/>
      <c r="BXX379" s="53" t="n"/>
      <c r="BXY379" s="84" t="n"/>
      <c r="BXZ379" s="85" t="n"/>
      <c r="BYA379" s="31" t="n"/>
      <c r="BYB379" s="50" t="n"/>
      <c r="BYC379" s="50" t="n"/>
      <c r="BYD379" s="50" t="n"/>
      <c r="BYE379" s="50" t="n"/>
      <c r="BYF379" s="50" t="n"/>
      <c r="BYG379" s="50" t="n"/>
      <c r="BYH379" s="50" t="n"/>
      <c r="BYI379" s="50" t="n"/>
      <c r="BYJ379" s="50" t="n"/>
      <c r="BYK379" s="50" t="n"/>
      <c r="BYL379" s="50" t="n"/>
      <c r="BYM379" s="50" t="n"/>
      <c r="BYN379" s="50" t="n"/>
      <c r="BYO379" s="50" t="n"/>
      <c r="BYP379" s="50" t="n"/>
      <c r="BYQ379" s="50" t="n"/>
      <c r="BYR379" s="50" t="n"/>
      <c r="BYS379" s="50" t="n"/>
      <c r="BYT379" s="50" t="n"/>
      <c r="BYU379" s="50" t="n"/>
      <c r="BYV379" s="50" t="n"/>
      <c r="BYW379" s="50" t="n"/>
      <c r="BYX379" s="50" t="n"/>
      <c r="BYY379" s="50" t="n"/>
      <c r="BYZ379" s="56" t="n"/>
      <c r="BZA379" s="50" t="n"/>
      <c r="BZB379" s="53" t="n"/>
      <c r="BZC379" s="84" t="n"/>
      <c r="BZD379" s="85" t="n"/>
      <c r="BZE379" s="31" t="n"/>
      <c r="BZF379" s="50" t="n"/>
      <c r="BZG379" s="50" t="n"/>
      <c r="BZH379" s="50" t="n"/>
      <c r="BZI379" s="50" t="n"/>
      <c r="BZJ379" s="50" t="n"/>
      <c r="BZK379" s="50" t="n"/>
      <c r="BZL379" s="50" t="n"/>
      <c r="BZM379" s="50" t="n"/>
      <c r="BZN379" s="50" t="n"/>
      <c r="BZO379" s="50" t="n"/>
      <c r="BZP379" s="50" t="n"/>
      <c r="BZQ379" s="50" t="n"/>
      <c r="BZR379" s="50" t="n"/>
      <c r="BZS379" s="50" t="n"/>
      <c r="BZT379" s="50" t="n"/>
      <c r="BZU379" s="50" t="n"/>
      <c r="BZV379" s="50" t="n"/>
      <c r="BZW379" s="50" t="n"/>
      <c r="BZX379" s="50" t="n"/>
      <c r="BZY379" s="50" t="n"/>
      <c r="BZZ379" s="50" t="n"/>
      <c r="CAA379" s="50" t="n"/>
      <c r="CAB379" s="50" t="n"/>
      <c r="CAC379" s="50" t="n"/>
      <c r="CAD379" s="56" t="n"/>
      <c r="CAE379" s="50" t="n"/>
      <c r="CAF379" s="53" t="n"/>
      <c r="CAG379" s="84" t="n"/>
      <c r="CAH379" s="85" t="n"/>
      <c r="CAI379" s="31" t="n"/>
      <c r="CAJ379" s="50" t="n"/>
      <c r="CAK379" s="50" t="n"/>
      <c r="CAL379" s="50" t="n"/>
      <c r="CAM379" s="50" t="n"/>
      <c r="CAN379" s="50" t="n"/>
      <c r="CAO379" s="50" t="n"/>
      <c r="CAP379" s="50" t="n"/>
      <c r="CAQ379" s="50" t="n"/>
      <c r="CAR379" s="50" t="n"/>
      <c r="CAS379" s="50" t="n"/>
      <c r="CAT379" s="50" t="n"/>
      <c r="CAU379" s="50" t="n"/>
      <c r="CAV379" s="50" t="n"/>
      <c r="CAW379" s="50" t="n"/>
      <c r="CAX379" s="50" t="n"/>
      <c r="CAY379" s="50" t="n"/>
      <c r="CAZ379" s="50" t="n"/>
      <c r="CBA379" s="50" t="n"/>
      <c r="CBB379" s="50" t="n"/>
      <c r="CBC379" s="50" t="n"/>
      <c r="CBD379" s="50" t="n"/>
      <c r="CBE379" s="50" t="n"/>
      <c r="CBF379" s="50" t="n"/>
      <c r="CBG379" s="50" t="n"/>
      <c r="CBH379" s="56" t="n"/>
      <c r="CBI379" s="50" t="n"/>
      <c r="CBJ379" s="53" t="n"/>
      <c r="CBK379" s="84" t="n"/>
      <c r="CBL379" s="85" t="n"/>
      <c r="CBM379" s="31" t="n"/>
      <c r="CBN379" s="50" t="n"/>
      <c r="CBO379" s="50" t="n"/>
      <c r="CBP379" s="50" t="n"/>
      <c r="CBQ379" s="50" t="n"/>
      <c r="CBR379" s="50" t="n"/>
      <c r="CBS379" s="50" t="n"/>
      <c r="CBT379" s="50" t="n"/>
      <c r="CBU379" s="50" t="n"/>
      <c r="CBV379" s="50" t="n"/>
      <c r="CBW379" s="50" t="n"/>
      <c r="CBX379" s="50" t="n"/>
      <c r="CBY379" s="50" t="n"/>
      <c r="CBZ379" s="50" t="n"/>
      <c r="CCA379" s="50" t="n"/>
      <c r="CCB379" s="50" t="n"/>
      <c r="CCC379" s="50" t="n"/>
      <c r="CCD379" s="50" t="n"/>
      <c r="CCE379" s="50" t="n"/>
      <c r="CCF379" s="50" t="n"/>
      <c r="CCG379" s="50" t="n"/>
      <c r="CCH379" s="50" t="n"/>
      <c r="CCI379" s="50" t="n"/>
      <c r="CCJ379" s="50" t="n"/>
      <c r="CCK379" s="50" t="n"/>
      <c r="CCL379" s="56" t="n"/>
      <c r="CCM379" s="50" t="n"/>
      <c r="CCN379" s="53" t="n"/>
      <c r="CCO379" s="84" t="n"/>
      <c r="CCP379" s="85" t="n"/>
      <c r="CCQ379" s="31" t="n"/>
      <c r="CCR379" s="50" t="n"/>
      <c r="CCS379" s="50" t="n"/>
      <c r="CCT379" s="50" t="n"/>
      <c r="CCU379" s="50" t="n"/>
      <c r="CCV379" s="50" t="n"/>
      <c r="CCW379" s="50" t="n"/>
      <c r="CCX379" s="50" t="n"/>
      <c r="CCY379" s="50" t="n"/>
      <c r="CCZ379" s="50" t="n"/>
      <c r="CDA379" s="50" t="n"/>
      <c r="CDB379" s="50" t="n"/>
      <c r="CDC379" s="50" t="n"/>
      <c r="CDD379" s="50" t="n"/>
      <c r="CDE379" s="50" t="n"/>
      <c r="CDF379" s="50" t="n"/>
      <c r="CDG379" s="50" t="n"/>
      <c r="CDH379" s="50" t="n"/>
      <c r="CDI379" s="50" t="n"/>
      <c r="CDJ379" s="50" t="n"/>
      <c r="CDK379" s="50" t="n"/>
      <c r="CDL379" s="50" t="n"/>
      <c r="CDM379" s="50" t="n"/>
      <c r="CDN379" s="50" t="n"/>
      <c r="CDO379" s="50" t="n"/>
      <c r="CDP379" s="56" t="n"/>
      <c r="CDQ379" s="50" t="n"/>
      <c r="CDR379" s="53" t="n"/>
      <c r="CDS379" s="84" t="n"/>
      <c r="CDT379" s="85" t="n"/>
      <c r="CDU379" s="31" t="n"/>
      <c r="CDV379" s="50" t="n"/>
      <c r="CDW379" s="50" t="n"/>
      <c r="CDX379" s="50" t="n"/>
      <c r="CDY379" s="50" t="n"/>
      <c r="CDZ379" s="50" t="n"/>
      <c r="CEA379" s="50" t="n"/>
      <c r="CEB379" s="50" t="n"/>
      <c r="CEC379" s="50" t="n"/>
      <c r="CED379" s="50" t="n"/>
      <c r="CEE379" s="50" t="n"/>
      <c r="CEF379" s="50" t="n"/>
      <c r="CEG379" s="50" t="n"/>
      <c r="CEH379" s="50" t="n"/>
      <c r="CEI379" s="50" t="n"/>
      <c r="CEJ379" s="50" t="n"/>
      <c r="CEK379" s="50" t="n"/>
      <c r="CEL379" s="50" t="n"/>
      <c r="CEM379" s="50" t="n"/>
      <c r="CEN379" s="50" t="n"/>
      <c r="CEO379" s="50" t="n"/>
      <c r="CEP379" s="50" t="n"/>
      <c r="CEQ379" s="50" t="n"/>
      <c r="CER379" s="50" t="n"/>
      <c r="CES379" s="50" t="n"/>
      <c r="CET379" s="56" t="n"/>
      <c r="CEU379" s="50" t="n"/>
      <c r="CEV379" s="53" t="n"/>
      <c r="CEW379" s="84" t="n"/>
      <c r="CEX379" s="85" t="n"/>
      <c r="CEY379" s="31" t="n"/>
      <c r="CEZ379" s="50" t="n"/>
      <c r="CFA379" s="50" t="n"/>
      <c r="CFB379" s="50" t="n"/>
      <c r="CFC379" s="50" t="n"/>
      <c r="CFD379" s="50" t="n"/>
      <c r="CFE379" s="50" t="n"/>
      <c r="CFF379" s="50" t="n"/>
      <c r="CFG379" s="50" t="n"/>
      <c r="CFH379" s="50" t="n"/>
      <c r="CFI379" s="50" t="n"/>
      <c r="CFJ379" s="50" t="n"/>
      <c r="CFK379" s="50" t="n"/>
      <c r="CFL379" s="50" t="n"/>
      <c r="CFM379" s="50" t="n"/>
      <c r="CFN379" s="50" t="n"/>
      <c r="CFO379" s="50" t="n"/>
      <c r="CFP379" s="50" t="n"/>
      <c r="CFQ379" s="50" t="n"/>
      <c r="CFR379" s="50" t="n"/>
      <c r="CFS379" s="50" t="n"/>
      <c r="CFT379" s="50" t="n"/>
      <c r="CFU379" s="50" t="n"/>
      <c r="CFV379" s="50" t="n"/>
      <c r="CFW379" s="50" t="n"/>
      <c r="CFX379" s="56" t="n"/>
      <c r="CFY379" s="50" t="n"/>
      <c r="CFZ379" s="53" t="n"/>
      <c r="CGA379" s="84" t="n"/>
      <c r="CGB379" s="85" t="n"/>
      <c r="CGC379" s="31" t="n"/>
      <c r="CGD379" s="50" t="n"/>
      <c r="CGE379" s="50" t="n"/>
      <c r="CGF379" s="50" t="n"/>
      <c r="CGG379" s="50" t="n"/>
      <c r="CGH379" s="50" t="n"/>
      <c r="CGI379" s="50" t="n"/>
      <c r="CGJ379" s="50" t="n"/>
      <c r="CGK379" s="50" t="n"/>
      <c r="CGL379" s="50" t="n"/>
      <c r="CGM379" s="50" t="n"/>
      <c r="CGN379" s="50" t="n"/>
      <c r="CGO379" s="50" t="n"/>
      <c r="CGP379" s="50" t="n"/>
      <c r="CGQ379" s="50" t="n"/>
      <c r="CGR379" s="50" t="n"/>
      <c r="CGS379" s="50" t="n"/>
      <c r="CGT379" s="50" t="n"/>
      <c r="CGU379" s="50" t="n"/>
      <c r="CGV379" s="50" t="n"/>
      <c r="CGW379" s="50" t="n"/>
      <c r="CGX379" s="50" t="n"/>
      <c r="CGY379" s="50" t="n"/>
      <c r="CGZ379" s="50" t="n"/>
      <c r="CHA379" s="50" t="n"/>
      <c r="CHB379" s="56" t="n"/>
      <c r="CHC379" s="50" t="n"/>
      <c r="CHD379" s="53" t="n"/>
      <c r="CHE379" s="84" t="n"/>
      <c r="CHF379" s="85" t="n"/>
      <c r="CHG379" s="31" t="n"/>
      <c r="CHH379" s="50" t="n"/>
      <c r="CHI379" s="50" t="n"/>
      <c r="CHJ379" s="50" t="n"/>
      <c r="CHK379" s="50" t="n"/>
      <c r="CHL379" s="50" t="n"/>
      <c r="CHM379" s="50" t="n"/>
      <c r="CHN379" s="50" t="n"/>
      <c r="CHO379" s="50" t="n"/>
      <c r="CHP379" s="50" t="n"/>
      <c r="CHQ379" s="50" t="n"/>
      <c r="CHR379" s="50" t="n"/>
      <c r="CHS379" s="50" t="n"/>
      <c r="CHT379" s="50" t="n"/>
      <c r="CHU379" s="50" t="n"/>
      <c r="CHV379" s="50" t="n"/>
      <c r="CHW379" s="50" t="n"/>
      <c r="CHX379" s="50" t="n"/>
      <c r="CHY379" s="50" t="n"/>
      <c r="CHZ379" s="50" t="n"/>
      <c r="CIA379" s="50" t="n"/>
      <c r="CIB379" s="50" t="n"/>
      <c r="CIC379" s="50" t="n"/>
      <c r="CID379" s="50" t="n"/>
      <c r="CIE379" s="50" t="n"/>
      <c r="CIF379" s="56" t="n"/>
      <c r="CIG379" s="50" t="n"/>
      <c r="CIH379" s="53" t="n"/>
      <c r="CII379" s="84" t="n"/>
      <c r="CIJ379" s="85" t="n"/>
      <c r="CIK379" s="31" t="n"/>
      <c r="CIL379" s="50" t="n"/>
      <c r="CIM379" s="50" t="n"/>
      <c r="CIN379" s="50" t="n"/>
      <c r="CIO379" s="50" t="n"/>
      <c r="CIP379" s="50" t="n"/>
      <c r="CIQ379" s="50" t="n"/>
      <c r="CIR379" s="50" t="n"/>
      <c r="CIS379" s="50" t="n"/>
      <c r="CIT379" s="50" t="n"/>
      <c r="CIU379" s="50" t="n"/>
      <c r="CIV379" s="50" t="n"/>
      <c r="CIW379" s="50" t="n"/>
      <c r="CIX379" s="50" t="n"/>
      <c r="CIY379" s="50" t="n"/>
      <c r="CIZ379" s="50" t="n"/>
      <c r="CJA379" s="50" t="n"/>
      <c r="CJB379" s="50" t="n"/>
      <c r="CJC379" s="50" t="n"/>
      <c r="CJD379" s="50" t="n"/>
      <c r="CJE379" s="50" t="n"/>
      <c r="CJF379" s="50" t="n"/>
      <c r="CJG379" s="50" t="n"/>
      <c r="CJH379" s="50" t="n"/>
      <c r="CJI379" s="50" t="n"/>
      <c r="CJJ379" s="56" t="n"/>
      <c r="CJK379" s="50" t="n"/>
      <c r="CJL379" s="53" t="n"/>
      <c r="CJM379" s="84" t="n"/>
      <c r="CJN379" s="85" t="n"/>
      <c r="CJO379" s="31" t="n"/>
      <c r="CJP379" s="50" t="n"/>
      <c r="CJQ379" s="50" t="n"/>
      <c r="CJR379" s="50" t="n"/>
      <c r="CJS379" s="50" t="n"/>
      <c r="CJT379" s="50" t="n"/>
      <c r="CJU379" s="50" t="n"/>
      <c r="CJV379" s="50" t="n"/>
      <c r="CJW379" s="50" t="n"/>
      <c r="CJX379" s="50" t="n"/>
      <c r="CJY379" s="50" t="n"/>
      <c r="CJZ379" s="50" t="n"/>
      <c r="CKA379" s="50" t="n"/>
      <c r="CKB379" s="50" t="n"/>
      <c r="CKC379" s="50" t="n"/>
      <c r="CKD379" s="50" t="n"/>
      <c r="CKE379" s="50" t="n"/>
      <c r="CKF379" s="50" t="n"/>
      <c r="CKG379" s="50" t="n"/>
      <c r="CKH379" s="50" t="n"/>
      <c r="CKI379" s="50" t="n"/>
      <c r="CKJ379" s="50" t="n"/>
      <c r="CKK379" s="50" t="n"/>
      <c r="CKL379" s="50" t="n"/>
      <c r="CKM379" s="50" t="n"/>
      <c r="CKN379" s="56" t="n"/>
      <c r="CKO379" s="50" t="n"/>
      <c r="CKP379" s="53" t="n"/>
      <c r="CKQ379" s="84" t="n"/>
      <c r="CKR379" s="85" t="n"/>
      <c r="CKS379" s="31" t="n"/>
      <c r="CKT379" s="50" t="n"/>
      <c r="CKU379" s="50" t="n"/>
      <c r="CKV379" s="50" t="n"/>
      <c r="CKW379" s="50" t="n"/>
      <c r="CKX379" s="50" t="n"/>
      <c r="CKY379" s="50" t="n"/>
      <c r="CKZ379" s="50" t="n"/>
      <c r="CLA379" s="50" t="n"/>
      <c r="CLB379" s="50" t="n"/>
      <c r="CLC379" s="50" t="n"/>
      <c r="CLD379" s="50" t="n"/>
      <c r="CLE379" s="50" t="n"/>
      <c r="CLF379" s="50" t="n"/>
      <c r="CLG379" s="50" t="n"/>
      <c r="CLH379" s="50" t="n"/>
      <c r="CLI379" s="50" t="n"/>
      <c r="CLJ379" s="50" t="n"/>
      <c r="CLK379" s="50" t="n"/>
      <c r="CLL379" s="50" t="n"/>
      <c r="CLM379" s="50" t="n"/>
      <c r="CLN379" s="50" t="n"/>
      <c r="CLO379" s="50" t="n"/>
      <c r="CLP379" s="50" t="n"/>
      <c r="CLQ379" s="50" t="n"/>
      <c r="CLR379" s="56" t="n"/>
      <c r="CLS379" s="50" t="n"/>
      <c r="CLT379" s="53" t="n"/>
      <c r="CLU379" s="84" t="n"/>
      <c r="CLV379" s="85" t="n"/>
      <c r="CLW379" s="31" t="n"/>
      <c r="CLX379" s="50" t="n"/>
      <c r="CLY379" s="50" t="n"/>
      <c r="CLZ379" s="50" t="n"/>
      <c r="CMA379" s="50" t="n"/>
      <c r="CMB379" s="50" t="n"/>
      <c r="CMC379" s="50" t="n"/>
      <c r="CMD379" s="50" t="n"/>
      <c r="CME379" s="50" t="n"/>
      <c r="CMF379" s="50" t="n"/>
      <c r="CMG379" s="50" t="n"/>
      <c r="CMH379" s="50" t="n"/>
      <c r="CMI379" s="50" t="n"/>
      <c r="CMJ379" s="50" t="n"/>
      <c r="CMK379" s="50" t="n"/>
      <c r="CML379" s="50" t="n"/>
      <c r="CMM379" s="50" t="n"/>
      <c r="CMN379" s="50" t="n"/>
      <c r="CMO379" s="50" t="n"/>
      <c r="CMP379" s="50" t="n"/>
      <c r="CMQ379" s="50" t="n"/>
      <c r="CMR379" s="50" t="n"/>
      <c r="CMS379" s="50" t="n"/>
      <c r="CMT379" s="50" t="n"/>
      <c r="CMU379" s="50" t="n"/>
      <c r="CMV379" s="56" t="n"/>
      <c r="CMW379" s="50" t="n"/>
      <c r="CMX379" s="53" t="n"/>
      <c r="CMY379" s="84" t="n"/>
      <c r="CMZ379" s="85" t="n"/>
      <c r="CNA379" s="31" t="n"/>
      <c r="CNB379" s="50" t="n"/>
      <c r="CNC379" s="50" t="n"/>
      <c r="CND379" s="50" t="n"/>
      <c r="CNE379" s="50" t="n"/>
      <c r="CNF379" s="50" t="n"/>
      <c r="CNG379" s="50" t="n"/>
      <c r="CNH379" s="50" t="n"/>
      <c r="CNI379" s="50" t="n"/>
      <c r="CNJ379" s="50" t="n"/>
      <c r="CNK379" s="50" t="n"/>
      <c r="CNL379" s="50" t="n"/>
      <c r="CNM379" s="50" t="n"/>
      <c r="CNN379" s="50" t="n"/>
      <c r="CNO379" s="50" t="n"/>
      <c r="CNP379" s="50" t="n"/>
      <c r="CNQ379" s="50" t="n"/>
      <c r="CNR379" s="50" t="n"/>
      <c r="CNS379" s="50" t="n"/>
      <c r="CNT379" s="50" t="n"/>
      <c r="CNU379" s="50" t="n"/>
      <c r="CNV379" s="50" t="n"/>
      <c r="CNW379" s="50" t="n"/>
      <c r="CNX379" s="50" t="n"/>
      <c r="CNY379" s="50" t="n"/>
      <c r="CNZ379" s="56" t="n"/>
      <c r="COA379" s="50" t="n"/>
      <c r="COB379" s="53" t="n"/>
      <c r="COC379" s="84" t="n"/>
      <c r="COD379" s="85" t="n"/>
      <c r="COE379" s="31" t="n"/>
      <c r="COF379" s="50" t="n"/>
      <c r="COG379" s="50" t="n"/>
      <c r="COH379" s="50" t="n"/>
      <c r="COI379" s="50" t="n"/>
      <c r="COJ379" s="50" t="n"/>
      <c r="COK379" s="50" t="n"/>
      <c r="COL379" s="50" t="n"/>
      <c r="COM379" s="50" t="n"/>
      <c r="CON379" s="50" t="n"/>
      <c r="COO379" s="50" t="n"/>
      <c r="COP379" s="50" t="n"/>
      <c r="COQ379" s="50" t="n"/>
      <c r="COR379" s="50" t="n"/>
      <c r="COS379" s="50" t="n"/>
      <c r="COT379" s="50" t="n"/>
      <c r="COU379" s="50" t="n"/>
      <c r="COV379" s="50" t="n"/>
      <c r="COW379" s="50" t="n"/>
      <c r="COX379" s="50" t="n"/>
      <c r="COY379" s="50" t="n"/>
      <c r="COZ379" s="50" t="n"/>
      <c r="CPA379" s="50" t="n"/>
      <c r="CPB379" s="50" t="n"/>
      <c r="CPC379" s="50" t="n"/>
      <c r="CPD379" s="56" t="n"/>
      <c r="CPE379" s="50" t="n"/>
      <c r="CPF379" s="53" t="n"/>
      <c r="CPG379" s="84" t="n"/>
      <c r="CPH379" s="85" t="n"/>
      <c r="CPI379" s="31" t="n"/>
      <c r="CPJ379" s="50" t="n"/>
      <c r="CPK379" s="50" t="n"/>
      <c r="CPL379" s="50" t="n"/>
      <c r="CPM379" s="50" t="n"/>
      <c r="CPN379" s="50" t="n"/>
      <c r="CPO379" s="50" t="n"/>
      <c r="CPP379" s="50" t="n"/>
      <c r="CPQ379" s="50" t="n"/>
      <c r="CPR379" s="50" t="n"/>
      <c r="CPS379" s="50" t="n"/>
      <c r="CPT379" s="50" t="n"/>
      <c r="CPU379" s="50" t="n"/>
      <c r="CPV379" s="50" t="n"/>
      <c r="CPW379" s="50" t="n"/>
      <c r="CPX379" s="50" t="n"/>
      <c r="CPY379" s="50" t="n"/>
      <c r="CPZ379" s="50" t="n"/>
      <c r="CQA379" s="50" t="n"/>
      <c r="CQB379" s="50" t="n"/>
      <c r="CQC379" s="50" t="n"/>
      <c r="CQD379" s="50" t="n"/>
      <c r="CQE379" s="50" t="n"/>
      <c r="CQF379" s="50" t="n"/>
      <c r="CQG379" s="50" t="n"/>
      <c r="CQH379" s="56" t="n"/>
      <c r="CQI379" s="50" t="n"/>
      <c r="CQJ379" s="53" t="n"/>
      <c r="CQK379" s="84" t="n"/>
      <c r="CQL379" s="85" t="n"/>
      <c r="CQM379" s="31" t="n"/>
      <c r="CQN379" s="50" t="n"/>
      <c r="CQO379" s="50" t="n"/>
      <c r="CQP379" s="50" t="n"/>
      <c r="CQQ379" s="50" t="n"/>
      <c r="CQR379" s="50" t="n"/>
      <c r="CQS379" s="50" t="n"/>
      <c r="CQT379" s="50" t="n"/>
      <c r="CQU379" s="50" t="n"/>
      <c r="CQV379" s="50" t="n"/>
      <c r="CQW379" s="50" t="n"/>
      <c r="CQX379" s="50" t="n"/>
      <c r="CQY379" s="50" t="n"/>
      <c r="CQZ379" s="50" t="n"/>
      <c r="CRA379" s="50" t="n"/>
      <c r="CRB379" s="50" t="n"/>
      <c r="CRC379" s="50" t="n"/>
      <c r="CRD379" s="50" t="n"/>
      <c r="CRE379" s="50" t="n"/>
      <c r="CRF379" s="50" t="n"/>
      <c r="CRG379" s="50" t="n"/>
      <c r="CRH379" s="50" t="n"/>
      <c r="CRI379" s="50" t="n"/>
      <c r="CRJ379" s="50" t="n"/>
      <c r="CRK379" s="50" t="n"/>
      <c r="CRL379" s="56" t="n"/>
      <c r="CRM379" s="50" t="n"/>
      <c r="CRN379" s="53" t="n"/>
      <c r="CRO379" s="84" t="n"/>
      <c r="CRP379" s="85" t="n"/>
      <c r="CRQ379" s="31" t="n"/>
      <c r="CRR379" s="50" t="n"/>
      <c r="CRS379" s="50" t="n"/>
      <c r="CRT379" s="50" t="n"/>
      <c r="CRU379" s="50" t="n"/>
      <c r="CRV379" s="50" t="n"/>
      <c r="CRW379" s="50" t="n"/>
      <c r="CRX379" s="50" t="n"/>
      <c r="CRY379" s="50" t="n"/>
      <c r="CRZ379" s="50" t="n"/>
      <c r="CSA379" s="50" t="n"/>
      <c r="CSB379" s="50" t="n"/>
      <c r="CSC379" s="50" t="n"/>
      <c r="CSD379" s="50" t="n"/>
      <c r="CSE379" s="50" t="n"/>
      <c r="CSF379" s="50" t="n"/>
      <c r="CSG379" s="50" t="n"/>
      <c r="CSH379" s="50" t="n"/>
      <c r="CSI379" s="50" t="n"/>
      <c r="CSJ379" s="50" t="n"/>
      <c r="CSK379" s="50" t="n"/>
      <c r="CSL379" s="50" t="n"/>
      <c r="CSM379" s="50" t="n"/>
      <c r="CSN379" s="50" t="n"/>
      <c r="CSO379" s="50" t="n"/>
      <c r="CSP379" s="56" t="n"/>
      <c r="CSQ379" s="50" t="n"/>
      <c r="CSR379" s="53" t="n"/>
      <c r="CSS379" s="84" t="n"/>
      <c r="CST379" s="85" t="n"/>
      <c r="CSU379" s="31" t="n"/>
      <c r="CSV379" s="50" t="n"/>
      <c r="CSW379" s="50" t="n"/>
      <c r="CSX379" s="50" t="n"/>
      <c r="CSY379" s="50" t="n"/>
      <c r="CSZ379" s="50" t="n"/>
      <c r="CTA379" s="50" t="n"/>
      <c r="CTB379" s="50" t="n"/>
      <c r="CTC379" s="50" t="n"/>
      <c r="CTD379" s="50" t="n"/>
      <c r="CTE379" s="50" t="n"/>
      <c r="CTF379" s="50" t="n"/>
      <c r="CTG379" s="50" t="n"/>
      <c r="CTH379" s="50" t="n"/>
      <c r="CTI379" s="50" t="n"/>
      <c r="CTJ379" s="50" t="n"/>
      <c r="CTK379" s="50" t="n"/>
      <c r="CTL379" s="50" t="n"/>
      <c r="CTM379" s="50" t="n"/>
      <c r="CTN379" s="50" t="n"/>
      <c r="CTO379" s="50" t="n"/>
      <c r="CTP379" s="50" t="n"/>
      <c r="CTQ379" s="50" t="n"/>
      <c r="CTR379" s="50" t="n"/>
      <c r="CTS379" s="50" t="n"/>
      <c r="CTT379" s="56" t="n"/>
      <c r="CTU379" s="50" t="n"/>
      <c r="CTV379" s="53" t="n"/>
      <c r="CTW379" s="84" t="n"/>
      <c r="CTX379" s="85" t="n"/>
      <c r="CTY379" s="31" t="n"/>
      <c r="CTZ379" s="50" t="n"/>
      <c r="CUA379" s="50" t="n"/>
      <c r="CUB379" s="50" t="n"/>
      <c r="CUC379" s="50" t="n"/>
      <c r="CUD379" s="50" t="n"/>
      <c r="CUE379" s="50" t="n"/>
      <c r="CUF379" s="50" t="n"/>
      <c r="CUG379" s="50" t="n"/>
      <c r="CUH379" s="50" t="n"/>
      <c r="CUI379" s="50" t="n"/>
      <c r="CUJ379" s="50" t="n"/>
      <c r="CUK379" s="50" t="n"/>
      <c r="CUL379" s="50" t="n"/>
      <c r="CUM379" s="50" t="n"/>
      <c r="CUN379" s="50" t="n"/>
      <c r="CUO379" s="50" t="n"/>
      <c r="CUP379" s="50" t="n"/>
      <c r="CUQ379" s="50" t="n"/>
      <c r="CUR379" s="50" t="n"/>
      <c r="CUS379" s="50" t="n"/>
      <c r="CUT379" s="50" t="n"/>
      <c r="CUU379" s="50" t="n"/>
      <c r="CUV379" s="50" t="n"/>
      <c r="CUW379" s="50" t="n"/>
      <c r="CUX379" s="56" t="n"/>
      <c r="CUY379" s="50" t="n"/>
      <c r="CUZ379" s="53" t="n"/>
      <c r="CVA379" s="84" t="n"/>
      <c r="CVB379" s="85" t="n"/>
      <c r="CVC379" s="31" t="n"/>
      <c r="CVD379" s="50" t="n"/>
      <c r="CVE379" s="50" t="n"/>
      <c r="CVF379" s="50" t="n"/>
      <c r="CVG379" s="50" t="n"/>
      <c r="CVH379" s="50" t="n"/>
      <c r="CVI379" s="50" t="n"/>
      <c r="CVJ379" s="50" t="n"/>
      <c r="CVK379" s="50" t="n"/>
      <c r="CVL379" s="50" t="n"/>
      <c r="CVM379" s="50" t="n"/>
      <c r="CVN379" s="50" t="n"/>
      <c r="CVO379" s="50" t="n"/>
      <c r="CVP379" s="50" t="n"/>
      <c r="CVQ379" s="50" t="n"/>
      <c r="CVR379" s="50" t="n"/>
      <c r="CVS379" s="50" t="n"/>
      <c r="CVT379" s="50" t="n"/>
      <c r="CVU379" s="50" t="n"/>
      <c r="CVV379" s="50" t="n"/>
      <c r="CVW379" s="50" t="n"/>
      <c r="CVX379" s="50" t="n"/>
      <c r="CVY379" s="50" t="n"/>
      <c r="CVZ379" s="50" t="n"/>
      <c r="CWA379" s="50" t="n"/>
      <c r="CWB379" s="56" t="n"/>
      <c r="CWC379" s="50" t="n"/>
      <c r="CWD379" s="53" t="n"/>
      <c r="CWE379" s="84" t="n"/>
      <c r="CWF379" s="85" t="n"/>
      <c r="CWG379" s="31" t="n"/>
      <c r="CWH379" s="50" t="n"/>
      <c r="CWI379" s="50" t="n"/>
      <c r="CWJ379" s="50" t="n"/>
      <c r="CWK379" s="50" t="n"/>
      <c r="CWL379" s="50" t="n"/>
      <c r="CWM379" s="50" t="n"/>
      <c r="CWN379" s="50" t="n"/>
      <c r="CWO379" s="50" t="n"/>
      <c r="CWP379" s="50" t="n"/>
      <c r="CWQ379" s="50" t="n"/>
      <c r="CWR379" s="50" t="n"/>
      <c r="CWS379" s="50" t="n"/>
      <c r="CWT379" s="50" t="n"/>
      <c r="CWU379" s="50" t="n"/>
      <c r="CWV379" s="50" t="n"/>
      <c r="CWW379" s="50" t="n"/>
      <c r="CWX379" s="50" t="n"/>
      <c r="CWY379" s="50" t="n"/>
      <c r="CWZ379" s="50" t="n"/>
      <c r="CXA379" s="50" t="n"/>
      <c r="CXB379" s="50" t="n"/>
      <c r="CXC379" s="50" t="n"/>
      <c r="CXD379" s="50" t="n"/>
      <c r="CXE379" s="50" t="n"/>
      <c r="CXF379" s="56" t="n"/>
      <c r="CXG379" s="50" t="n"/>
      <c r="CXH379" s="53" t="n"/>
      <c r="CXI379" s="84" t="n"/>
      <c r="CXJ379" s="85" t="n"/>
      <c r="CXK379" s="31" t="n"/>
      <c r="CXL379" s="50" t="n"/>
      <c r="CXM379" s="50" t="n"/>
      <c r="CXN379" s="50" t="n"/>
      <c r="CXO379" s="50" t="n"/>
      <c r="CXP379" s="50" t="n"/>
      <c r="CXQ379" s="50" t="n"/>
      <c r="CXR379" s="50" t="n"/>
      <c r="CXS379" s="50" t="n"/>
      <c r="CXT379" s="50" t="n"/>
      <c r="CXU379" s="50" t="n"/>
      <c r="CXV379" s="50" t="n"/>
      <c r="CXW379" s="50" t="n"/>
      <c r="CXX379" s="50" t="n"/>
      <c r="CXY379" s="50" t="n"/>
      <c r="CXZ379" s="50" t="n"/>
      <c r="CYA379" s="50" t="n"/>
      <c r="CYB379" s="50" t="n"/>
      <c r="CYC379" s="50" t="n"/>
      <c r="CYD379" s="50" t="n"/>
      <c r="CYE379" s="50" t="n"/>
      <c r="CYF379" s="50" t="n"/>
      <c r="CYG379" s="50" t="n"/>
      <c r="CYH379" s="50" t="n"/>
      <c r="CYI379" s="50" t="n"/>
      <c r="CYJ379" s="56" t="n"/>
      <c r="CYK379" s="50" t="n"/>
      <c r="CYL379" s="53" t="n"/>
      <c r="CYM379" s="84" t="n"/>
      <c r="CYN379" s="85" t="n"/>
      <c r="CYO379" s="31" t="n"/>
      <c r="CYP379" s="50" t="n"/>
      <c r="CYQ379" s="50" t="n"/>
      <c r="CYR379" s="50" t="n"/>
      <c r="CYS379" s="50" t="n"/>
      <c r="CYT379" s="50" t="n"/>
      <c r="CYU379" s="50" t="n"/>
      <c r="CYV379" s="50" t="n"/>
      <c r="CYW379" s="50" t="n"/>
      <c r="CYX379" s="50" t="n"/>
      <c r="CYY379" s="50" t="n"/>
      <c r="CYZ379" s="50" t="n"/>
      <c r="CZA379" s="50" t="n"/>
      <c r="CZB379" s="50" t="n"/>
      <c r="CZC379" s="50" t="n"/>
      <c r="CZD379" s="50" t="n"/>
      <c r="CZE379" s="50" t="n"/>
      <c r="CZF379" s="50" t="n"/>
      <c r="CZG379" s="50" t="n"/>
      <c r="CZH379" s="50" t="n"/>
      <c r="CZI379" s="50" t="n"/>
      <c r="CZJ379" s="50" t="n"/>
      <c r="CZK379" s="50" t="n"/>
      <c r="CZL379" s="50" t="n"/>
      <c r="CZM379" s="50" t="n"/>
      <c r="CZN379" s="56" t="n"/>
      <c r="CZO379" s="50" t="n"/>
      <c r="CZP379" s="53" t="n"/>
      <c r="CZQ379" s="84" t="n"/>
      <c r="CZR379" s="85" t="n"/>
      <c r="CZS379" s="31" t="n"/>
      <c r="CZT379" s="50" t="n"/>
      <c r="CZU379" s="50" t="n"/>
      <c r="CZV379" s="50" t="n"/>
      <c r="CZW379" s="50" t="n"/>
      <c r="CZX379" s="50" t="n"/>
      <c r="CZY379" s="50" t="n"/>
      <c r="CZZ379" s="50" t="n"/>
      <c r="DAA379" s="50" t="n"/>
      <c r="DAB379" s="50" t="n"/>
      <c r="DAC379" s="50" t="n"/>
      <c r="DAD379" s="50" t="n"/>
      <c r="DAE379" s="50" t="n"/>
      <c r="DAF379" s="50" t="n"/>
      <c r="DAG379" s="50" t="n"/>
      <c r="DAH379" s="50" t="n"/>
      <c r="DAI379" s="50" t="n"/>
      <c r="DAJ379" s="50" t="n"/>
      <c r="DAK379" s="50" t="n"/>
      <c r="DAL379" s="50" t="n"/>
      <c r="DAM379" s="50" t="n"/>
      <c r="DAN379" s="50" t="n"/>
      <c r="DAO379" s="50" t="n"/>
      <c r="DAP379" s="50" t="n"/>
      <c r="DAQ379" s="50" t="n"/>
      <c r="DAR379" s="56" t="n"/>
      <c r="DAS379" s="50" t="n"/>
      <c r="DAT379" s="53" t="n"/>
      <c r="DAU379" s="84" t="n"/>
      <c r="DAV379" s="85" t="n"/>
      <c r="DAW379" s="31" t="n"/>
      <c r="DAX379" s="50" t="n"/>
      <c r="DAY379" s="50" t="n"/>
      <c r="DAZ379" s="50" t="n"/>
      <c r="DBA379" s="50" t="n"/>
      <c r="DBB379" s="50" t="n"/>
      <c r="DBC379" s="50" t="n"/>
      <c r="DBD379" s="50" t="n"/>
      <c r="DBE379" s="50" t="n"/>
      <c r="DBF379" s="50" t="n"/>
      <c r="DBG379" s="50" t="n"/>
      <c r="DBH379" s="50" t="n"/>
      <c r="DBI379" s="50" t="n"/>
      <c r="DBJ379" s="50" t="n"/>
      <c r="DBK379" s="50" t="n"/>
      <c r="DBL379" s="50" t="n"/>
      <c r="DBM379" s="50" t="n"/>
      <c r="DBN379" s="50" t="n"/>
      <c r="DBO379" s="50" t="n"/>
      <c r="DBP379" s="50" t="n"/>
      <c r="DBQ379" s="50" t="n"/>
      <c r="DBR379" s="50" t="n"/>
      <c r="DBS379" s="50" t="n"/>
      <c r="DBT379" s="50" t="n"/>
      <c r="DBU379" s="50" t="n"/>
      <c r="DBV379" s="56" t="n"/>
      <c r="DBW379" s="50" t="n"/>
      <c r="DBX379" s="53" t="n"/>
      <c r="DBY379" s="84" t="n"/>
      <c r="DBZ379" s="85" t="n"/>
      <c r="DCA379" s="31" t="n"/>
      <c r="DCB379" s="50" t="n"/>
      <c r="DCC379" s="50" t="n"/>
      <c r="DCD379" s="50" t="n"/>
      <c r="DCE379" s="50" t="n"/>
      <c r="DCF379" s="50" t="n"/>
      <c r="DCG379" s="50" t="n"/>
      <c r="DCH379" s="50" t="n"/>
      <c r="DCI379" s="50" t="n"/>
      <c r="DCJ379" s="50" t="n"/>
      <c r="DCK379" s="50" t="n"/>
      <c r="DCL379" s="50" t="n"/>
      <c r="DCM379" s="50" t="n"/>
      <c r="DCN379" s="50" t="n"/>
      <c r="DCO379" s="50" t="n"/>
      <c r="DCP379" s="50" t="n"/>
      <c r="DCQ379" s="50" t="n"/>
      <c r="DCR379" s="50" t="n"/>
      <c r="DCS379" s="50" t="n"/>
      <c r="DCT379" s="50" t="n"/>
      <c r="DCU379" s="50" t="n"/>
      <c r="DCV379" s="50" t="n"/>
      <c r="DCW379" s="50" t="n"/>
      <c r="DCX379" s="50" t="n"/>
      <c r="DCY379" s="50" t="n"/>
      <c r="DCZ379" s="56" t="n"/>
      <c r="DDA379" s="50" t="n"/>
      <c r="DDB379" s="53" t="n"/>
      <c r="DDC379" s="84" t="n"/>
      <c r="DDD379" s="85" t="n"/>
      <c r="DDE379" s="31" t="n"/>
      <c r="DDF379" s="50" t="n"/>
      <c r="DDG379" s="50" t="n"/>
      <c r="DDH379" s="50" t="n"/>
      <c r="DDI379" s="50" t="n"/>
      <c r="DDJ379" s="50" t="n"/>
      <c r="DDK379" s="50" t="n"/>
      <c r="DDL379" s="50" t="n"/>
      <c r="DDM379" s="50" t="n"/>
      <c r="DDN379" s="50" t="n"/>
      <c r="DDO379" s="50" t="n"/>
      <c r="DDP379" s="50" t="n"/>
      <c r="DDQ379" s="50" t="n"/>
      <c r="DDR379" s="50" t="n"/>
      <c r="DDS379" s="50" t="n"/>
      <c r="DDT379" s="50" t="n"/>
      <c r="DDU379" s="50" t="n"/>
      <c r="DDV379" s="50" t="n"/>
      <c r="DDW379" s="50" t="n"/>
      <c r="DDX379" s="50" t="n"/>
      <c r="DDY379" s="50" t="n"/>
      <c r="DDZ379" s="50" t="n"/>
      <c r="DEA379" s="50" t="n"/>
      <c r="DEB379" s="50" t="n"/>
      <c r="DEC379" s="50" t="n"/>
      <c r="DED379" s="56" t="n"/>
      <c r="DEE379" s="50" t="n"/>
      <c r="DEF379" s="53" t="n"/>
      <c r="DEG379" s="84" t="n"/>
      <c r="DEH379" s="85" t="n"/>
      <c r="DEI379" s="31" t="n"/>
      <c r="DEJ379" s="50" t="n"/>
      <c r="DEK379" s="50" t="n"/>
      <c r="DEL379" s="50" t="n"/>
      <c r="DEM379" s="50" t="n"/>
      <c r="DEN379" s="50" t="n"/>
      <c r="DEO379" s="50" t="n"/>
      <c r="DEP379" s="50" t="n"/>
      <c r="DEQ379" s="50" t="n"/>
      <c r="DER379" s="50" t="n"/>
      <c r="DES379" s="50" t="n"/>
      <c r="DET379" s="50" t="n"/>
      <c r="DEU379" s="50" t="n"/>
      <c r="DEV379" s="50" t="n"/>
      <c r="DEW379" s="50" t="n"/>
      <c r="DEX379" s="50" t="n"/>
      <c r="DEY379" s="50" t="n"/>
      <c r="DEZ379" s="50" t="n"/>
      <c r="DFA379" s="50" t="n"/>
      <c r="DFB379" s="50" t="n"/>
      <c r="DFC379" s="50" t="n"/>
      <c r="DFD379" s="50" t="n"/>
      <c r="DFE379" s="50" t="n"/>
      <c r="DFF379" s="50" t="n"/>
      <c r="DFG379" s="50" t="n"/>
      <c r="DFH379" s="56" t="n"/>
      <c r="DFI379" s="50" t="n"/>
      <c r="DFJ379" s="53" t="n"/>
      <c r="DFK379" s="84" t="n"/>
      <c r="DFL379" s="85" t="n"/>
      <c r="DFM379" s="31" t="n"/>
      <c r="DFN379" s="50" t="n"/>
      <c r="DFO379" s="50" t="n"/>
      <c r="DFP379" s="50" t="n"/>
      <c r="DFQ379" s="50" t="n"/>
      <c r="DFR379" s="50" t="n"/>
      <c r="DFS379" s="50" t="n"/>
      <c r="DFT379" s="50" t="n"/>
      <c r="DFU379" s="50" t="n"/>
      <c r="DFV379" s="50" t="n"/>
      <c r="DFW379" s="50" t="n"/>
      <c r="DFX379" s="50" t="n"/>
      <c r="DFY379" s="50" t="n"/>
      <c r="DFZ379" s="50" t="n"/>
      <c r="DGA379" s="50" t="n"/>
      <c r="DGB379" s="50" t="n"/>
      <c r="DGC379" s="50" t="n"/>
      <c r="DGD379" s="50" t="n"/>
      <c r="DGE379" s="50" t="n"/>
      <c r="DGF379" s="50" t="n"/>
      <c r="DGG379" s="50" t="n"/>
      <c r="DGH379" s="50" t="n"/>
      <c r="DGI379" s="50" t="n"/>
      <c r="DGJ379" s="50" t="n"/>
      <c r="DGK379" s="50" t="n"/>
      <c r="DGL379" s="56" t="n"/>
      <c r="DGM379" s="50" t="n"/>
      <c r="DGN379" s="53" t="n"/>
      <c r="DGO379" s="84" t="n"/>
      <c r="DGP379" s="85" t="n"/>
      <c r="DGQ379" s="31" t="n"/>
      <c r="DGR379" s="50" t="n"/>
      <c r="DGS379" s="50" t="n"/>
      <c r="DGT379" s="50" t="n"/>
      <c r="DGU379" s="50" t="n"/>
      <c r="DGV379" s="50" t="n"/>
      <c r="DGW379" s="50" t="n"/>
      <c r="DGX379" s="50" t="n"/>
      <c r="DGY379" s="50" t="n"/>
      <c r="DGZ379" s="50" t="n"/>
      <c r="DHA379" s="50" t="n"/>
      <c r="DHB379" s="50" t="n"/>
      <c r="DHC379" s="50" t="n"/>
      <c r="DHD379" s="50" t="n"/>
      <c r="DHE379" s="50" t="n"/>
      <c r="DHF379" s="50" t="n"/>
      <c r="DHG379" s="50" t="n"/>
      <c r="DHH379" s="50" t="n"/>
      <c r="DHI379" s="50" t="n"/>
      <c r="DHJ379" s="50" t="n"/>
      <c r="DHK379" s="50" t="n"/>
      <c r="DHL379" s="50" t="n"/>
      <c r="DHM379" s="50" t="n"/>
      <c r="DHN379" s="50" t="n"/>
      <c r="DHO379" s="50" t="n"/>
      <c r="DHP379" s="56" t="n"/>
      <c r="DHQ379" s="50" t="n"/>
      <c r="DHR379" s="53" t="n"/>
      <c r="DHS379" s="84" t="n"/>
      <c r="DHT379" s="85" t="n"/>
      <c r="DHU379" s="31" t="n"/>
      <c r="DHV379" s="50" t="n"/>
      <c r="DHW379" s="50" t="n"/>
      <c r="DHX379" s="50" t="n"/>
      <c r="DHY379" s="50" t="n"/>
      <c r="DHZ379" s="50" t="n"/>
      <c r="DIA379" s="50" t="n"/>
      <c r="DIB379" s="50" t="n"/>
      <c r="DIC379" s="50" t="n"/>
      <c r="DID379" s="50" t="n"/>
      <c r="DIE379" s="50" t="n"/>
      <c r="DIF379" s="50" t="n"/>
      <c r="DIG379" s="50" t="n"/>
      <c r="DIH379" s="50" t="n"/>
      <c r="DII379" s="50" t="n"/>
      <c r="DIJ379" s="50" t="n"/>
      <c r="DIK379" s="50" t="n"/>
      <c r="DIL379" s="50" t="n"/>
      <c r="DIM379" s="50" t="n"/>
      <c r="DIN379" s="50" t="n"/>
      <c r="DIO379" s="50" t="n"/>
      <c r="DIP379" s="50" t="n"/>
      <c r="DIQ379" s="50" t="n"/>
      <c r="DIR379" s="50" t="n"/>
      <c r="DIS379" s="50" t="n"/>
      <c r="DIT379" s="56" t="n"/>
      <c r="DIU379" s="50" t="n"/>
      <c r="DIV379" s="53" t="n"/>
      <c r="DIW379" s="84" t="n"/>
      <c r="DIX379" s="85" t="n"/>
      <c r="DIY379" s="31" t="n"/>
      <c r="DIZ379" s="50" t="n"/>
      <c r="DJA379" s="50" t="n"/>
      <c r="DJB379" s="50" t="n"/>
      <c r="DJC379" s="50" t="n"/>
      <c r="DJD379" s="50" t="n"/>
      <c r="DJE379" s="50" t="n"/>
      <c r="DJF379" s="50" t="n"/>
      <c r="DJG379" s="50" t="n"/>
      <c r="DJH379" s="50" t="n"/>
      <c r="DJI379" s="50" t="n"/>
      <c r="DJJ379" s="50" t="n"/>
      <c r="DJK379" s="50" t="n"/>
      <c r="DJL379" s="50" t="n"/>
      <c r="DJM379" s="50" t="n"/>
      <c r="DJN379" s="50" t="n"/>
      <c r="DJO379" s="50" t="n"/>
      <c r="DJP379" s="50" t="n"/>
      <c r="DJQ379" s="50" t="n"/>
      <c r="DJR379" s="50" t="n"/>
      <c r="DJS379" s="50" t="n"/>
      <c r="DJT379" s="50" t="n"/>
      <c r="DJU379" s="50" t="n"/>
      <c r="DJV379" s="50" t="n"/>
      <c r="DJW379" s="50" t="n"/>
      <c r="DJX379" s="56" t="n"/>
      <c r="DJY379" s="50" t="n"/>
      <c r="DJZ379" s="53" t="n"/>
      <c r="DKA379" s="84" t="n"/>
      <c r="DKB379" s="85" t="n"/>
      <c r="DKC379" s="31" t="n"/>
      <c r="DKD379" s="50" t="n"/>
      <c r="DKE379" s="50" t="n"/>
      <c r="DKF379" s="50" t="n"/>
      <c r="DKG379" s="50" t="n"/>
      <c r="DKH379" s="50" t="n"/>
      <c r="DKI379" s="50" t="n"/>
      <c r="DKJ379" s="50" t="n"/>
      <c r="DKK379" s="50" t="n"/>
      <c r="DKL379" s="50" t="n"/>
      <c r="DKM379" s="50" t="n"/>
      <c r="DKN379" s="50" t="n"/>
      <c r="DKO379" s="50" t="n"/>
      <c r="DKP379" s="50" t="n"/>
      <c r="DKQ379" s="50" t="n"/>
      <c r="DKR379" s="50" t="n"/>
      <c r="DKS379" s="50" t="n"/>
      <c r="DKT379" s="50" t="n"/>
      <c r="DKU379" s="50" t="n"/>
      <c r="DKV379" s="50" t="n"/>
      <c r="DKW379" s="50" t="n"/>
      <c r="DKX379" s="50" t="n"/>
      <c r="DKY379" s="50" t="n"/>
      <c r="DKZ379" s="50" t="n"/>
      <c r="DLA379" s="50" t="n"/>
      <c r="DLB379" s="56" t="n"/>
      <c r="DLC379" s="50" t="n"/>
      <c r="DLD379" s="53" t="n"/>
      <c r="DLE379" s="84" t="n"/>
      <c r="DLF379" s="85" t="n"/>
      <c r="DLG379" s="31" t="n"/>
      <c r="DLH379" s="50" t="n"/>
      <c r="DLI379" s="50" t="n"/>
      <c r="DLJ379" s="50" t="n"/>
      <c r="DLK379" s="50" t="n"/>
      <c r="DLL379" s="50" t="n"/>
      <c r="DLM379" s="50" t="n"/>
      <c r="DLN379" s="50" t="n"/>
      <c r="DLO379" s="50" t="n"/>
      <c r="DLP379" s="50" t="n"/>
      <c r="DLQ379" s="50" t="n"/>
      <c r="DLR379" s="50" t="n"/>
      <c r="DLS379" s="50" t="n"/>
      <c r="DLT379" s="50" t="n"/>
      <c r="DLU379" s="50" t="n"/>
      <c r="DLV379" s="50" t="n"/>
      <c r="DLW379" s="50" t="n"/>
      <c r="DLX379" s="50" t="n"/>
      <c r="DLY379" s="50" t="n"/>
      <c r="DLZ379" s="50" t="n"/>
      <c r="DMA379" s="50" t="n"/>
      <c r="DMB379" s="50" t="n"/>
      <c r="DMC379" s="50" t="n"/>
      <c r="DMD379" s="50" t="n"/>
      <c r="DME379" s="50" t="n"/>
      <c r="DMF379" s="56" t="n"/>
      <c r="DMG379" s="50" t="n"/>
      <c r="DMH379" s="53" t="n"/>
      <c r="DMI379" s="84" t="n"/>
      <c r="DMJ379" s="85" t="n"/>
      <c r="DMK379" s="31" t="n"/>
      <c r="DML379" s="50" t="n"/>
      <c r="DMM379" s="50" t="n"/>
      <c r="DMN379" s="50" t="n"/>
      <c r="DMO379" s="50" t="n"/>
      <c r="DMP379" s="50" t="n"/>
      <c r="DMQ379" s="50" t="n"/>
      <c r="DMR379" s="50" t="n"/>
      <c r="DMS379" s="50" t="n"/>
      <c r="DMT379" s="50" t="n"/>
      <c r="DMU379" s="50" t="n"/>
      <c r="DMV379" s="50" t="n"/>
      <c r="DMW379" s="50" t="n"/>
      <c r="DMX379" s="50" t="n"/>
      <c r="DMY379" s="50" t="n"/>
      <c r="DMZ379" s="50" t="n"/>
      <c r="DNA379" s="50" t="n"/>
      <c r="DNB379" s="50" t="n"/>
      <c r="DNC379" s="50" t="n"/>
      <c r="DND379" s="50" t="n"/>
      <c r="DNE379" s="50" t="n"/>
      <c r="DNF379" s="50" t="n"/>
      <c r="DNG379" s="50" t="n"/>
      <c r="DNH379" s="50" t="n"/>
      <c r="DNI379" s="50" t="n"/>
      <c r="DNJ379" s="56" t="n"/>
      <c r="DNK379" s="50" t="n"/>
      <c r="DNL379" s="53" t="n"/>
      <c r="DNM379" s="84" t="n"/>
      <c r="DNN379" s="85" t="n"/>
      <c r="DNO379" s="31" t="n"/>
      <c r="DNP379" s="50" t="n"/>
      <c r="DNQ379" s="50" t="n"/>
      <c r="DNR379" s="50" t="n"/>
      <c r="DNS379" s="50" t="n"/>
      <c r="DNT379" s="50" t="n"/>
      <c r="DNU379" s="50" t="n"/>
      <c r="DNV379" s="50" t="n"/>
      <c r="DNW379" s="50" t="n"/>
      <c r="DNX379" s="50" t="n"/>
      <c r="DNY379" s="50" t="n"/>
      <c r="DNZ379" s="50" t="n"/>
      <c r="DOA379" s="50" t="n"/>
      <c r="DOB379" s="50" t="n"/>
      <c r="DOC379" s="50" t="n"/>
      <c r="DOD379" s="50" t="n"/>
      <c r="DOE379" s="50" t="n"/>
      <c r="DOF379" s="50" t="n"/>
      <c r="DOG379" s="50" t="n"/>
      <c r="DOH379" s="50" t="n"/>
      <c r="DOI379" s="50" t="n"/>
      <c r="DOJ379" s="50" t="n"/>
      <c r="DOK379" s="50" t="n"/>
      <c r="DOL379" s="50" t="n"/>
      <c r="DOM379" s="50" t="n"/>
      <c r="DON379" s="56" t="n"/>
      <c r="DOO379" s="50" t="n"/>
      <c r="DOP379" s="53" t="n"/>
      <c r="DOQ379" s="84" t="n"/>
      <c r="DOR379" s="85" t="n"/>
      <c r="DOS379" s="31" t="n"/>
      <c r="DOT379" s="50" t="n"/>
      <c r="DOU379" s="50" t="n"/>
      <c r="DOV379" s="50" t="n"/>
      <c r="DOW379" s="50" t="n"/>
      <c r="DOX379" s="50" t="n"/>
      <c r="DOY379" s="50" t="n"/>
      <c r="DOZ379" s="50" t="n"/>
      <c r="DPA379" s="50" t="n"/>
      <c r="DPB379" s="50" t="n"/>
      <c r="DPC379" s="50" t="n"/>
      <c r="DPD379" s="50" t="n"/>
      <c r="DPE379" s="50" t="n"/>
      <c r="DPF379" s="50" t="n"/>
      <c r="DPG379" s="50" t="n"/>
      <c r="DPH379" s="50" t="n"/>
      <c r="DPI379" s="50" t="n"/>
      <c r="DPJ379" s="50" t="n"/>
      <c r="DPK379" s="50" t="n"/>
      <c r="DPL379" s="50" t="n"/>
      <c r="DPM379" s="50" t="n"/>
      <c r="DPN379" s="50" t="n"/>
      <c r="DPO379" s="50" t="n"/>
      <c r="DPP379" s="50" t="n"/>
      <c r="DPQ379" s="50" t="n"/>
      <c r="DPR379" s="56" t="n"/>
      <c r="DPS379" s="50" t="n"/>
      <c r="DPT379" s="53" t="n"/>
      <c r="DPU379" s="84" t="n"/>
      <c r="DPV379" s="85" t="n"/>
      <c r="DPW379" s="31" t="n"/>
      <c r="DPX379" s="50" t="n"/>
      <c r="DPY379" s="50" t="n"/>
      <c r="DPZ379" s="50" t="n"/>
      <c r="DQA379" s="50" t="n"/>
      <c r="DQB379" s="50" t="n"/>
      <c r="DQC379" s="50" t="n"/>
      <c r="DQD379" s="50" t="n"/>
      <c r="DQE379" s="50" t="n"/>
      <c r="DQF379" s="50" t="n"/>
      <c r="DQG379" s="50" t="n"/>
      <c r="DQH379" s="50" t="n"/>
      <c r="DQI379" s="50" t="n"/>
      <c r="DQJ379" s="50" t="n"/>
      <c r="DQK379" s="50" t="n"/>
      <c r="DQL379" s="50" t="n"/>
      <c r="DQM379" s="50" t="n"/>
      <c r="DQN379" s="50" t="n"/>
      <c r="DQO379" s="50" t="n"/>
      <c r="DQP379" s="50" t="n"/>
      <c r="DQQ379" s="50" t="n"/>
      <c r="DQR379" s="50" t="n"/>
      <c r="DQS379" s="50" t="n"/>
      <c r="DQT379" s="50" t="n"/>
      <c r="DQU379" s="50" t="n"/>
      <c r="DQV379" s="56" t="n"/>
      <c r="DQW379" s="50" t="n"/>
      <c r="DQX379" s="53" t="n"/>
      <c r="DQY379" s="84" t="n"/>
      <c r="DQZ379" s="85" t="n"/>
      <c r="DRA379" s="31" t="n"/>
      <c r="DRB379" s="50" t="n"/>
      <c r="DRC379" s="50" t="n"/>
      <c r="DRD379" s="50" t="n"/>
      <c r="DRE379" s="50" t="n"/>
      <c r="DRF379" s="50" t="n"/>
      <c r="DRG379" s="50" t="n"/>
      <c r="DRH379" s="50" t="n"/>
      <c r="DRI379" s="50" t="n"/>
      <c r="DRJ379" s="50" t="n"/>
      <c r="DRK379" s="50" t="n"/>
      <c r="DRL379" s="50" t="n"/>
      <c r="DRM379" s="50" t="n"/>
      <c r="DRN379" s="50" t="n"/>
      <c r="DRO379" s="50" t="n"/>
      <c r="DRP379" s="50" t="n"/>
      <c r="DRQ379" s="50" t="n"/>
      <c r="DRR379" s="50" t="n"/>
      <c r="DRS379" s="50" t="n"/>
      <c r="DRT379" s="50" t="n"/>
      <c r="DRU379" s="50" t="n"/>
      <c r="DRV379" s="50" t="n"/>
      <c r="DRW379" s="50" t="n"/>
      <c r="DRX379" s="50" t="n"/>
      <c r="DRY379" s="50" t="n"/>
      <c r="DRZ379" s="56" t="n"/>
      <c r="DSA379" s="50" t="n"/>
      <c r="DSB379" s="53" t="n"/>
      <c r="DSC379" s="84" t="n"/>
      <c r="DSD379" s="85" t="n"/>
      <c r="DSE379" s="31" t="n"/>
      <c r="DSF379" s="50" t="n"/>
      <c r="DSG379" s="50" t="n"/>
      <c r="DSH379" s="50" t="n"/>
      <c r="DSI379" s="50" t="n"/>
      <c r="DSJ379" s="50" t="n"/>
      <c r="DSK379" s="50" t="n"/>
      <c r="DSL379" s="50" t="n"/>
      <c r="DSM379" s="50" t="n"/>
      <c r="DSN379" s="50" t="n"/>
      <c r="DSO379" s="50" t="n"/>
      <c r="DSP379" s="50" t="n"/>
      <c r="DSQ379" s="50" t="n"/>
      <c r="DSR379" s="50" t="n"/>
      <c r="DSS379" s="50" t="n"/>
      <c r="DST379" s="50" t="n"/>
      <c r="DSU379" s="50" t="n"/>
      <c r="DSV379" s="50" t="n"/>
      <c r="DSW379" s="50" t="n"/>
      <c r="DSX379" s="50" t="n"/>
      <c r="DSY379" s="50" t="n"/>
      <c r="DSZ379" s="50" t="n"/>
      <c r="DTA379" s="50" t="n"/>
      <c r="DTB379" s="50" t="n"/>
      <c r="DTC379" s="50" t="n"/>
      <c r="DTD379" s="56" t="n"/>
      <c r="DTE379" s="50" t="n"/>
      <c r="DTF379" s="53" t="n"/>
      <c r="DTG379" s="84" t="n"/>
      <c r="DTH379" s="85" t="n"/>
      <c r="DTI379" s="31" t="n"/>
      <c r="DTJ379" s="50" t="n"/>
      <c r="DTK379" s="50" t="n"/>
      <c r="DTL379" s="50" t="n"/>
      <c r="DTM379" s="50" t="n"/>
      <c r="DTN379" s="50" t="n"/>
      <c r="DTO379" s="50" t="n"/>
      <c r="DTP379" s="50" t="n"/>
      <c r="DTQ379" s="50" t="n"/>
      <c r="DTR379" s="50" t="n"/>
      <c r="DTS379" s="50" t="n"/>
      <c r="DTT379" s="50" t="n"/>
      <c r="DTU379" s="50" t="n"/>
      <c r="DTV379" s="50" t="n"/>
      <c r="DTW379" s="50" t="n"/>
      <c r="DTX379" s="50" t="n"/>
      <c r="DTY379" s="50" t="n"/>
      <c r="DTZ379" s="50" t="n"/>
      <c r="DUA379" s="50" t="n"/>
      <c r="DUB379" s="50" t="n"/>
      <c r="DUC379" s="50" t="n"/>
      <c r="DUD379" s="50" t="n"/>
      <c r="DUE379" s="50" t="n"/>
      <c r="DUF379" s="50" t="n"/>
      <c r="DUG379" s="50" t="n"/>
      <c r="DUH379" s="56" t="n"/>
      <c r="DUI379" s="50" t="n"/>
      <c r="DUJ379" s="53" t="n"/>
      <c r="DUK379" s="84" t="n"/>
      <c r="DUL379" s="85" t="n"/>
      <c r="DUM379" s="31" t="n"/>
      <c r="DUN379" s="50" t="n"/>
      <c r="DUO379" s="50" t="n"/>
      <c r="DUP379" s="50" t="n"/>
      <c r="DUQ379" s="50" t="n"/>
      <c r="DUR379" s="50" t="n"/>
      <c r="DUS379" s="50" t="n"/>
      <c r="DUT379" s="50" t="n"/>
      <c r="DUU379" s="50" t="n"/>
      <c r="DUV379" s="50" t="n"/>
      <c r="DUW379" s="50" t="n"/>
      <c r="DUX379" s="50" t="n"/>
      <c r="DUY379" s="50" t="n"/>
      <c r="DUZ379" s="50" t="n"/>
      <c r="DVA379" s="50" t="n"/>
      <c r="DVB379" s="50" t="n"/>
      <c r="DVC379" s="50" t="n"/>
      <c r="DVD379" s="50" t="n"/>
      <c r="DVE379" s="50" t="n"/>
      <c r="DVF379" s="50" t="n"/>
      <c r="DVG379" s="50" t="n"/>
      <c r="DVH379" s="50" t="n"/>
      <c r="DVI379" s="50" t="n"/>
      <c r="DVJ379" s="50" t="n"/>
      <c r="DVK379" s="50" t="n"/>
      <c r="DVL379" s="56" t="n"/>
      <c r="DVM379" s="50" t="n"/>
      <c r="DVN379" s="53" t="n"/>
      <c r="DVO379" s="84" t="n"/>
      <c r="DVP379" s="85" t="n"/>
      <c r="DVQ379" s="31" t="n"/>
      <c r="DVR379" s="50" t="n"/>
      <c r="DVS379" s="50" t="n"/>
      <c r="DVT379" s="50" t="n"/>
      <c r="DVU379" s="50" t="n"/>
      <c r="DVV379" s="50" t="n"/>
      <c r="DVW379" s="50" t="n"/>
      <c r="DVX379" s="50" t="n"/>
      <c r="DVY379" s="50" t="n"/>
      <c r="DVZ379" s="50" t="n"/>
      <c r="DWA379" s="50" t="n"/>
      <c r="DWB379" s="50" t="n"/>
      <c r="DWC379" s="50" t="n"/>
      <c r="DWD379" s="50" t="n"/>
      <c r="DWE379" s="50" t="n"/>
      <c r="DWF379" s="50" t="n"/>
      <c r="DWG379" s="50" t="n"/>
      <c r="DWH379" s="50" t="n"/>
      <c r="DWI379" s="50" t="n"/>
      <c r="DWJ379" s="50" t="n"/>
      <c r="DWK379" s="50" t="n"/>
      <c r="DWL379" s="50" t="n"/>
      <c r="DWM379" s="50" t="n"/>
      <c r="DWN379" s="50" t="n"/>
      <c r="DWO379" s="50" t="n"/>
      <c r="DWP379" s="56" t="n"/>
      <c r="DWQ379" s="50" t="n"/>
      <c r="DWR379" s="53" t="n"/>
      <c r="DWS379" s="84" t="n"/>
      <c r="DWT379" s="85" t="n"/>
      <c r="DWU379" s="31" t="n"/>
      <c r="DWV379" s="50" t="n"/>
      <c r="DWW379" s="50" t="n"/>
      <c r="DWX379" s="50" t="n"/>
      <c r="DWY379" s="50" t="n"/>
      <c r="DWZ379" s="50" t="n"/>
      <c r="DXA379" s="50" t="n"/>
      <c r="DXB379" s="50" t="n"/>
      <c r="DXC379" s="50" t="n"/>
      <c r="DXD379" s="50" t="n"/>
      <c r="DXE379" s="50" t="n"/>
      <c r="DXF379" s="50" t="n"/>
      <c r="DXG379" s="50" t="n"/>
      <c r="DXH379" s="50" t="n"/>
      <c r="DXI379" s="50" t="n"/>
      <c r="DXJ379" s="50" t="n"/>
      <c r="DXK379" s="50" t="n"/>
      <c r="DXL379" s="50" t="n"/>
      <c r="DXM379" s="50" t="n"/>
      <c r="DXN379" s="50" t="n"/>
      <c r="DXO379" s="50" t="n"/>
      <c r="DXP379" s="50" t="n"/>
      <c r="DXQ379" s="50" t="n"/>
      <c r="DXR379" s="50" t="n"/>
      <c r="DXS379" s="50" t="n"/>
      <c r="DXT379" s="56" t="n"/>
      <c r="DXU379" s="50" t="n"/>
      <c r="DXV379" s="53" t="n"/>
      <c r="DXW379" s="84" t="n"/>
      <c r="DXX379" s="85" t="n"/>
      <c r="DXY379" s="31" t="n"/>
      <c r="DXZ379" s="50" t="n"/>
      <c r="DYA379" s="50" t="n"/>
      <c r="DYB379" s="50" t="n"/>
      <c r="DYC379" s="50" t="n"/>
      <c r="DYD379" s="50" t="n"/>
      <c r="DYE379" s="50" t="n"/>
      <c r="DYF379" s="50" t="n"/>
      <c r="DYG379" s="50" t="n"/>
      <c r="DYH379" s="50" t="n"/>
      <c r="DYI379" s="50" t="n"/>
      <c r="DYJ379" s="50" t="n"/>
      <c r="DYK379" s="50" t="n"/>
      <c r="DYL379" s="50" t="n"/>
      <c r="DYM379" s="50" t="n"/>
      <c r="DYN379" s="50" t="n"/>
      <c r="DYO379" s="50" t="n"/>
      <c r="DYP379" s="50" t="n"/>
      <c r="DYQ379" s="50" t="n"/>
      <c r="DYR379" s="50" t="n"/>
      <c r="DYS379" s="50" t="n"/>
      <c r="DYT379" s="50" t="n"/>
      <c r="DYU379" s="50" t="n"/>
      <c r="DYV379" s="50" t="n"/>
      <c r="DYW379" s="50" t="n"/>
      <c r="DYX379" s="56" t="n"/>
      <c r="DYY379" s="50" t="n"/>
      <c r="DYZ379" s="53" t="n"/>
      <c r="DZA379" s="84" t="n"/>
      <c r="DZB379" s="85" t="n"/>
      <c r="DZC379" s="31" t="n"/>
      <c r="DZD379" s="50" t="n"/>
      <c r="DZE379" s="50" t="n"/>
      <c r="DZF379" s="50" t="n"/>
      <c r="DZG379" s="50" t="n"/>
      <c r="DZH379" s="50" t="n"/>
      <c r="DZI379" s="50" t="n"/>
      <c r="DZJ379" s="50" t="n"/>
      <c r="DZK379" s="50" t="n"/>
      <c r="DZL379" s="50" t="n"/>
      <c r="DZM379" s="50" t="n"/>
      <c r="DZN379" s="50" t="n"/>
      <c r="DZO379" s="50" t="n"/>
      <c r="DZP379" s="50" t="n"/>
      <c r="DZQ379" s="50" t="n"/>
      <c r="DZR379" s="50" t="n"/>
      <c r="DZS379" s="50" t="n"/>
      <c r="DZT379" s="50" t="n"/>
      <c r="DZU379" s="50" t="n"/>
      <c r="DZV379" s="50" t="n"/>
      <c r="DZW379" s="50" t="n"/>
      <c r="DZX379" s="50" t="n"/>
      <c r="DZY379" s="50" t="n"/>
      <c r="DZZ379" s="50" t="n"/>
      <c r="EAA379" s="50" t="n"/>
      <c r="EAB379" s="56" t="n"/>
      <c r="EAC379" s="50" t="n"/>
      <c r="EAD379" s="53" t="n"/>
      <c r="EAE379" s="84" t="n"/>
      <c r="EAF379" s="85" t="n"/>
      <c r="EAG379" s="31" t="n"/>
      <c r="EAH379" s="50" t="n"/>
      <c r="EAI379" s="50" t="n"/>
      <c r="EAJ379" s="50" t="n"/>
      <c r="EAK379" s="50" t="n"/>
      <c r="EAL379" s="50" t="n"/>
      <c r="EAM379" s="50" t="n"/>
      <c r="EAN379" s="50" t="n"/>
      <c r="EAO379" s="50" t="n"/>
      <c r="EAP379" s="50" t="n"/>
      <c r="EAQ379" s="50" t="n"/>
      <c r="EAR379" s="50" t="n"/>
      <c r="EAS379" s="50" t="n"/>
      <c r="EAT379" s="50" t="n"/>
      <c r="EAU379" s="50" t="n"/>
      <c r="EAV379" s="50" t="n"/>
      <c r="EAW379" s="50" t="n"/>
      <c r="EAX379" s="50" t="n"/>
      <c r="EAY379" s="50" t="n"/>
      <c r="EAZ379" s="50" t="n"/>
      <c r="EBA379" s="50" t="n"/>
      <c r="EBB379" s="50" t="n"/>
      <c r="EBC379" s="50" t="n"/>
      <c r="EBD379" s="50" t="n"/>
      <c r="EBE379" s="50" t="n"/>
      <c r="EBF379" s="56" t="n"/>
      <c r="EBG379" s="50" t="n"/>
      <c r="EBH379" s="53" t="n"/>
      <c r="EBI379" s="84" t="n"/>
      <c r="EBJ379" s="85" t="n"/>
      <c r="EBK379" s="31" t="n"/>
      <c r="EBL379" s="50" t="n"/>
      <c r="EBM379" s="50" t="n"/>
      <c r="EBN379" s="50" t="n"/>
      <c r="EBO379" s="50" t="n"/>
      <c r="EBP379" s="50" t="n"/>
      <c r="EBQ379" s="50" t="n"/>
      <c r="EBR379" s="50" t="n"/>
      <c r="EBS379" s="50" t="n"/>
      <c r="EBT379" s="50" t="n"/>
      <c r="EBU379" s="50" t="n"/>
      <c r="EBV379" s="50" t="n"/>
      <c r="EBW379" s="50" t="n"/>
      <c r="EBX379" s="50" t="n"/>
      <c r="EBY379" s="50" t="n"/>
      <c r="EBZ379" s="50" t="n"/>
      <c r="ECA379" s="50" t="n"/>
      <c r="ECB379" s="50" t="n"/>
      <c r="ECC379" s="50" t="n"/>
      <c r="ECD379" s="50" t="n"/>
      <c r="ECE379" s="50" t="n"/>
      <c r="ECF379" s="50" t="n"/>
      <c r="ECG379" s="50" t="n"/>
      <c r="ECH379" s="50" t="n"/>
      <c r="ECI379" s="50" t="n"/>
      <c r="ECJ379" s="56" t="n"/>
      <c r="ECK379" s="50" t="n"/>
      <c r="ECL379" s="53" t="n"/>
      <c r="ECM379" s="84" t="n"/>
      <c r="ECN379" s="85" t="n"/>
      <c r="ECO379" s="31" t="n"/>
      <c r="ECP379" s="50" t="n"/>
      <c r="ECQ379" s="50" t="n"/>
      <c r="ECR379" s="50" t="n"/>
      <c r="ECS379" s="50" t="n"/>
      <c r="ECT379" s="50" t="n"/>
      <c r="ECU379" s="50" t="n"/>
      <c r="ECV379" s="50" t="n"/>
      <c r="ECW379" s="50" t="n"/>
      <c r="ECX379" s="50" t="n"/>
      <c r="ECY379" s="50" t="n"/>
      <c r="ECZ379" s="50" t="n"/>
      <c r="EDA379" s="50" t="n"/>
      <c r="EDB379" s="50" t="n"/>
      <c r="EDC379" s="50" t="n"/>
      <c r="EDD379" s="50" t="n"/>
      <c r="EDE379" s="50" t="n"/>
      <c r="EDF379" s="50" t="n"/>
      <c r="EDG379" s="50" t="n"/>
      <c r="EDH379" s="50" t="n"/>
      <c r="EDI379" s="50" t="n"/>
      <c r="EDJ379" s="50" t="n"/>
      <c r="EDK379" s="50" t="n"/>
      <c r="EDL379" s="50" t="n"/>
      <c r="EDM379" s="50" t="n"/>
      <c r="EDN379" s="56" t="n"/>
      <c r="EDO379" s="50" t="n"/>
      <c r="EDP379" s="53" t="n"/>
      <c r="EDQ379" s="84" t="n"/>
      <c r="EDR379" s="85" t="n"/>
      <c r="EDS379" s="31" t="n"/>
      <c r="EDT379" s="50" t="n"/>
      <c r="EDU379" s="50" t="n"/>
      <c r="EDV379" s="50" t="n"/>
      <c r="EDW379" s="50" t="n"/>
      <c r="EDX379" s="50" t="n"/>
      <c r="EDY379" s="50" t="n"/>
      <c r="EDZ379" s="50" t="n"/>
      <c r="EEA379" s="50" t="n"/>
      <c r="EEB379" s="50" t="n"/>
      <c r="EEC379" s="50" t="n"/>
      <c r="EED379" s="50" t="n"/>
      <c r="EEE379" s="50" t="n"/>
      <c r="EEF379" s="50" t="n"/>
      <c r="EEG379" s="50" t="n"/>
      <c r="EEH379" s="50" t="n"/>
      <c r="EEI379" s="50" t="n"/>
      <c r="EEJ379" s="50" t="n"/>
      <c r="EEK379" s="50" t="n"/>
      <c r="EEL379" s="50" t="n"/>
      <c r="EEM379" s="50" t="n"/>
      <c r="EEN379" s="50" t="n"/>
      <c r="EEO379" s="50" t="n"/>
      <c r="EEP379" s="50" t="n"/>
      <c r="EEQ379" s="50" t="n"/>
      <c r="EER379" s="56" t="n"/>
      <c r="EES379" s="50" t="n"/>
      <c r="EET379" s="53" t="n"/>
      <c r="EEU379" s="84" t="n"/>
      <c r="EEV379" s="85" t="n"/>
      <c r="EEW379" s="31" t="n"/>
      <c r="EEX379" s="50" t="n"/>
      <c r="EEY379" s="50" t="n"/>
      <c r="EEZ379" s="50" t="n"/>
      <c r="EFA379" s="50" t="n"/>
      <c r="EFB379" s="50" t="n"/>
      <c r="EFC379" s="50" t="n"/>
      <c r="EFD379" s="50" t="n"/>
      <c r="EFE379" s="50" t="n"/>
      <c r="EFF379" s="50" t="n"/>
      <c r="EFG379" s="50" t="n"/>
      <c r="EFH379" s="50" t="n"/>
      <c r="EFI379" s="50" t="n"/>
      <c r="EFJ379" s="50" t="n"/>
      <c r="EFK379" s="50" t="n"/>
      <c r="EFL379" s="50" t="n"/>
      <c r="EFM379" s="50" t="n"/>
      <c r="EFN379" s="50" t="n"/>
      <c r="EFO379" s="50" t="n"/>
      <c r="EFP379" s="50" t="n"/>
      <c r="EFQ379" s="50" t="n"/>
      <c r="EFR379" s="50" t="n"/>
      <c r="EFS379" s="50" t="n"/>
      <c r="EFT379" s="50" t="n"/>
      <c r="EFU379" s="50" t="n"/>
      <c r="EFV379" s="56" t="n"/>
      <c r="EFW379" s="50" t="n"/>
      <c r="EFX379" s="53" t="n"/>
      <c r="EFY379" s="84" t="n"/>
      <c r="EFZ379" s="85" t="n"/>
      <c r="EGA379" s="31" t="n"/>
      <c r="EGB379" s="50" t="n"/>
      <c r="EGC379" s="50" t="n"/>
      <c r="EGD379" s="50" t="n"/>
      <c r="EGE379" s="50" t="n"/>
      <c r="EGF379" s="50" t="n"/>
      <c r="EGG379" s="50" t="n"/>
      <c r="EGH379" s="50" t="n"/>
      <c r="EGI379" s="50" t="n"/>
      <c r="EGJ379" s="50" t="n"/>
      <c r="EGK379" s="50" t="n"/>
      <c r="EGL379" s="50" t="n"/>
      <c r="EGM379" s="50" t="n"/>
      <c r="EGN379" s="50" t="n"/>
      <c r="EGO379" s="50" t="n"/>
      <c r="EGP379" s="50" t="n"/>
      <c r="EGQ379" s="50" t="n"/>
      <c r="EGR379" s="50" t="n"/>
      <c r="EGS379" s="50" t="n"/>
      <c r="EGT379" s="50" t="n"/>
      <c r="EGU379" s="50" t="n"/>
      <c r="EGV379" s="50" t="n"/>
      <c r="EGW379" s="50" t="n"/>
      <c r="EGX379" s="50" t="n"/>
      <c r="EGY379" s="50" t="n"/>
      <c r="EGZ379" s="56" t="n"/>
      <c r="EHA379" s="50" t="n"/>
      <c r="EHB379" s="53" t="n"/>
      <c r="EHC379" s="84" t="n"/>
      <c r="EHD379" s="85" t="n"/>
      <c r="EHE379" s="31" t="n"/>
      <c r="EHF379" s="50" t="n"/>
      <c r="EHG379" s="50" t="n"/>
      <c r="EHH379" s="50" t="n"/>
      <c r="EHI379" s="50" t="n"/>
      <c r="EHJ379" s="50" t="n"/>
      <c r="EHK379" s="50" t="n"/>
      <c r="EHL379" s="50" t="n"/>
      <c r="EHM379" s="50" t="n"/>
      <c r="EHN379" s="50" t="n"/>
      <c r="EHO379" s="50" t="n"/>
      <c r="EHP379" s="50" t="n"/>
      <c r="EHQ379" s="50" t="n"/>
      <c r="EHR379" s="50" t="n"/>
      <c r="EHS379" s="50" t="n"/>
      <c r="EHT379" s="50" t="n"/>
      <c r="EHU379" s="50" t="n"/>
      <c r="EHV379" s="50" t="n"/>
      <c r="EHW379" s="50" t="n"/>
      <c r="EHX379" s="50" t="n"/>
      <c r="EHY379" s="50" t="n"/>
      <c r="EHZ379" s="50" t="n"/>
      <c r="EIA379" s="50" t="n"/>
      <c r="EIB379" s="50" t="n"/>
      <c r="EIC379" s="50" t="n"/>
      <c r="EID379" s="56" t="n"/>
      <c r="EIE379" s="50" t="n"/>
      <c r="EIF379" s="53" t="n"/>
      <c r="EIG379" s="84" t="n"/>
      <c r="EIH379" s="85" t="n"/>
      <c r="EII379" s="31" t="n"/>
      <c r="EIJ379" s="50" t="n"/>
      <c r="EIK379" s="50" t="n"/>
      <c r="EIL379" s="50" t="n"/>
      <c r="EIM379" s="50" t="n"/>
      <c r="EIN379" s="50" t="n"/>
      <c r="EIO379" s="50" t="n"/>
      <c r="EIP379" s="50" t="n"/>
      <c r="EIQ379" s="50" t="n"/>
      <c r="EIR379" s="50" t="n"/>
      <c r="EIS379" s="50" t="n"/>
      <c r="EIT379" s="50" t="n"/>
      <c r="EIU379" s="50" t="n"/>
      <c r="EIV379" s="50" t="n"/>
      <c r="EIW379" s="50" t="n"/>
      <c r="EIX379" s="50" t="n"/>
      <c r="EIY379" s="50" t="n"/>
      <c r="EIZ379" s="50" t="n"/>
      <c r="EJA379" s="50" t="n"/>
      <c r="EJB379" s="50" t="n"/>
      <c r="EJC379" s="50" t="n"/>
      <c r="EJD379" s="50" t="n"/>
      <c r="EJE379" s="50" t="n"/>
      <c r="EJF379" s="50" t="n"/>
      <c r="EJG379" s="50" t="n"/>
      <c r="EJH379" s="56" t="n"/>
      <c r="EJI379" s="50" t="n"/>
      <c r="EJJ379" s="53" t="n"/>
      <c r="EJK379" s="84" t="n"/>
      <c r="EJL379" s="85" t="n"/>
      <c r="EJM379" s="31" t="n"/>
      <c r="EJN379" s="50" t="n"/>
      <c r="EJO379" s="50" t="n"/>
      <c r="EJP379" s="50" t="n"/>
      <c r="EJQ379" s="50" t="n"/>
      <c r="EJR379" s="50" t="n"/>
      <c r="EJS379" s="50" t="n"/>
      <c r="EJT379" s="50" t="n"/>
      <c r="EJU379" s="50" t="n"/>
      <c r="EJV379" s="50" t="n"/>
      <c r="EJW379" s="50" t="n"/>
      <c r="EJX379" s="50" t="n"/>
      <c r="EJY379" s="50" t="n"/>
      <c r="EJZ379" s="50" t="n"/>
      <c r="EKA379" s="50" t="n"/>
      <c r="EKB379" s="50" t="n"/>
      <c r="EKC379" s="50" t="n"/>
      <c r="EKD379" s="50" t="n"/>
      <c r="EKE379" s="50" t="n"/>
      <c r="EKF379" s="50" t="n"/>
      <c r="EKG379" s="50" t="n"/>
      <c r="EKH379" s="50" t="n"/>
      <c r="EKI379" s="50" t="n"/>
      <c r="EKJ379" s="50" t="n"/>
      <c r="EKK379" s="50" t="n"/>
      <c r="EKL379" s="56" t="n"/>
      <c r="EKM379" s="50" t="n"/>
      <c r="EKN379" s="53" t="n"/>
      <c r="EKO379" s="84" t="n"/>
      <c r="EKP379" s="85" t="n"/>
      <c r="EKQ379" s="31" t="n"/>
      <c r="EKR379" s="50" t="n"/>
      <c r="EKS379" s="50" t="n"/>
      <c r="EKT379" s="50" t="n"/>
      <c r="EKU379" s="50" t="n"/>
      <c r="EKV379" s="50" t="n"/>
      <c r="EKW379" s="50" t="n"/>
      <c r="EKX379" s="50" t="n"/>
      <c r="EKY379" s="50" t="n"/>
      <c r="EKZ379" s="50" t="n"/>
      <c r="ELA379" s="50" t="n"/>
      <c r="ELB379" s="50" t="n"/>
      <c r="ELC379" s="50" t="n"/>
      <c r="ELD379" s="50" t="n"/>
      <c r="ELE379" s="50" t="n"/>
      <c r="ELF379" s="50" t="n"/>
      <c r="ELG379" s="50" t="n"/>
      <c r="ELH379" s="50" t="n"/>
      <c r="ELI379" s="50" t="n"/>
      <c r="ELJ379" s="50" t="n"/>
      <c r="ELK379" s="50" t="n"/>
      <c r="ELL379" s="50" t="n"/>
      <c r="ELM379" s="50" t="n"/>
      <c r="ELN379" s="50" t="n"/>
      <c r="ELO379" s="50" t="n"/>
      <c r="ELP379" s="56" t="n"/>
      <c r="ELQ379" s="50" t="n"/>
      <c r="ELR379" s="53" t="n"/>
      <c r="ELS379" s="84" t="n"/>
      <c r="ELT379" s="85" t="n"/>
      <c r="ELU379" s="31" t="n"/>
      <c r="ELV379" s="50" t="n"/>
      <c r="ELW379" s="50" t="n"/>
      <c r="ELX379" s="50" t="n"/>
      <c r="ELY379" s="50" t="n"/>
      <c r="ELZ379" s="50" t="n"/>
      <c r="EMA379" s="50" t="n"/>
      <c r="EMB379" s="50" t="n"/>
      <c r="EMC379" s="50" t="n"/>
      <c r="EMD379" s="50" t="n"/>
      <c r="EME379" s="50" t="n"/>
      <c r="EMF379" s="50" t="n"/>
      <c r="EMG379" s="50" t="n"/>
      <c r="EMH379" s="50" t="n"/>
      <c r="EMI379" s="50" t="n"/>
      <c r="EMJ379" s="50" t="n"/>
      <c r="EMK379" s="50" t="n"/>
      <c r="EML379" s="50" t="n"/>
      <c r="EMM379" s="50" t="n"/>
      <c r="EMN379" s="50" t="n"/>
      <c r="EMO379" s="50" t="n"/>
      <c r="EMP379" s="50" t="n"/>
      <c r="EMQ379" s="50" t="n"/>
      <c r="EMR379" s="50" t="n"/>
      <c r="EMS379" s="50" t="n"/>
      <c r="EMT379" s="56" t="n"/>
      <c r="EMU379" s="50" t="n"/>
      <c r="EMV379" s="53" t="n"/>
      <c r="EMW379" s="84" t="n"/>
      <c r="EMX379" s="85" t="n"/>
      <c r="EMY379" s="31" t="n"/>
      <c r="EMZ379" s="50" t="n"/>
      <c r="ENA379" s="50" t="n"/>
      <c r="ENB379" s="50" t="n"/>
      <c r="ENC379" s="50" t="n"/>
      <c r="END379" s="50" t="n"/>
      <c r="ENE379" s="50" t="n"/>
      <c r="ENF379" s="50" t="n"/>
      <c r="ENG379" s="50" t="n"/>
      <c r="ENH379" s="50" t="n"/>
      <c r="ENI379" s="50" t="n"/>
      <c r="ENJ379" s="50" t="n"/>
      <c r="ENK379" s="50" t="n"/>
      <c r="ENL379" s="50" t="n"/>
      <c r="ENM379" s="50" t="n"/>
      <c r="ENN379" s="50" t="n"/>
      <c r="ENO379" s="50" t="n"/>
      <c r="ENP379" s="50" t="n"/>
      <c r="ENQ379" s="50" t="n"/>
      <c r="ENR379" s="50" t="n"/>
      <c r="ENS379" s="50" t="n"/>
      <c r="ENT379" s="50" t="n"/>
      <c r="ENU379" s="50" t="n"/>
      <c r="ENV379" s="50" t="n"/>
      <c r="ENW379" s="50" t="n"/>
      <c r="ENX379" s="56" t="n"/>
      <c r="ENY379" s="50" t="n"/>
      <c r="ENZ379" s="53" t="n"/>
      <c r="EOA379" s="84" t="n"/>
      <c r="EOB379" s="85" t="n"/>
      <c r="EOC379" s="31" t="n"/>
      <c r="EOD379" s="50" t="n"/>
      <c r="EOE379" s="50" t="n"/>
      <c r="EOF379" s="50" t="n"/>
      <c r="EOG379" s="50" t="n"/>
      <c r="EOH379" s="50" t="n"/>
      <c r="EOI379" s="50" t="n"/>
      <c r="EOJ379" s="50" t="n"/>
      <c r="EOK379" s="50" t="n"/>
      <c r="EOL379" s="50" t="n"/>
      <c r="EOM379" s="50" t="n"/>
      <c r="EON379" s="50" t="n"/>
      <c r="EOO379" s="50" t="n"/>
      <c r="EOP379" s="50" t="n"/>
      <c r="EOQ379" s="50" t="n"/>
      <c r="EOR379" s="50" t="n"/>
      <c r="EOS379" s="50" t="n"/>
      <c r="EOT379" s="50" t="n"/>
      <c r="EOU379" s="50" t="n"/>
      <c r="EOV379" s="50" t="n"/>
      <c r="EOW379" s="50" t="n"/>
      <c r="EOX379" s="50" t="n"/>
      <c r="EOY379" s="50" t="n"/>
      <c r="EOZ379" s="50" t="n"/>
      <c r="EPA379" s="50" t="n"/>
      <c r="EPB379" s="56" t="n"/>
      <c r="EPC379" s="50" t="n"/>
      <c r="EPD379" s="53" t="n"/>
      <c r="EPE379" s="84" t="n"/>
      <c r="EPF379" s="85" t="n"/>
      <c r="EPG379" s="31" t="n"/>
      <c r="EPH379" s="50" t="n"/>
      <c r="EPI379" s="50" t="n"/>
      <c r="EPJ379" s="50" t="n"/>
      <c r="EPK379" s="50" t="n"/>
      <c r="EPL379" s="50" t="n"/>
      <c r="EPM379" s="50" t="n"/>
      <c r="EPN379" s="50" t="n"/>
      <c r="EPO379" s="50" t="n"/>
      <c r="EPP379" s="50" t="n"/>
      <c r="EPQ379" s="50" t="n"/>
      <c r="EPR379" s="50" t="n"/>
      <c r="EPS379" s="50" t="n"/>
      <c r="EPT379" s="50" t="n"/>
      <c r="EPU379" s="50" t="n"/>
      <c r="EPV379" s="50" t="n"/>
      <c r="EPW379" s="50" t="n"/>
      <c r="EPX379" s="50" t="n"/>
      <c r="EPY379" s="50" t="n"/>
      <c r="EPZ379" s="50" t="n"/>
      <c r="EQA379" s="50" t="n"/>
      <c r="EQB379" s="50" t="n"/>
      <c r="EQC379" s="50" t="n"/>
      <c r="EQD379" s="50" t="n"/>
      <c r="EQE379" s="50" t="n"/>
      <c r="EQF379" s="56" t="n"/>
      <c r="EQG379" s="50" t="n"/>
      <c r="EQH379" s="53" t="n"/>
      <c r="EQI379" s="84" t="n"/>
      <c r="EQJ379" s="85" t="n"/>
      <c r="EQK379" s="31" t="n"/>
      <c r="EQL379" s="50" t="n"/>
      <c r="EQM379" s="50" t="n"/>
      <c r="EQN379" s="50" t="n"/>
      <c r="EQO379" s="50" t="n"/>
      <c r="EQP379" s="50" t="n"/>
      <c r="EQQ379" s="50" t="n"/>
      <c r="EQR379" s="50" t="n"/>
      <c r="EQS379" s="50" t="n"/>
      <c r="EQT379" s="50" t="n"/>
      <c r="EQU379" s="50" t="n"/>
      <c r="EQV379" s="50" t="n"/>
      <c r="EQW379" s="50" t="n"/>
      <c r="EQX379" s="50" t="n"/>
      <c r="EQY379" s="50" t="n"/>
      <c r="EQZ379" s="50" t="n"/>
      <c r="ERA379" s="50" t="n"/>
      <c r="ERB379" s="50" t="n"/>
      <c r="ERC379" s="50" t="n"/>
      <c r="ERD379" s="50" t="n"/>
      <c r="ERE379" s="50" t="n"/>
      <c r="ERF379" s="50" t="n"/>
      <c r="ERG379" s="50" t="n"/>
      <c r="ERH379" s="50" t="n"/>
      <c r="ERI379" s="50" t="n"/>
      <c r="ERJ379" s="56" t="n"/>
      <c r="ERK379" s="50" t="n"/>
      <c r="ERL379" s="53" t="n"/>
      <c r="ERM379" s="84" t="n"/>
      <c r="ERN379" s="85" t="n"/>
      <c r="ERO379" s="31" t="n"/>
      <c r="ERP379" s="50" t="n"/>
      <c r="ERQ379" s="50" t="n"/>
      <c r="ERR379" s="50" t="n"/>
      <c r="ERS379" s="50" t="n"/>
      <c r="ERT379" s="50" t="n"/>
      <c r="ERU379" s="50" t="n"/>
      <c r="ERV379" s="50" t="n"/>
      <c r="ERW379" s="50" t="n"/>
      <c r="ERX379" s="50" t="n"/>
      <c r="ERY379" s="50" t="n"/>
      <c r="ERZ379" s="50" t="n"/>
      <c r="ESA379" s="50" t="n"/>
      <c r="ESB379" s="50" t="n"/>
      <c r="ESC379" s="50" t="n"/>
      <c r="ESD379" s="50" t="n"/>
      <c r="ESE379" s="50" t="n"/>
      <c r="ESF379" s="50" t="n"/>
      <c r="ESG379" s="50" t="n"/>
      <c r="ESH379" s="50" t="n"/>
      <c r="ESI379" s="50" t="n"/>
      <c r="ESJ379" s="50" t="n"/>
      <c r="ESK379" s="50" t="n"/>
      <c r="ESL379" s="50" t="n"/>
      <c r="ESM379" s="50" t="n"/>
      <c r="ESN379" s="56" t="n"/>
      <c r="ESO379" s="50" t="n"/>
      <c r="ESP379" s="53" t="n"/>
      <c r="ESQ379" s="84" t="n"/>
      <c r="ESR379" s="85" t="n"/>
      <c r="ESS379" s="31" t="n"/>
      <c r="EST379" s="50" t="n"/>
      <c r="ESU379" s="50" t="n"/>
      <c r="ESV379" s="50" t="n"/>
      <c r="ESW379" s="50" t="n"/>
      <c r="ESX379" s="50" t="n"/>
      <c r="ESY379" s="50" t="n"/>
      <c r="ESZ379" s="50" t="n"/>
      <c r="ETA379" s="50" t="n"/>
      <c r="ETB379" s="50" t="n"/>
      <c r="ETC379" s="50" t="n"/>
      <c r="ETD379" s="50" t="n"/>
      <c r="ETE379" s="50" t="n"/>
      <c r="ETF379" s="50" t="n"/>
      <c r="ETG379" s="50" t="n"/>
      <c r="ETH379" s="50" t="n"/>
      <c r="ETI379" s="50" t="n"/>
      <c r="ETJ379" s="50" t="n"/>
      <c r="ETK379" s="50" t="n"/>
      <c r="ETL379" s="50" t="n"/>
      <c r="ETM379" s="50" t="n"/>
      <c r="ETN379" s="50" t="n"/>
      <c r="ETO379" s="50" t="n"/>
      <c r="ETP379" s="50" t="n"/>
      <c r="ETQ379" s="50" t="n"/>
      <c r="ETR379" s="56" t="n"/>
      <c r="ETS379" s="50" t="n"/>
      <c r="ETT379" s="53" t="n"/>
      <c r="ETU379" s="84" t="n"/>
      <c r="ETV379" s="85" t="n"/>
      <c r="ETW379" s="31" t="n"/>
      <c r="ETX379" s="50" t="n"/>
      <c r="ETY379" s="50" t="n"/>
      <c r="ETZ379" s="50" t="n"/>
      <c r="EUA379" s="50" t="n"/>
      <c r="EUB379" s="50" t="n"/>
      <c r="EUC379" s="50" t="n"/>
      <c r="EUD379" s="50" t="n"/>
      <c r="EUE379" s="50" t="n"/>
      <c r="EUF379" s="50" t="n"/>
      <c r="EUG379" s="50" t="n"/>
      <c r="EUH379" s="50" t="n"/>
      <c r="EUI379" s="50" t="n"/>
      <c r="EUJ379" s="50" t="n"/>
      <c r="EUK379" s="50" t="n"/>
      <c r="EUL379" s="50" t="n"/>
      <c r="EUM379" s="50" t="n"/>
      <c r="EUN379" s="50" t="n"/>
      <c r="EUO379" s="50" t="n"/>
      <c r="EUP379" s="50" t="n"/>
      <c r="EUQ379" s="50" t="n"/>
      <c r="EUR379" s="50" t="n"/>
      <c r="EUS379" s="50" t="n"/>
      <c r="EUT379" s="50" t="n"/>
      <c r="EUU379" s="50" t="n"/>
      <c r="EUV379" s="56" t="n"/>
      <c r="EUW379" s="50" t="n"/>
      <c r="EUX379" s="53" t="n"/>
      <c r="EUY379" s="84" t="n"/>
      <c r="EUZ379" s="85" t="n"/>
      <c r="EVA379" s="31" t="n"/>
      <c r="EVB379" s="50" t="n"/>
      <c r="EVC379" s="50" t="n"/>
      <c r="EVD379" s="50" t="n"/>
      <c r="EVE379" s="50" t="n"/>
      <c r="EVF379" s="50" t="n"/>
      <c r="EVG379" s="50" t="n"/>
      <c r="EVH379" s="50" t="n"/>
      <c r="EVI379" s="50" t="n"/>
      <c r="EVJ379" s="50" t="n"/>
      <c r="EVK379" s="50" t="n"/>
      <c r="EVL379" s="50" t="n"/>
      <c r="EVM379" s="50" t="n"/>
      <c r="EVN379" s="50" t="n"/>
      <c r="EVO379" s="50" t="n"/>
      <c r="EVP379" s="50" t="n"/>
      <c r="EVQ379" s="50" t="n"/>
      <c r="EVR379" s="50" t="n"/>
      <c r="EVS379" s="50" t="n"/>
      <c r="EVT379" s="50" t="n"/>
      <c r="EVU379" s="50" t="n"/>
      <c r="EVV379" s="50" t="n"/>
      <c r="EVW379" s="50" t="n"/>
      <c r="EVX379" s="50" t="n"/>
      <c r="EVY379" s="50" t="n"/>
      <c r="EVZ379" s="56" t="n"/>
      <c r="EWA379" s="50" t="n"/>
      <c r="EWB379" s="53" t="n"/>
      <c r="EWC379" s="84" t="n"/>
      <c r="EWD379" s="85" t="n"/>
      <c r="EWE379" s="31" t="n"/>
      <c r="EWF379" s="50" t="n"/>
      <c r="EWG379" s="50" t="n"/>
      <c r="EWH379" s="50" t="n"/>
      <c r="EWI379" s="50" t="n"/>
      <c r="EWJ379" s="50" t="n"/>
      <c r="EWK379" s="50" t="n"/>
      <c r="EWL379" s="50" t="n"/>
      <c r="EWM379" s="50" t="n"/>
      <c r="EWN379" s="50" t="n"/>
      <c r="EWO379" s="50" t="n"/>
      <c r="EWP379" s="50" t="n"/>
      <c r="EWQ379" s="50" t="n"/>
      <c r="EWR379" s="50" t="n"/>
      <c r="EWS379" s="50" t="n"/>
      <c r="EWT379" s="50" t="n"/>
      <c r="EWU379" s="50" t="n"/>
      <c r="EWV379" s="50" t="n"/>
      <c r="EWW379" s="50" t="n"/>
      <c r="EWX379" s="50" t="n"/>
      <c r="EWY379" s="50" t="n"/>
      <c r="EWZ379" s="50" t="n"/>
      <c r="EXA379" s="50" t="n"/>
      <c r="EXB379" s="50" t="n"/>
      <c r="EXC379" s="50" t="n"/>
      <c r="EXD379" s="56" t="n"/>
      <c r="EXE379" s="50" t="n"/>
      <c r="EXF379" s="53" t="n"/>
      <c r="EXG379" s="84" t="n"/>
      <c r="EXH379" s="85" t="n"/>
      <c r="EXI379" s="31" t="n"/>
      <c r="EXJ379" s="50" t="n"/>
      <c r="EXK379" s="50" t="n"/>
      <c r="EXL379" s="50" t="n"/>
      <c r="EXM379" s="50" t="n"/>
      <c r="EXN379" s="50" t="n"/>
      <c r="EXO379" s="50" t="n"/>
      <c r="EXP379" s="50" t="n"/>
      <c r="EXQ379" s="50" t="n"/>
      <c r="EXR379" s="50" t="n"/>
      <c r="EXS379" s="50" t="n"/>
      <c r="EXT379" s="50" t="n"/>
      <c r="EXU379" s="50" t="n"/>
      <c r="EXV379" s="50" t="n"/>
      <c r="EXW379" s="50" t="n"/>
      <c r="EXX379" s="50" t="n"/>
      <c r="EXY379" s="50" t="n"/>
      <c r="EXZ379" s="50" t="n"/>
      <c r="EYA379" s="50" t="n"/>
      <c r="EYB379" s="50" t="n"/>
      <c r="EYC379" s="50" t="n"/>
      <c r="EYD379" s="50" t="n"/>
      <c r="EYE379" s="50" t="n"/>
      <c r="EYF379" s="50" t="n"/>
      <c r="EYG379" s="50" t="n"/>
      <c r="EYH379" s="56" t="n"/>
      <c r="EYI379" s="50" t="n"/>
      <c r="EYJ379" s="53" t="n"/>
      <c r="EYK379" s="84" t="n"/>
      <c r="EYL379" s="85" t="n"/>
      <c r="EYM379" s="31" t="n"/>
      <c r="EYN379" s="50" t="n"/>
      <c r="EYO379" s="50" t="n"/>
      <c r="EYP379" s="50" t="n"/>
      <c r="EYQ379" s="50" t="n"/>
      <c r="EYR379" s="50" t="n"/>
      <c r="EYS379" s="50" t="n"/>
      <c r="EYT379" s="50" t="n"/>
      <c r="EYU379" s="50" t="n"/>
      <c r="EYV379" s="50" t="n"/>
      <c r="EYW379" s="50" t="n"/>
      <c r="EYX379" s="50" t="n"/>
      <c r="EYY379" s="50" t="n"/>
      <c r="EYZ379" s="50" t="n"/>
      <c r="EZA379" s="50" t="n"/>
      <c r="EZB379" s="50" t="n"/>
      <c r="EZC379" s="50" t="n"/>
      <c r="EZD379" s="50" t="n"/>
      <c r="EZE379" s="50" t="n"/>
      <c r="EZF379" s="50" t="n"/>
      <c r="EZG379" s="50" t="n"/>
      <c r="EZH379" s="50" t="n"/>
      <c r="EZI379" s="50" t="n"/>
      <c r="EZJ379" s="50" t="n"/>
      <c r="EZK379" s="50" t="n"/>
      <c r="EZL379" s="56" t="n"/>
      <c r="EZM379" s="50" t="n"/>
      <c r="EZN379" s="53" t="n"/>
      <c r="EZO379" s="84" t="n"/>
      <c r="EZP379" s="85" t="n"/>
      <c r="EZQ379" s="31" t="n"/>
      <c r="EZR379" s="50" t="n"/>
      <c r="EZS379" s="50" t="n"/>
      <c r="EZT379" s="50" t="n"/>
      <c r="EZU379" s="50" t="n"/>
      <c r="EZV379" s="50" t="n"/>
      <c r="EZW379" s="50" t="n"/>
      <c r="EZX379" s="50" t="n"/>
      <c r="EZY379" s="50" t="n"/>
      <c r="EZZ379" s="50" t="n"/>
      <c r="FAA379" s="50" t="n"/>
      <c r="FAB379" s="50" t="n"/>
      <c r="FAC379" s="50" t="n"/>
      <c r="FAD379" s="50" t="n"/>
      <c r="FAE379" s="50" t="n"/>
      <c r="FAF379" s="50" t="n"/>
      <c r="FAG379" s="50" t="n"/>
      <c r="FAH379" s="50" t="n"/>
      <c r="FAI379" s="50" t="n"/>
      <c r="FAJ379" s="50" t="n"/>
      <c r="FAK379" s="50" t="n"/>
      <c r="FAL379" s="50" t="n"/>
      <c r="FAM379" s="50" t="n"/>
      <c r="FAN379" s="50" t="n"/>
      <c r="FAO379" s="50" t="n"/>
      <c r="FAP379" s="56" t="n"/>
      <c r="FAQ379" s="50" t="n"/>
      <c r="FAR379" s="53" t="n"/>
      <c r="FAS379" s="84" t="n"/>
      <c r="FAT379" s="85" t="n"/>
      <c r="FAU379" s="31" t="n"/>
      <c r="FAV379" s="50" t="n"/>
      <c r="FAW379" s="50" t="n"/>
      <c r="FAX379" s="50" t="n"/>
      <c r="FAY379" s="50" t="n"/>
      <c r="FAZ379" s="50" t="n"/>
      <c r="FBA379" s="50" t="n"/>
      <c r="FBB379" s="50" t="n"/>
      <c r="FBC379" s="50" t="n"/>
      <c r="FBD379" s="50" t="n"/>
      <c r="FBE379" s="50" t="n"/>
      <c r="FBF379" s="50" t="n"/>
      <c r="FBG379" s="50" t="n"/>
      <c r="FBH379" s="50" t="n"/>
      <c r="FBI379" s="50" t="n"/>
      <c r="FBJ379" s="50" t="n"/>
      <c r="FBK379" s="50" t="n"/>
      <c r="FBL379" s="50" t="n"/>
      <c r="FBM379" s="50" t="n"/>
      <c r="FBN379" s="50" t="n"/>
      <c r="FBO379" s="50" t="n"/>
      <c r="FBP379" s="50" t="n"/>
      <c r="FBQ379" s="50" t="n"/>
      <c r="FBR379" s="50" t="n"/>
      <c r="FBS379" s="50" t="n"/>
      <c r="FBT379" s="56" t="n"/>
      <c r="FBU379" s="50" t="n"/>
      <c r="FBV379" s="53" t="n"/>
      <c r="FBW379" s="84" t="n"/>
      <c r="FBX379" s="85" t="n"/>
      <c r="FBY379" s="31" t="n"/>
      <c r="FBZ379" s="50" t="n"/>
      <c r="FCA379" s="50" t="n"/>
      <c r="FCB379" s="50" t="n"/>
      <c r="FCC379" s="50" t="n"/>
      <c r="FCD379" s="50" t="n"/>
      <c r="FCE379" s="50" t="n"/>
      <c r="FCF379" s="50" t="n"/>
      <c r="FCG379" s="50" t="n"/>
      <c r="FCH379" s="50" t="n"/>
      <c r="FCI379" s="50" t="n"/>
      <c r="FCJ379" s="50" t="n"/>
      <c r="FCK379" s="50" t="n"/>
      <c r="FCL379" s="50" t="n"/>
      <c r="FCM379" s="50" t="n"/>
      <c r="FCN379" s="50" t="n"/>
      <c r="FCO379" s="50" t="n"/>
      <c r="FCP379" s="50" t="n"/>
      <c r="FCQ379" s="50" t="n"/>
      <c r="FCR379" s="50" t="n"/>
      <c r="FCS379" s="50" t="n"/>
      <c r="FCT379" s="50" t="n"/>
      <c r="FCU379" s="50" t="n"/>
      <c r="FCV379" s="50" t="n"/>
      <c r="FCW379" s="50" t="n"/>
      <c r="FCX379" s="56" t="n"/>
      <c r="FCY379" s="50" t="n"/>
      <c r="FCZ379" s="53" t="n"/>
      <c r="FDA379" s="84" t="n"/>
      <c r="FDB379" s="85" t="n"/>
      <c r="FDC379" s="31" t="n"/>
      <c r="FDD379" s="50" t="n"/>
      <c r="FDE379" s="50" t="n"/>
      <c r="FDF379" s="50" t="n"/>
      <c r="FDG379" s="50" t="n"/>
      <c r="FDH379" s="50" t="n"/>
      <c r="FDI379" s="50" t="n"/>
      <c r="FDJ379" s="50" t="n"/>
      <c r="FDK379" s="50" t="n"/>
      <c r="FDL379" s="50" t="n"/>
      <c r="FDM379" s="50" t="n"/>
      <c r="FDN379" s="50" t="n"/>
      <c r="FDO379" s="50" t="n"/>
      <c r="FDP379" s="50" t="n"/>
      <c r="FDQ379" s="50" t="n"/>
      <c r="FDR379" s="50" t="n"/>
      <c r="FDS379" s="50" t="n"/>
      <c r="FDT379" s="50" t="n"/>
      <c r="FDU379" s="50" t="n"/>
      <c r="FDV379" s="50" t="n"/>
      <c r="FDW379" s="50" t="n"/>
      <c r="FDX379" s="50" t="n"/>
      <c r="FDY379" s="50" t="n"/>
      <c r="FDZ379" s="50" t="n"/>
      <c r="FEA379" s="50" t="n"/>
      <c r="FEB379" s="56" t="n"/>
      <c r="FEC379" s="50" t="n"/>
      <c r="FED379" s="53" t="n"/>
      <c r="FEE379" s="84" t="n"/>
      <c r="FEF379" s="85" t="n"/>
      <c r="FEG379" s="31" t="n"/>
      <c r="FEH379" s="50" t="n"/>
      <c r="FEI379" s="50" t="n"/>
      <c r="FEJ379" s="50" t="n"/>
      <c r="FEK379" s="50" t="n"/>
      <c r="FEL379" s="50" t="n"/>
      <c r="FEM379" s="50" t="n"/>
      <c r="FEN379" s="50" t="n"/>
      <c r="FEO379" s="50" t="n"/>
      <c r="FEP379" s="50" t="n"/>
      <c r="FEQ379" s="50" t="n"/>
      <c r="FER379" s="50" t="n"/>
      <c r="FES379" s="50" t="n"/>
      <c r="FET379" s="50" t="n"/>
      <c r="FEU379" s="50" t="n"/>
      <c r="FEV379" s="50" t="n"/>
      <c r="FEW379" s="50" t="n"/>
      <c r="FEX379" s="50" t="n"/>
      <c r="FEY379" s="50" t="n"/>
      <c r="FEZ379" s="50" t="n"/>
      <c r="FFA379" s="50" t="n"/>
      <c r="FFB379" s="50" t="n"/>
      <c r="FFC379" s="50" t="n"/>
      <c r="FFD379" s="50" t="n"/>
      <c r="FFE379" s="50" t="n"/>
      <c r="FFF379" s="56" t="n"/>
      <c r="FFG379" s="50" t="n"/>
      <c r="FFH379" s="53" t="n"/>
      <c r="FFI379" s="84" t="n"/>
      <c r="FFJ379" s="85" t="n"/>
      <c r="FFK379" s="31" t="n"/>
      <c r="FFL379" s="50" t="n"/>
      <c r="FFM379" s="50" t="n"/>
      <c r="FFN379" s="50" t="n"/>
      <c r="FFO379" s="50" t="n"/>
      <c r="FFP379" s="50" t="n"/>
      <c r="FFQ379" s="50" t="n"/>
      <c r="FFR379" s="50" t="n"/>
      <c r="FFS379" s="50" t="n"/>
      <c r="FFT379" s="50" t="n"/>
      <c r="FFU379" s="50" t="n"/>
      <c r="FFV379" s="50" t="n"/>
      <c r="FFW379" s="50" t="n"/>
      <c r="FFX379" s="50" t="n"/>
      <c r="FFY379" s="50" t="n"/>
      <c r="FFZ379" s="50" t="n"/>
      <c r="FGA379" s="50" t="n"/>
      <c r="FGB379" s="50" t="n"/>
      <c r="FGC379" s="50" t="n"/>
      <c r="FGD379" s="50" t="n"/>
      <c r="FGE379" s="50" t="n"/>
      <c r="FGF379" s="50" t="n"/>
      <c r="FGG379" s="50" t="n"/>
      <c r="FGH379" s="50" t="n"/>
      <c r="FGI379" s="50" t="n"/>
      <c r="FGJ379" s="56" t="n"/>
      <c r="FGK379" s="50" t="n"/>
      <c r="FGL379" s="53" t="n"/>
      <c r="FGM379" s="84" t="n"/>
      <c r="FGN379" s="85" t="n"/>
      <c r="FGO379" s="31" t="n"/>
      <c r="FGP379" s="50" t="n"/>
      <c r="FGQ379" s="50" t="n"/>
      <c r="FGR379" s="50" t="n"/>
      <c r="FGS379" s="50" t="n"/>
      <c r="FGT379" s="50" t="n"/>
      <c r="FGU379" s="50" t="n"/>
      <c r="FGV379" s="50" t="n"/>
      <c r="FGW379" s="50" t="n"/>
      <c r="FGX379" s="50" t="n"/>
      <c r="FGY379" s="50" t="n"/>
      <c r="FGZ379" s="50" t="n"/>
      <c r="FHA379" s="50" t="n"/>
      <c r="FHB379" s="50" t="n"/>
      <c r="FHC379" s="50" t="n"/>
      <c r="FHD379" s="50" t="n"/>
      <c r="FHE379" s="50" t="n"/>
      <c r="FHF379" s="50" t="n"/>
      <c r="FHG379" s="50" t="n"/>
      <c r="FHH379" s="50" t="n"/>
      <c r="FHI379" s="50" t="n"/>
      <c r="FHJ379" s="50" t="n"/>
      <c r="FHK379" s="50" t="n"/>
      <c r="FHL379" s="50" t="n"/>
      <c r="FHM379" s="50" t="n"/>
      <c r="FHN379" s="56" t="n"/>
      <c r="FHO379" s="50" t="n"/>
      <c r="FHP379" s="53" t="n"/>
      <c r="FHQ379" s="84" t="n"/>
      <c r="FHR379" s="85" t="n"/>
      <c r="FHS379" s="31" t="n"/>
      <c r="FHT379" s="50" t="n"/>
      <c r="FHU379" s="50" t="n"/>
      <c r="FHV379" s="50" t="n"/>
      <c r="FHW379" s="50" t="n"/>
      <c r="FHX379" s="50" t="n"/>
      <c r="FHY379" s="50" t="n"/>
      <c r="FHZ379" s="50" t="n"/>
      <c r="FIA379" s="50" t="n"/>
      <c r="FIB379" s="50" t="n"/>
      <c r="FIC379" s="50" t="n"/>
      <c r="FID379" s="50" t="n"/>
      <c r="FIE379" s="50" t="n"/>
      <c r="FIF379" s="50" t="n"/>
      <c r="FIG379" s="50" t="n"/>
      <c r="FIH379" s="50" t="n"/>
      <c r="FII379" s="50" t="n"/>
      <c r="FIJ379" s="50" t="n"/>
      <c r="FIK379" s="50" t="n"/>
      <c r="FIL379" s="50" t="n"/>
      <c r="FIM379" s="50" t="n"/>
      <c r="FIN379" s="50" t="n"/>
      <c r="FIO379" s="50" t="n"/>
      <c r="FIP379" s="50" t="n"/>
      <c r="FIQ379" s="50" t="n"/>
      <c r="FIR379" s="56" t="n"/>
      <c r="FIS379" s="50" t="n"/>
      <c r="FIT379" s="53" t="n"/>
      <c r="FIU379" s="84" t="n"/>
      <c r="FIV379" s="85" t="n"/>
      <c r="FIW379" s="31" t="n"/>
      <c r="FIX379" s="50" t="n"/>
      <c r="FIY379" s="50" t="n"/>
      <c r="FIZ379" s="50" t="n"/>
      <c r="FJA379" s="50" t="n"/>
      <c r="FJB379" s="50" t="n"/>
      <c r="FJC379" s="50" t="n"/>
      <c r="FJD379" s="50" t="n"/>
      <c r="FJE379" s="50" t="n"/>
      <c r="FJF379" s="50" t="n"/>
      <c r="FJG379" s="50" t="n"/>
      <c r="FJH379" s="50" t="n"/>
      <c r="FJI379" s="50" t="n"/>
      <c r="FJJ379" s="50" t="n"/>
      <c r="FJK379" s="50" t="n"/>
      <c r="FJL379" s="50" t="n"/>
      <c r="FJM379" s="50" t="n"/>
      <c r="FJN379" s="50" t="n"/>
      <c r="FJO379" s="50" t="n"/>
      <c r="FJP379" s="50" t="n"/>
      <c r="FJQ379" s="50" t="n"/>
      <c r="FJR379" s="50" t="n"/>
      <c r="FJS379" s="50" t="n"/>
      <c r="FJT379" s="50" t="n"/>
      <c r="FJU379" s="50" t="n"/>
      <c r="FJV379" s="56" t="n"/>
      <c r="FJW379" s="50" t="n"/>
      <c r="FJX379" s="53" t="n"/>
      <c r="FJY379" s="84" t="n"/>
      <c r="FJZ379" s="85" t="n"/>
      <c r="FKA379" s="31" t="n"/>
      <c r="FKB379" s="50" t="n"/>
      <c r="FKC379" s="50" t="n"/>
      <c r="FKD379" s="50" t="n"/>
      <c r="FKE379" s="50" t="n"/>
      <c r="FKF379" s="50" t="n"/>
      <c r="FKG379" s="50" t="n"/>
      <c r="FKH379" s="50" t="n"/>
      <c r="FKI379" s="50" t="n"/>
      <c r="FKJ379" s="50" t="n"/>
      <c r="FKK379" s="50" t="n"/>
      <c r="FKL379" s="50" t="n"/>
      <c r="FKM379" s="50" t="n"/>
      <c r="FKN379" s="50" t="n"/>
      <c r="FKO379" s="50" t="n"/>
      <c r="FKP379" s="50" t="n"/>
      <c r="FKQ379" s="50" t="n"/>
      <c r="FKR379" s="50" t="n"/>
      <c r="FKS379" s="50" t="n"/>
      <c r="FKT379" s="50" t="n"/>
      <c r="FKU379" s="50" t="n"/>
      <c r="FKV379" s="50" t="n"/>
      <c r="FKW379" s="50" t="n"/>
      <c r="FKX379" s="50" t="n"/>
      <c r="FKY379" s="50" t="n"/>
      <c r="FKZ379" s="56" t="n"/>
      <c r="FLA379" s="50" t="n"/>
      <c r="FLB379" s="53" t="n"/>
      <c r="FLC379" s="84" t="n"/>
      <c r="FLD379" s="85" t="n"/>
      <c r="FLE379" s="31" t="n"/>
      <c r="FLF379" s="50" t="n"/>
      <c r="FLG379" s="50" t="n"/>
      <c r="FLH379" s="50" t="n"/>
      <c r="FLI379" s="50" t="n"/>
      <c r="FLJ379" s="50" t="n"/>
      <c r="FLK379" s="50" t="n"/>
      <c r="FLL379" s="50" t="n"/>
      <c r="FLM379" s="50" t="n"/>
      <c r="FLN379" s="50" t="n"/>
      <c r="FLO379" s="50" t="n"/>
      <c r="FLP379" s="50" t="n"/>
      <c r="FLQ379" s="50" t="n"/>
      <c r="FLR379" s="50" t="n"/>
      <c r="FLS379" s="50" t="n"/>
      <c r="FLT379" s="50" t="n"/>
      <c r="FLU379" s="50" t="n"/>
      <c r="FLV379" s="50" t="n"/>
      <c r="FLW379" s="50" t="n"/>
      <c r="FLX379" s="50" t="n"/>
      <c r="FLY379" s="50" t="n"/>
      <c r="FLZ379" s="50" t="n"/>
      <c r="FMA379" s="50" t="n"/>
      <c r="FMB379" s="50" t="n"/>
      <c r="FMC379" s="50" t="n"/>
      <c r="FMD379" s="56" t="n"/>
      <c r="FME379" s="50" t="n"/>
      <c r="FMF379" s="53" t="n"/>
      <c r="FMG379" s="84" t="n"/>
      <c r="FMH379" s="85" t="n"/>
      <c r="FMI379" s="31" t="n"/>
      <c r="FMJ379" s="50" t="n"/>
      <c r="FMK379" s="50" t="n"/>
      <c r="FML379" s="50" t="n"/>
      <c r="FMM379" s="50" t="n"/>
      <c r="FMN379" s="50" t="n"/>
      <c r="FMO379" s="50" t="n"/>
      <c r="FMP379" s="50" t="n"/>
      <c r="FMQ379" s="50" t="n"/>
      <c r="FMR379" s="50" t="n"/>
      <c r="FMS379" s="50" t="n"/>
      <c r="FMT379" s="50" t="n"/>
      <c r="FMU379" s="50" t="n"/>
      <c r="FMV379" s="50" t="n"/>
      <c r="FMW379" s="50" t="n"/>
      <c r="FMX379" s="50" t="n"/>
      <c r="FMY379" s="50" t="n"/>
      <c r="FMZ379" s="50" t="n"/>
      <c r="FNA379" s="50" t="n"/>
      <c r="FNB379" s="50" t="n"/>
      <c r="FNC379" s="50" t="n"/>
      <c r="FND379" s="50" t="n"/>
      <c r="FNE379" s="50" t="n"/>
      <c r="FNF379" s="50" t="n"/>
      <c r="FNG379" s="50" t="n"/>
      <c r="FNH379" s="56" t="n"/>
      <c r="FNI379" s="50" t="n"/>
      <c r="FNJ379" s="53" t="n"/>
      <c r="FNK379" s="84" t="n"/>
      <c r="FNL379" s="85" t="n"/>
      <c r="FNM379" s="31" t="n"/>
      <c r="FNN379" s="50" t="n"/>
      <c r="FNO379" s="50" t="n"/>
      <c r="FNP379" s="50" t="n"/>
      <c r="FNQ379" s="50" t="n"/>
      <c r="FNR379" s="50" t="n"/>
      <c r="FNS379" s="50" t="n"/>
      <c r="FNT379" s="50" t="n"/>
      <c r="FNU379" s="50" t="n"/>
      <c r="FNV379" s="50" t="n"/>
      <c r="FNW379" s="50" t="n"/>
      <c r="FNX379" s="50" t="n"/>
      <c r="FNY379" s="50" t="n"/>
      <c r="FNZ379" s="50" t="n"/>
      <c r="FOA379" s="50" t="n"/>
      <c r="FOB379" s="50" t="n"/>
      <c r="FOC379" s="50" t="n"/>
      <c r="FOD379" s="50" t="n"/>
      <c r="FOE379" s="50" t="n"/>
      <c r="FOF379" s="50" t="n"/>
      <c r="FOG379" s="50" t="n"/>
      <c r="FOH379" s="50" t="n"/>
      <c r="FOI379" s="50" t="n"/>
      <c r="FOJ379" s="50" t="n"/>
      <c r="FOK379" s="50" t="n"/>
      <c r="FOL379" s="56" t="n"/>
      <c r="FOM379" s="50" t="n"/>
      <c r="FON379" s="53" t="n"/>
      <c r="FOO379" s="84" t="n"/>
      <c r="FOP379" s="85" t="n"/>
      <c r="FOQ379" s="31" t="n"/>
      <c r="FOR379" s="50" t="n"/>
      <c r="FOS379" s="50" t="n"/>
      <c r="FOT379" s="50" t="n"/>
      <c r="FOU379" s="50" t="n"/>
      <c r="FOV379" s="50" t="n"/>
      <c r="FOW379" s="50" t="n"/>
      <c r="FOX379" s="50" t="n"/>
      <c r="FOY379" s="50" t="n"/>
      <c r="FOZ379" s="50" t="n"/>
      <c r="FPA379" s="50" t="n"/>
      <c r="FPB379" s="50" t="n"/>
      <c r="FPC379" s="50" t="n"/>
      <c r="FPD379" s="50" t="n"/>
      <c r="FPE379" s="50" t="n"/>
      <c r="FPF379" s="50" t="n"/>
      <c r="FPG379" s="50" t="n"/>
      <c r="FPH379" s="50" t="n"/>
      <c r="FPI379" s="50" t="n"/>
      <c r="FPJ379" s="50" t="n"/>
      <c r="FPK379" s="50" t="n"/>
      <c r="FPL379" s="50" t="n"/>
      <c r="FPM379" s="50" t="n"/>
      <c r="FPN379" s="50" t="n"/>
      <c r="FPO379" s="50" t="n"/>
      <c r="FPP379" s="56" t="n"/>
      <c r="FPQ379" s="50" t="n"/>
      <c r="FPR379" s="53" t="n"/>
      <c r="FPS379" s="84" t="n"/>
      <c r="FPT379" s="85" t="n"/>
      <c r="FPU379" s="31" t="n"/>
      <c r="FPV379" s="50" t="n"/>
      <c r="FPW379" s="50" t="n"/>
      <c r="FPX379" s="50" t="n"/>
      <c r="FPY379" s="50" t="n"/>
      <c r="FPZ379" s="50" t="n"/>
      <c r="FQA379" s="50" t="n"/>
      <c r="FQB379" s="50" t="n"/>
      <c r="FQC379" s="50" t="n"/>
      <c r="FQD379" s="50" t="n"/>
      <c r="FQE379" s="50" t="n"/>
      <c r="FQF379" s="50" t="n"/>
      <c r="FQG379" s="50" t="n"/>
      <c r="FQH379" s="50" t="n"/>
      <c r="FQI379" s="50" t="n"/>
      <c r="FQJ379" s="50" t="n"/>
      <c r="FQK379" s="50" t="n"/>
      <c r="FQL379" s="50" t="n"/>
      <c r="FQM379" s="50" t="n"/>
      <c r="FQN379" s="50" t="n"/>
      <c r="FQO379" s="50" t="n"/>
      <c r="FQP379" s="50" t="n"/>
      <c r="FQQ379" s="50" t="n"/>
      <c r="FQR379" s="50" t="n"/>
      <c r="FQS379" s="50" t="n"/>
      <c r="FQT379" s="56" t="n"/>
      <c r="FQU379" s="50" t="n"/>
      <c r="FQV379" s="53" t="n"/>
      <c r="FQW379" s="84" t="n"/>
      <c r="FQX379" s="85" t="n"/>
      <c r="FQY379" s="31" t="n"/>
      <c r="FQZ379" s="50" t="n"/>
      <c r="FRA379" s="50" t="n"/>
      <c r="FRB379" s="50" t="n"/>
      <c r="FRC379" s="50" t="n"/>
      <c r="FRD379" s="50" t="n"/>
      <c r="FRE379" s="50" t="n"/>
      <c r="FRF379" s="50" t="n"/>
      <c r="FRG379" s="50" t="n"/>
      <c r="FRH379" s="50" t="n"/>
      <c r="FRI379" s="50" t="n"/>
      <c r="FRJ379" s="50" t="n"/>
      <c r="FRK379" s="50" t="n"/>
      <c r="FRL379" s="50" t="n"/>
      <c r="FRM379" s="50" t="n"/>
      <c r="FRN379" s="50" t="n"/>
      <c r="FRO379" s="50" t="n"/>
      <c r="FRP379" s="50" t="n"/>
      <c r="FRQ379" s="50" t="n"/>
      <c r="FRR379" s="50" t="n"/>
      <c r="FRS379" s="50" t="n"/>
      <c r="FRT379" s="50" t="n"/>
      <c r="FRU379" s="50" t="n"/>
      <c r="FRV379" s="50" t="n"/>
      <c r="FRW379" s="50" t="n"/>
      <c r="FRX379" s="56" t="n"/>
      <c r="FRY379" s="50" t="n"/>
      <c r="FRZ379" s="53" t="n"/>
      <c r="FSA379" s="84" t="n"/>
      <c r="FSB379" s="85" t="n"/>
      <c r="FSC379" s="31" t="n"/>
      <c r="FSD379" s="50" t="n"/>
      <c r="FSE379" s="50" t="n"/>
      <c r="FSF379" s="50" t="n"/>
      <c r="FSG379" s="50" t="n"/>
      <c r="FSH379" s="50" t="n"/>
      <c r="FSI379" s="50" t="n"/>
      <c r="FSJ379" s="50" t="n"/>
      <c r="FSK379" s="50" t="n"/>
      <c r="FSL379" s="50" t="n"/>
      <c r="FSM379" s="50" t="n"/>
      <c r="FSN379" s="50" t="n"/>
      <c r="FSO379" s="50" t="n"/>
      <c r="FSP379" s="50" t="n"/>
      <c r="FSQ379" s="50" t="n"/>
      <c r="FSR379" s="50" t="n"/>
      <c r="FSS379" s="50" t="n"/>
      <c r="FST379" s="50" t="n"/>
      <c r="FSU379" s="50" t="n"/>
      <c r="FSV379" s="50" t="n"/>
      <c r="FSW379" s="50" t="n"/>
      <c r="FSX379" s="50" t="n"/>
      <c r="FSY379" s="50" t="n"/>
      <c r="FSZ379" s="50" t="n"/>
      <c r="FTA379" s="50" t="n"/>
      <c r="FTB379" s="56" t="n"/>
      <c r="FTC379" s="50" t="n"/>
      <c r="FTD379" s="53" t="n"/>
      <c r="FTE379" s="84" t="n"/>
      <c r="FTF379" s="85" t="n"/>
      <c r="FTG379" s="31" t="n"/>
      <c r="FTH379" s="50" t="n"/>
      <c r="FTI379" s="50" t="n"/>
      <c r="FTJ379" s="50" t="n"/>
      <c r="FTK379" s="50" t="n"/>
      <c r="FTL379" s="50" t="n"/>
      <c r="FTM379" s="50" t="n"/>
      <c r="FTN379" s="50" t="n"/>
      <c r="FTO379" s="50" t="n"/>
      <c r="FTP379" s="50" t="n"/>
      <c r="FTQ379" s="50" t="n"/>
      <c r="FTR379" s="50" t="n"/>
      <c r="FTS379" s="50" t="n"/>
      <c r="FTT379" s="50" t="n"/>
      <c r="FTU379" s="50" t="n"/>
      <c r="FTV379" s="50" t="n"/>
      <c r="FTW379" s="50" t="n"/>
      <c r="FTX379" s="50" t="n"/>
      <c r="FTY379" s="50" t="n"/>
      <c r="FTZ379" s="50" t="n"/>
      <c r="FUA379" s="50" t="n"/>
      <c r="FUB379" s="50" t="n"/>
      <c r="FUC379" s="50" t="n"/>
      <c r="FUD379" s="50" t="n"/>
      <c r="FUE379" s="50" t="n"/>
      <c r="FUF379" s="56" t="n"/>
      <c r="FUG379" s="50" t="n"/>
      <c r="FUH379" s="53" t="n"/>
      <c r="FUI379" s="84" t="n"/>
      <c r="FUJ379" s="85" t="n"/>
      <c r="FUK379" s="31" t="n"/>
      <c r="FUL379" s="50" t="n"/>
      <c r="FUM379" s="50" t="n"/>
      <c r="FUN379" s="50" t="n"/>
      <c r="FUO379" s="50" t="n"/>
      <c r="FUP379" s="50" t="n"/>
      <c r="FUQ379" s="50" t="n"/>
      <c r="FUR379" s="50" t="n"/>
      <c r="FUS379" s="50" t="n"/>
      <c r="FUT379" s="50" t="n"/>
      <c r="FUU379" s="50" t="n"/>
      <c r="FUV379" s="50" t="n"/>
      <c r="FUW379" s="50" t="n"/>
      <c r="FUX379" s="50" t="n"/>
      <c r="FUY379" s="50" t="n"/>
      <c r="FUZ379" s="50" t="n"/>
      <c r="FVA379" s="50" t="n"/>
      <c r="FVB379" s="50" t="n"/>
      <c r="FVC379" s="50" t="n"/>
      <c r="FVD379" s="50" t="n"/>
      <c r="FVE379" s="50" t="n"/>
      <c r="FVF379" s="50" t="n"/>
      <c r="FVG379" s="50" t="n"/>
      <c r="FVH379" s="50" t="n"/>
      <c r="FVI379" s="50" t="n"/>
      <c r="FVJ379" s="56" t="n"/>
      <c r="FVK379" s="50" t="n"/>
      <c r="FVL379" s="53" t="n"/>
      <c r="FVM379" s="84" t="n"/>
      <c r="FVN379" s="85" t="n"/>
      <c r="FVO379" s="31" t="n"/>
      <c r="FVP379" s="50" t="n"/>
      <c r="FVQ379" s="50" t="n"/>
      <c r="FVR379" s="50" t="n"/>
      <c r="FVS379" s="50" t="n"/>
      <c r="FVT379" s="50" t="n"/>
      <c r="FVU379" s="50" t="n"/>
      <c r="FVV379" s="50" t="n"/>
      <c r="FVW379" s="50" t="n"/>
      <c r="FVX379" s="50" t="n"/>
      <c r="FVY379" s="50" t="n"/>
      <c r="FVZ379" s="50" t="n"/>
      <c r="FWA379" s="50" t="n"/>
      <c r="FWB379" s="50" t="n"/>
      <c r="FWC379" s="50" t="n"/>
      <c r="FWD379" s="50" t="n"/>
      <c r="FWE379" s="50" t="n"/>
      <c r="FWF379" s="50" t="n"/>
      <c r="FWG379" s="50" t="n"/>
      <c r="FWH379" s="50" t="n"/>
      <c r="FWI379" s="50" t="n"/>
      <c r="FWJ379" s="50" t="n"/>
      <c r="FWK379" s="50" t="n"/>
      <c r="FWL379" s="50" t="n"/>
      <c r="FWM379" s="50" t="n"/>
      <c r="FWN379" s="56" t="n"/>
      <c r="FWO379" s="50" t="n"/>
      <c r="FWP379" s="53" t="n"/>
      <c r="FWQ379" s="84" t="n"/>
      <c r="FWR379" s="85" t="n"/>
      <c r="FWS379" s="31" t="n"/>
      <c r="FWT379" s="50" t="n"/>
      <c r="FWU379" s="50" t="n"/>
      <c r="FWV379" s="50" t="n"/>
      <c r="FWW379" s="50" t="n"/>
      <c r="FWX379" s="50" t="n"/>
      <c r="FWY379" s="50" t="n"/>
      <c r="FWZ379" s="50" t="n"/>
      <c r="FXA379" s="50" t="n"/>
      <c r="FXB379" s="50" t="n"/>
      <c r="FXC379" s="50" t="n"/>
      <c r="FXD379" s="50" t="n"/>
      <c r="FXE379" s="50" t="n"/>
      <c r="FXF379" s="50" t="n"/>
      <c r="FXG379" s="50" t="n"/>
      <c r="FXH379" s="50" t="n"/>
      <c r="FXI379" s="50" t="n"/>
      <c r="FXJ379" s="50" t="n"/>
      <c r="FXK379" s="50" t="n"/>
      <c r="FXL379" s="50" t="n"/>
      <c r="FXM379" s="50" t="n"/>
      <c r="FXN379" s="50" t="n"/>
      <c r="FXO379" s="50" t="n"/>
      <c r="FXP379" s="50" t="n"/>
      <c r="FXQ379" s="50" t="n"/>
      <c r="FXR379" s="56" t="n"/>
      <c r="FXS379" s="50" t="n"/>
      <c r="FXT379" s="53" t="n"/>
      <c r="FXU379" s="84" t="n"/>
      <c r="FXV379" s="85" t="n"/>
      <c r="FXW379" s="31" t="n"/>
      <c r="FXX379" s="50" t="n"/>
      <c r="FXY379" s="50" t="n"/>
      <c r="FXZ379" s="50" t="n"/>
      <c r="FYA379" s="50" t="n"/>
      <c r="FYB379" s="50" t="n"/>
      <c r="FYC379" s="50" t="n"/>
      <c r="FYD379" s="50" t="n"/>
      <c r="FYE379" s="50" t="n"/>
      <c r="FYF379" s="50" t="n"/>
      <c r="FYG379" s="50" t="n"/>
      <c r="FYH379" s="50" t="n"/>
      <c r="FYI379" s="50" t="n"/>
      <c r="FYJ379" s="50" t="n"/>
      <c r="FYK379" s="50" t="n"/>
      <c r="FYL379" s="50" t="n"/>
      <c r="FYM379" s="50" t="n"/>
      <c r="FYN379" s="50" t="n"/>
      <c r="FYO379" s="50" t="n"/>
      <c r="FYP379" s="50" t="n"/>
      <c r="FYQ379" s="50" t="n"/>
      <c r="FYR379" s="50" t="n"/>
      <c r="FYS379" s="50" t="n"/>
      <c r="FYT379" s="50" t="n"/>
      <c r="FYU379" s="50" t="n"/>
      <c r="FYV379" s="56" t="n"/>
      <c r="FYW379" s="50" t="n"/>
      <c r="FYX379" s="53" t="n"/>
      <c r="FYY379" s="84" t="n"/>
      <c r="FYZ379" s="85" t="n"/>
      <c r="FZA379" s="31" t="n"/>
      <c r="FZB379" s="50" t="n"/>
      <c r="FZC379" s="50" t="n"/>
      <c r="FZD379" s="50" t="n"/>
      <c r="FZE379" s="50" t="n"/>
      <c r="FZF379" s="50" t="n"/>
      <c r="FZG379" s="50" t="n"/>
      <c r="FZH379" s="50" t="n"/>
      <c r="FZI379" s="50" t="n"/>
      <c r="FZJ379" s="50" t="n"/>
      <c r="FZK379" s="50" t="n"/>
      <c r="FZL379" s="50" t="n"/>
      <c r="FZM379" s="50" t="n"/>
      <c r="FZN379" s="50" t="n"/>
      <c r="FZO379" s="50" t="n"/>
      <c r="FZP379" s="50" t="n"/>
      <c r="FZQ379" s="50" t="n"/>
      <c r="FZR379" s="50" t="n"/>
      <c r="FZS379" s="50" t="n"/>
      <c r="FZT379" s="50" t="n"/>
      <c r="FZU379" s="50" t="n"/>
      <c r="FZV379" s="50" t="n"/>
      <c r="FZW379" s="50" t="n"/>
      <c r="FZX379" s="50" t="n"/>
      <c r="FZY379" s="50" t="n"/>
      <c r="FZZ379" s="56" t="n"/>
      <c r="GAA379" s="50" t="n"/>
      <c r="GAB379" s="53" t="n"/>
      <c r="GAC379" s="84" t="n"/>
      <c r="GAD379" s="85" t="n"/>
      <c r="GAE379" s="31" t="n"/>
      <c r="GAF379" s="50" t="n"/>
      <c r="GAG379" s="50" t="n"/>
      <c r="GAH379" s="50" t="n"/>
      <c r="GAI379" s="50" t="n"/>
      <c r="GAJ379" s="50" t="n"/>
      <c r="GAK379" s="50" t="n"/>
      <c r="GAL379" s="50" t="n"/>
      <c r="GAM379" s="50" t="n"/>
      <c r="GAN379" s="50" t="n"/>
      <c r="GAO379" s="50" t="n"/>
      <c r="GAP379" s="50" t="n"/>
      <c r="GAQ379" s="50" t="n"/>
      <c r="GAR379" s="50" t="n"/>
      <c r="GAS379" s="50" t="n"/>
      <c r="GAT379" s="50" t="n"/>
      <c r="GAU379" s="50" t="n"/>
      <c r="GAV379" s="50" t="n"/>
      <c r="GAW379" s="50" t="n"/>
      <c r="GAX379" s="50" t="n"/>
      <c r="GAY379" s="50" t="n"/>
      <c r="GAZ379" s="50" t="n"/>
      <c r="GBA379" s="50" t="n"/>
      <c r="GBB379" s="50" t="n"/>
      <c r="GBC379" s="50" t="n"/>
      <c r="GBD379" s="56" t="n"/>
      <c r="GBE379" s="50" t="n"/>
      <c r="GBF379" s="53" t="n"/>
      <c r="GBG379" s="84" t="n"/>
      <c r="GBH379" s="85" t="n"/>
      <c r="GBI379" s="31" t="n"/>
      <c r="GBJ379" s="50" t="n"/>
      <c r="GBK379" s="50" t="n"/>
      <c r="GBL379" s="50" t="n"/>
      <c r="GBM379" s="50" t="n"/>
      <c r="GBN379" s="50" t="n"/>
      <c r="GBO379" s="50" t="n"/>
      <c r="GBP379" s="50" t="n"/>
      <c r="GBQ379" s="50" t="n"/>
      <c r="GBR379" s="50" t="n"/>
      <c r="GBS379" s="50" t="n"/>
      <c r="GBT379" s="50" t="n"/>
      <c r="GBU379" s="50" t="n"/>
      <c r="GBV379" s="50" t="n"/>
      <c r="GBW379" s="50" t="n"/>
      <c r="GBX379" s="50" t="n"/>
      <c r="GBY379" s="50" t="n"/>
      <c r="GBZ379" s="50" t="n"/>
      <c r="GCA379" s="50" t="n"/>
      <c r="GCB379" s="50" t="n"/>
      <c r="GCC379" s="50" t="n"/>
      <c r="GCD379" s="50" t="n"/>
      <c r="GCE379" s="50" t="n"/>
      <c r="GCF379" s="50" t="n"/>
      <c r="GCG379" s="50" t="n"/>
      <c r="GCH379" s="56" t="n"/>
      <c r="GCI379" s="50" t="n"/>
      <c r="GCJ379" s="53" t="n"/>
      <c r="GCK379" s="84" t="n"/>
      <c r="GCL379" s="85" t="n"/>
      <c r="GCM379" s="31" t="n"/>
      <c r="GCN379" s="50" t="n"/>
      <c r="GCO379" s="50" t="n"/>
      <c r="GCP379" s="50" t="n"/>
      <c r="GCQ379" s="50" t="n"/>
      <c r="GCR379" s="50" t="n"/>
      <c r="GCS379" s="50" t="n"/>
      <c r="GCT379" s="50" t="n"/>
      <c r="GCU379" s="50" t="n"/>
      <c r="GCV379" s="50" t="n"/>
      <c r="GCW379" s="50" t="n"/>
      <c r="GCX379" s="50" t="n"/>
      <c r="GCY379" s="50" t="n"/>
      <c r="GCZ379" s="50" t="n"/>
      <c r="GDA379" s="50" t="n"/>
      <c r="GDB379" s="50" t="n"/>
      <c r="GDC379" s="50" t="n"/>
      <c r="GDD379" s="50" t="n"/>
      <c r="GDE379" s="50" t="n"/>
      <c r="GDF379" s="50" t="n"/>
      <c r="GDG379" s="50" t="n"/>
      <c r="GDH379" s="50" t="n"/>
      <c r="GDI379" s="50" t="n"/>
      <c r="GDJ379" s="50" t="n"/>
      <c r="GDK379" s="50" t="n"/>
      <c r="GDL379" s="56" t="n"/>
      <c r="GDM379" s="50" t="n"/>
      <c r="GDN379" s="53" t="n"/>
      <c r="GDO379" s="84" t="n"/>
      <c r="GDP379" s="85" t="n"/>
      <c r="GDQ379" s="31" t="n"/>
      <c r="GDR379" s="50" t="n"/>
      <c r="GDS379" s="50" t="n"/>
      <c r="GDT379" s="50" t="n"/>
      <c r="GDU379" s="50" t="n"/>
      <c r="GDV379" s="50" t="n"/>
      <c r="GDW379" s="50" t="n"/>
      <c r="GDX379" s="50" t="n"/>
      <c r="GDY379" s="50" t="n"/>
      <c r="GDZ379" s="50" t="n"/>
      <c r="GEA379" s="50" t="n"/>
      <c r="GEB379" s="50" t="n"/>
      <c r="GEC379" s="50" t="n"/>
      <c r="GED379" s="50" t="n"/>
      <c r="GEE379" s="50" t="n"/>
      <c r="GEF379" s="50" t="n"/>
      <c r="GEG379" s="50" t="n"/>
      <c r="GEH379" s="50" t="n"/>
      <c r="GEI379" s="50" t="n"/>
      <c r="GEJ379" s="50" t="n"/>
      <c r="GEK379" s="50" t="n"/>
      <c r="GEL379" s="50" t="n"/>
      <c r="GEM379" s="50" t="n"/>
      <c r="GEN379" s="50" t="n"/>
      <c r="GEO379" s="50" t="n"/>
      <c r="GEP379" s="56" t="n"/>
      <c r="GEQ379" s="50" t="n"/>
      <c r="GER379" s="53" t="n"/>
      <c r="GES379" s="84" t="n"/>
      <c r="GET379" s="85" t="n"/>
      <c r="GEU379" s="31" t="n"/>
      <c r="GEV379" s="50" t="n"/>
      <c r="GEW379" s="50" t="n"/>
      <c r="GEX379" s="50" t="n"/>
      <c r="GEY379" s="50" t="n"/>
      <c r="GEZ379" s="50" t="n"/>
      <c r="GFA379" s="50" t="n"/>
      <c r="GFB379" s="50" t="n"/>
      <c r="GFC379" s="50" t="n"/>
      <c r="GFD379" s="50" t="n"/>
      <c r="GFE379" s="50" t="n"/>
      <c r="GFF379" s="50" t="n"/>
      <c r="GFG379" s="50" t="n"/>
      <c r="GFH379" s="50" t="n"/>
      <c r="GFI379" s="50" t="n"/>
      <c r="GFJ379" s="50" t="n"/>
      <c r="GFK379" s="50" t="n"/>
      <c r="GFL379" s="50" t="n"/>
      <c r="GFM379" s="50" t="n"/>
      <c r="GFN379" s="50" t="n"/>
      <c r="GFO379" s="50" t="n"/>
      <c r="GFP379" s="50" t="n"/>
      <c r="GFQ379" s="50" t="n"/>
      <c r="GFR379" s="50" t="n"/>
      <c r="GFS379" s="50" t="n"/>
      <c r="GFT379" s="56" t="n"/>
      <c r="GFU379" s="50" t="n"/>
      <c r="GFV379" s="53" t="n"/>
      <c r="GFW379" s="84" t="n"/>
      <c r="GFX379" s="85" t="n"/>
      <c r="GFY379" s="31" t="n"/>
      <c r="GFZ379" s="50" t="n"/>
      <c r="GGA379" s="50" t="n"/>
      <c r="GGB379" s="50" t="n"/>
      <c r="GGC379" s="50" t="n"/>
      <c r="GGD379" s="50" t="n"/>
      <c r="GGE379" s="50" t="n"/>
      <c r="GGF379" s="50" t="n"/>
      <c r="GGG379" s="50" t="n"/>
      <c r="GGH379" s="50" t="n"/>
      <c r="GGI379" s="50" t="n"/>
      <c r="GGJ379" s="50" t="n"/>
      <c r="GGK379" s="50" t="n"/>
      <c r="GGL379" s="50" t="n"/>
      <c r="GGM379" s="50" t="n"/>
      <c r="GGN379" s="50" t="n"/>
      <c r="GGO379" s="50" t="n"/>
      <c r="GGP379" s="50" t="n"/>
      <c r="GGQ379" s="50" t="n"/>
      <c r="GGR379" s="50" t="n"/>
      <c r="GGS379" s="50" t="n"/>
      <c r="GGT379" s="50" t="n"/>
      <c r="GGU379" s="50" t="n"/>
      <c r="GGV379" s="50" t="n"/>
      <c r="GGW379" s="50" t="n"/>
      <c r="GGX379" s="56" t="n"/>
      <c r="GGY379" s="50" t="n"/>
      <c r="GGZ379" s="53" t="n"/>
      <c r="GHA379" s="84" t="n"/>
      <c r="GHB379" s="85" t="n"/>
      <c r="GHC379" s="31" t="n"/>
      <c r="GHD379" s="50" t="n"/>
      <c r="GHE379" s="50" t="n"/>
      <c r="GHF379" s="50" t="n"/>
      <c r="GHG379" s="50" t="n"/>
      <c r="GHH379" s="50" t="n"/>
      <c r="GHI379" s="50" t="n"/>
      <c r="GHJ379" s="50" t="n"/>
      <c r="GHK379" s="50" t="n"/>
      <c r="GHL379" s="50" t="n"/>
      <c r="GHM379" s="50" t="n"/>
      <c r="GHN379" s="50" t="n"/>
      <c r="GHO379" s="50" t="n"/>
      <c r="GHP379" s="50" t="n"/>
      <c r="GHQ379" s="50" t="n"/>
      <c r="GHR379" s="50" t="n"/>
      <c r="GHS379" s="50" t="n"/>
      <c r="GHT379" s="50" t="n"/>
      <c r="GHU379" s="50" t="n"/>
      <c r="GHV379" s="50" t="n"/>
      <c r="GHW379" s="50" t="n"/>
      <c r="GHX379" s="50" t="n"/>
      <c r="GHY379" s="50" t="n"/>
      <c r="GHZ379" s="50" t="n"/>
      <c r="GIA379" s="50" t="n"/>
      <c r="GIB379" s="56" t="n"/>
      <c r="GIC379" s="50" t="n"/>
      <c r="GID379" s="53" t="n"/>
      <c r="GIE379" s="84" t="n"/>
      <c r="GIF379" s="85" t="n"/>
      <c r="GIG379" s="31" t="n"/>
      <c r="GIH379" s="50" t="n"/>
      <c r="GII379" s="50" t="n"/>
      <c r="GIJ379" s="50" t="n"/>
      <c r="GIK379" s="50" t="n"/>
      <c r="GIL379" s="50" t="n"/>
      <c r="GIM379" s="50" t="n"/>
      <c r="GIN379" s="50" t="n"/>
      <c r="GIO379" s="50" t="n"/>
      <c r="GIP379" s="50" t="n"/>
      <c r="GIQ379" s="50" t="n"/>
      <c r="GIR379" s="50" t="n"/>
      <c r="GIS379" s="50" t="n"/>
      <c r="GIT379" s="50" t="n"/>
      <c r="GIU379" s="50" t="n"/>
      <c r="GIV379" s="50" t="n"/>
      <c r="GIW379" s="50" t="n"/>
      <c r="GIX379" s="50" t="n"/>
      <c r="GIY379" s="50" t="n"/>
      <c r="GIZ379" s="50" t="n"/>
      <c r="GJA379" s="50" t="n"/>
      <c r="GJB379" s="50" t="n"/>
      <c r="GJC379" s="50" t="n"/>
      <c r="GJD379" s="50" t="n"/>
      <c r="GJE379" s="50" t="n"/>
      <c r="GJF379" s="56" t="n"/>
      <c r="GJG379" s="50" t="n"/>
      <c r="GJH379" s="53" t="n"/>
      <c r="GJI379" s="84" t="n"/>
      <c r="GJJ379" s="85" t="n"/>
      <c r="GJK379" s="31" t="n"/>
      <c r="GJL379" s="50" t="n"/>
      <c r="GJM379" s="50" t="n"/>
      <c r="GJN379" s="50" t="n"/>
      <c r="GJO379" s="50" t="n"/>
      <c r="GJP379" s="50" t="n"/>
      <c r="GJQ379" s="50" t="n"/>
      <c r="GJR379" s="50" t="n"/>
      <c r="GJS379" s="50" t="n"/>
      <c r="GJT379" s="50" t="n"/>
      <c r="GJU379" s="50" t="n"/>
      <c r="GJV379" s="50" t="n"/>
      <c r="GJW379" s="50" t="n"/>
      <c r="GJX379" s="50" t="n"/>
      <c r="GJY379" s="50" t="n"/>
      <c r="GJZ379" s="50" t="n"/>
      <c r="GKA379" s="50" t="n"/>
      <c r="GKB379" s="50" t="n"/>
      <c r="GKC379" s="50" t="n"/>
      <c r="GKD379" s="50" t="n"/>
      <c r="GKE379" s="50" t="n"/>
      <c r="GKF379" s="50" t="n"/>
      <c r="GKG379" s="50" t="n"/>
      <c r="GKH379" s="50" t="n"/>
      <c r="GKI379" s="50" t="n"/>
      <c r="GKJ379" s="56" t="n"/>
      <c r="GKK379" s="50" t="n"/>
      <c r="GKL379" s="53" t="n"/>
      <c r="GKM379" s="84" t="n"/>
      <c r="GKN379" s="85" t="n"/>
      <c r="GKO379" s="31" t="n"/>
      <c r="GKP379" s="50" t="n"/>
      <c r="GKQ379" s="50" t="n"/>
      <c r="GKR379" s="50" t="n"/>
      <c r="GKS379" s="50" t="n"/>
      <c r="GKT379" s="50" t="n"/>
      <c r="GKU379" s="50" t="n"/>
      <c r="GKV379" s="50" t="n"/>
      <c r="GKW379" s="50" t="n"/>
      <c r="GKX379" s="50" t="n"/>
      <c r="GKY379" s="50" t="n"/>
      <c r="GKZ379" s="50" t="n"/>
      <c r="GLA379" s="50" t="n"/>
      <c r="GLB379" s="50" t="n"/>
      <c r="GLC379" s="50" t="n"/>
      <c r="GLD379" s="50" t="n"/>
      <c r="GLE379" s="50" t="n"/>
      <c r="GLF379" s="50" t="n"/>
      <c r="GLG379" s="50" t="n"/>
      <c r="GLH379" s="50" t="n"/>
      <c r="GLI379" s="50" t="n"/>
      <c r="GLJ379" s="50" t="n"/>
      <c r="GLK379" s="50" t="n"/>
      <c r="GLL379" s="50" t="n"/>
      <c r="GLM379" s="50" t="n"/>
      <c r="GLN379" s="56" t="n"/>
      <c r="GLO379" s="50" t="n"/>
      <c r="GLP379" s="53" t="n"/>
      <c r="GLQ379" s="84" t="n"/>
      <c r="GLR379" s="85" t="n"/>
      <c r="GLS379" s="31" t="n"/>
      <c r="GLT379" s="50" t="n"/>
      <c r="GLU379" s="50" t="n"/>
      <c r="GLV379" s="50" t="n"/>
      <c r="GLW379" s="50" t="n"/>
      <c r="GLX379" s="50" t="n"/>
      <c r="GLY379" s="50" t="n"/>
      <c r="GLZ379" s="50" t="n"/>
      <c r="GMA379" s="50" t="n"/>
      <c r="GMB379" s="50" t="n"/>
      <c r="GMC379" s="50" t="n"/>
      <c r="GMD379" s="50" t="n"/>
      <c r="GME379" s="50" t="n"/>
      <c r="GMF379" s="50" t="n"/>
      <c r="GMG379" s="50" t="n"/>
      <c r="GMH379" s="50" t="n"/>
      <c r="GMI379" s="50" t="n"/>
      <c r="GMJ379" s="50" t="n"/>
      <c r="GMK379" s="50" t="n"/>
      <c r="GML379" s="50" t="n"/>
      <c r="GMM379" s="50" t="n"/>
      <c r="GMN379" s="50" t="n"/>
      <c r="GMO379" s="50" t="n"/>
      <c r="GMP379" s="50" t="n"/>
      <c r="GMQ379" s="50" t="n"/>
      <c r="GMR379" s="56" t="n"/>
      <c r="GMS379" s="50" t="n"/>
      <c r="GMT379" s="53" t="n"/>
      <c r="GMU379" s="84" t="n"/>
      <c r="GMV379" s="85" t="n"/>
      <c r="GMW379" s="31" t="n"/>
      <c r="GMX379" s="50" t="n"/>
      <c r="GMY379" s="50" t="n"/>
      <c r="GMZ379" s="50" t="n"/>
      <c r="GNA379" s="50" t="n"/>
      <c r="GNB379" s="50" t="n"/>
      <c r="GNC379" s="50" t="n"/>
      <c r="GND379" s="50" t="n"/>
      <c r="GNE379" s="50" t="n"/>
      <c r="GNF379" s="50" t="n"/>
      <c r="GNG379" s="50" t="n"/>
      <c r="GNH379" s="50" t="n"/>
      <c r="GNI379" s="50" t="n"/>
      <c r="GNJ379" s="50" t="n"/>
      <c r="GNK379" s="50" t="n"/>
      <c r="GNL379" s="50" t="n"/>
      <c r="GNM379" s="50" t="n"/>
      <c r="GNN379" s="50" t="n"/>
      <c r="GNO379" s="50" t="n"/>
      <c r="GNP379" s="50" t="n"/>
      <c r="GNQ379" s="50" t="n"/>
      <c r="GNR379" s="50" t="n"/>
      <c r="GNS379" s="50" t="n"/>
      <c r="GNT379" s="50" t="n"/>
      <c r="GNU379" s="50" t="n"/>
      <c r="GNV379" s="56" t="n"/>
      <c r="GNW379" s="50" t="n"/>
      <c r="GNX379" s="53" t="n"/>
      <c r="GNY379" s="84" t="n"/>
      <c r="GNZ379" s="85" t="n"/>
      <c r="GOA379" s="31" t="n"/>
      <c r="GOB379" s="50" t="n"/>
      <c r="GOC379" s="50" t="n"/>
      <c r="GOD379" s="50" t="n"/>
      <c r="GOE379" s="50" t="n"/>
      <c r="GOF379" s="50" t="n"/>
      <c r="GOG379" s="50" t="n"/>
      <c r="GOH379" s="50" t="n"/>
      <c r="GOI379" s="50" t="n"/>
      <c r="GOJ379" s="50" t="n"/>
      <c r="GOK379" s="50" t="n"/>
      <c r="GOL379" s="50" t="n"/>
      <c r="GOM379" s="50" t="n"/>
      <c r="GON379" s="50" t="n"/>
      <c r="GOO379" s="50" t="n"/>
      <c r="GOP379" s="50" t="n"/>
      <c r="GOQ379" s="50" t="n"/>
      <c r="GOR379" s="50" t="n"/>
      <c r="GOS379" s="50" t="n"/>
      <c r="GOT379" s="50" t="n"/>
      <c r="GOU379" s="50" t="n"/>
      <c r="GOV379" s="50" t="n"/>
      <c r="GOW379" s="50" t="n"/>
      <c r="GOX379" s="50" t="n"/>
      <c r="GOY379" s="50" t="n"/>
      <c r="GOZ379" s="56" t="n"/>
      <c r="GPA379" s="50" t="n"/>
      <c r="GPB379" s="53" t="n"/>
      <c r="GPC379" s="84" t="n"/>
      <c r="GPD379" s="85" t="n"/>
      <c r="GPE379" s="31" t="n"/>
      <c r="GPF379" s="50" t="n"/>
      <c r="GPG379" s="50" t="n"/>
      <c r="GPH379" s="50" t="n"/>
      <c r="GPI379" s="50" t="n"/>
      <c r="GPJ379" s="50" t="n"/>
      <c r="GPK379" s="50" t="n"/>
      <c r="GPL379" s="50" t="n"/>
      <c r="GPM379" s="50" t="n"/>
      <c r="GPN379" s="50" t="n"/>
      <c r="GPO379" s="50" t="n"/>
      <c r="GPP379" s="50" t="n"/>
      <c r="GPQ379" s="50" t="n"/>
      <c r="GPR379" s="50" t="n"/>
      <c r="GPS379" s="50" t="n"/>
      <c r="GPT379" s="50" t="n"/>
      <c r="GPU379" s="50" t="n"/>
      <c r="GPV379" s="50" t="n"/>
      <c r="GPW379" s="50" t="n"/>
      <c r="GPX379" s="50" t="n"/>
      <c r="GPY379" s="50" t="n"/>
      <c r="GPZ379" s="50" t="n"/>
      <c r="GQA379" s="50" t="n"/>
      <c r="GQB379" s="50" t="n"/>
      <c r="GQC379" s="50" t="n"/>
      <c r="GQD379" s="56" t="n"/>
      <c r="GQE379" s="50" t="n"/>
      <c r="GQF379" s="53" t="n"/>
      <c r="GQG379" s="84" t="n"/>
      <c r="GQH379" s="85" t="n"/>
      <c r="GQI379" s="31" t="n"/>
      <c r="GQJ379" s="50" t="n"/>
      <c r="GQK379" s="50" t="n"/>
      <c r="GQL379" s="50" t="n"/>
      <c r="GQM379" s="50" t="n"/>
      <c r="GQN379" s="50" t="n"/>
      <c r="GQO379" s="50" t="n"/>
      <c r="GQP379" s="50" t="n"/>
      <c r="GQQ379" s="50" t="n"/>
      <c r="GQR379" s="50" t="n"/>
      <c r="GQS379" s="50" t="n"/>
      <c r="GQT379" s="50" t="n"/>
      <c r="GQU379" s="50" t="n"/>
      <c r="GQV379" s="50" t="n"/>
      <c r="GQW379" s="50" t="n"/>
      <c r="GQX379" s="50" t="n"/>
      <c r="GQY379" s="50" t="n"/>
      <c r="GQZ379" s="50" t="n"/>
      <c r="GRA379" s="50" t="n"/>
      <c r="GRB379" s="50" t="n"/>
      <c r="GRC379" s="50" t="n"/>
      <c r="GRD379" s="50" t="n"/>
      <c r="GRE379" s="50" t="n"/>
      <c r="GRF379" s="50" t="n"/>
      <c r="GRG379" s="50" t="n"/>
      <c r="GRH379" s="56" t="n"/>
      <c r="GRI379" s="50" t="n"/>
      <c r="GRJ379" s="53" t="n"/>
      <c r="GRK379" s="84" t="n"/>
      <c r="GRL379" s="85" t="n"/>
      <c r="GRM379" s="31" t="n"/>
      <c r="GRN379" s="50" t="n"/>
      <c r="GRO379" s="50" t="n"/>
      <c r="GRP379" s="50" t="n"/>
      <c r="GRQ379" s="50" t="n"/>
      <c r="GRR379" s="50" t="n"/>
      <c r="GRS379" s="50" t="n"/>
      <c r="GRT379" s="50" t="n"/>
      <c r="GRU379" s="50" t="n"/>
      <c r="GRV379" s="50" t="n"/>
      <c r="GRW379" s="50" t="n"/>
      <c r="GRX379" s="50" t="n"/>
      <c r="GRY379" s="50" t="n"/>
      <c r="GRZ379" s="50" t="n"/>
      <c r="GSA379" s="50" t="n"/>
      <c r="GSB379" s="50" t="n"/>
      <c r="GSC379" s="50" t="n"/>
      <c r="GSD379" s="50" t="n"/>
      <c r="GSE379" s="50" t="n"/>
      <c r="GSF379" s="50" t="n"/>
      <c r="GSG379" s="50" t="n"/>
      <c r="GSH379" s="50" t="n"/>
      <c r="GSI379" s="50" t="n"/>
      <c r="GSJ379" s="50" t="n"/>
      <c r="GSK379" s="50" t="n"/>
      <c r="GSL379" s="56" t="n"/>
      <c r="GSM379" s="50" t="n"/>
      <c r="GSN379" s="53" t="n"/>
      <c r="GSO379" s="84" t="n"/>
      <c r="GSP379" s="85" t="n"/>
      <c r="GSQ379" s="31" t="n"/>
      <c r="GSR379" s="50" t="n"/>
      <c r="GSS379" s="50" t="n"/>
      <c r="GST379" s="50" t="n"/>
      <c r="GSU379" s="50" t="n"/>
      <c r="GSV379" s="50" t="n"/>
      <c r="GSW379" s="50" t="n"/>
      <c r="GSX379" s="50" t="n"/>
      <c r="GSY379" s="50" t="n"/>
      <c r="GSZ379" s="50" t="n"/>
      <c r="GTA379" s="50" t="n"/>
      <c r="GTB379" s="50" t="n"/>
      <c r="GTC379" s="50" t="n"/>
      <c r="GTD379" s="50" t="n"/>
      <c r="GTE379" s="50" t="n"/>
      <c r="GTF379" s="50" t="n"/>
      <c r="GTG379" s="50" t="n"/>
      <c r="GTH379" s="50" t="n"/>
      <c r="GTI379" s="50" t="n"/>
      <c r="GTJ379" s="50" t="n"/>
      <c r="GTK379" s="50" t="n"/>
      <c r="GTL379" s="50" t="n"/>
      <c r="GTM379" s="50" t="n"/>
      <c r="GTN379" s="50" t="n"/>
      <c r="GTO379" s="50" t="n"/>
      <c r="GTP379" s="56" t="n"/>
      <c r="GTQ379" s="50" t="n"/>
      <c r="GTR379" s="53" t="n"/>
      <c r="GTS379" s="84" t="n"/>
      <c r="GTT379" s="85" t="n"/>
      <c r="GTU379" s="31" t="n"/>
      <c r="GTV379" s="50" t="n"/>
      <c r="GTW379" s="50" t="n"/>
      <c r="GTX379" s="50" t="n"/>
      <c r="GTY379" s="50" t="n"/>
      <c r="GTZ379" s="50" t="n"/>
      <c r="GUA379" s="50" t="n"/>
      <c r="GUB379" s="50" t="n"/>
      <c r="GUC379" s="50" t="n"/>
      <c r="GUD379" s="50" t="n"/>
      <c r="GUE379" s="50" t="n"/>
      <c r="GUF379" s="50" t="n"/>
      <c r="GUG379" s="50" t="n"/>
      <c r="GUH379" s="50" t="n"/>
      <c r="GUI379" s="50" t="n"/>
      <c r="GUJ379" s="50" t="n"/>
      <c r="GUK379" s="50" t="n"/>
      <c r="GUL379" s="50" t="n"/>
      <c r="GUM379" s="50" t="n"/>
      <c r="GUN379" s="50" t="n"/>
      <c r="GUO379" s="50" t="n"/>
      <c r="GUP379" s="50" t="n"/>
      <c r="GUQ379" s="50" t="n"/>
      <c r="GUR379" s="50" t="n"/>
      <c r="GUS379" s="50" t="n"/>
      <c r="GUT379" s="56" t="n"/>
      <c r="GUU379" s="50" t="n"/>
      <c r="GUV379" s="53" t="n"/>
      <c r="GUW379" s="84" t="n"/>
      <c r="GUX379" s="85" t="n"/>
      <c r="GUY379" s="31" t="n"/>
      <c r="GUZ379" s="50" t="n"/>
      <c r="GVA379" s="50" t="n"/>
      <c r="GVB379" s="50" t="n"/>
      <c r="GVC379" s="50" t="n"/>
      <c r="GVD379" s="50" t="n"/>
      <c r="GVE379" s="50" t="n"/>
      <c r="GVF379" s="50" t="n"/>
      <c r="GVG379" s="50" t="n"/>
      <c r="GVH379" s="50" t="n"/>
      <c r="GVI379" s="50" t="n"/>
      <c r="GVJ379" s="50" t="n"/>
      <c r="GVK379" s="50" t="n"/>
      <c r="GVL379" s="50" t="n"/>
      <c r="GVM379" s="50" t="n"/>
      <c r="GVN379" s="50" t="n"/>
      <c r="GVO379" s="50" t="n"/>
      <c r="GVP379" s="50" t="n"/>
      <c r="GVQ379" s="50" t="n"/>
      <c r="GVR379" s="50" t="n"/>
      <c r="GVS379" s="50" t="n"/>
      <c r="GVT379" s="50" t="n"/>
      <c r="GVU379" s="50" t="n"/>
      <c r="GVV379" s="50" t="n"/>
      <c r="GVW379" s="50" t="n"/>
      <c r="GVX379" s="56" t="n"/>
      <c r="GVY379" s="50" t="n"/>
      <c r="GVZ379" s="53" t="n"/>
      <c r="GWA379" s="84" t="n"/>
      <c r="GWB379" s="85" t="n"/>
      <c r="GWC379" s="31" t="n"/>
      <c r="GWD379" s="50" t="n"/>
      <c r="GWE379" s="50" t="n"/>
      <c r="GWF379" s="50" t="n"/>
      <c r="GWG379" s="50" t="n"/>
      <c r="GWH379" s="50" t="n"/>
      <c r="GWI379" s="50" t="n"/>
      <c r="GWJ379" s="50" t="n"/>
      <c r="GWK379" s="50" t="n"/>
      <c r="GWL379" s="50" t="n"/>
      <c r="GWM379" s="50" t="n"/>
      <c r="GWN379" s="50" t="n"/>
      <c r="GWO379" s="50" t="n"/>
      <c r="GWP379" s="50" t="n"/>
      <c r="GWQ379" s="50" t="n"/>
      <c r="GWR379" s="50" t="n"/>
      <c r="GWS379" s="50" t="n"/>
      <c r="GWT379" s="50" t="n"/>
      <c r="GWU379" s="50" t="n"/>
      <c r="GWV379" s="50" t="n"/>
      <c r="GWW379" s="50" t="n"/>
      <c r="GWX379" s="50" t="n"/>
      <c r="GWY379" s="50" t="n"/>
      <c r="GWZ379" s="50" t="n"/>
      <c r="GXA379" s="50" t="n"/>
      <c r="GXB379" s="56" t="n"/>
      <c r="GXC379" s="50" t="n"/>
      <c r="GXD379" s="53" t="n"/>
      <c r="GXE379" s="84" t="n"/>
      <c r="GXF379" s="85" t="n"/>
      <c r="GXG379" s="31" t="n"/>
      <c r="GXH379" s="50" t="n"/>
      <c r="GXI379" s="50" t="n"/>
      <c r="GXJ379" s="50" t="n"/>
      <c r="GXK379" s="50" t="n"/>
      <c r="GXL379" s="50" t="n"/>
      <c r="GXM379" s="50" t="n"/>
      <c r="GXN379" s="50" t="n"/>
      <c r="GXO379" s="50" t="n"/>
      <c r="GXP379" s="50" t="n"/>
      <c r="GXQ379" s="50" t="n"/>
      <c r="GXR379" s="50" t="n"/>
      <c r="GXS379" s="50" t="n"/>
      <c r="GXT379" s="50" t="n"/>
      <c r="GXU379" s="50" t="n"/>
      <c r="GXV379" s="50" t="n"/>
      <c r="GXW379" s="50" t="n"/>
      <c r="GXX379" s="50" t="n"/>
      <c r="GXY379" s="50" t="n"/>
      <c r="GXZ379" s="50" t="n"/>
      <c r="GYA379" s="50" t="n"/>
      <c r="GYB379" s="50" t="n"/>
      <c r="GYC379" s="50" t="n"/>
      <c r="GYD379" s="50" t="n"/>
      <c r="GYE379" s="50" t="n"/>
      <c r="GYF379" s="56" t="n"/>
      <c r="GYG379" s="50" t="n"/>
      <c r="GYH379" s="53" t="n"/>
      <c r="GYI379" s="84" t="n"/>
      <c r="GYJ379" s="85" t="n"/>
      <c r="GYK379" s="31" t="n"/>
      <c r="GYL379" s="50" t="n"/>
      <c r="GYM379" s="50" t="n"/>
      <c r="GYN379" s="50" t="n"/>
      <c r="GYO379" s="50" t="n"/>
      <c r="GYP379" s="50" t="n"/>
      <c r="GYQ379" s="50" t="n"/>
      <c r="GYR379" s="50" t="n"/>
      <c r="GYS379" s="50" t="n"/>
      <c r="GYT379" s="50" t="n"/>
      <c r="GYU379" s="50" t="n"/>
      <c r="GYV379" s="50" t="n"/>
      <c r="GYW379" s="50" t="n"/>
      <c r="GYX379" s="50" t="n"/>
      <c r="GYY379" s="50" t="n"/>
      <c r="GYZ379" s="50" t="n"/>
      <c r="GZA379" s="50" t="n"/>
      <c r="GZB379" s="50" t="n"/>
      <c r="GZC379" s="50" t="n"/>
      <c r="GZD379" s="50" t="n"/>
      <c r="GZE379" s="50" t="n"/>
      <c r="GZF379" s="50" t="n"/>
      <c r="GZG379" s="50" t="n"/>
      <c r="GZH379" s="50" t="n"/>
      <c r="GZI379" s="50" t="n"/>
      <c r="GZJ379" s="56" t="n"/>
      <c r="GZK379" s="50" t="n"/>
      <c r="GZL379" s="53" t="n"/>
      <c r="GZM379" s="84" t="n"/>
      <c r="GZN379" s="85" t="n"/>
      <c r="GZO379" s="31" t="n"/>
      <c r="GZP379" s="50" t="n"/>
      <c r="GZQ379" s="50" t="n"/>
      <c r="GZR379" s="50" t="n"/>
      <c r="GZS379" s="50" t="n"/>
      <c r="GZT379" s="50" t="n"/>
      <c r="GZU379" s="50" t="n"/>
      <c r="GZV379" s="50" t="n"/>
      <c r="GZW379" s="50" t="n"/>
      <c r="GZX379" s="50" t="n"/>
      <c r="GZY379" s="50" t="n"/>
      <c r="GZZ379" s="50" t="n"/>
      <c r="HAA379" s="50" t="n"/>
      <c r="HAB379" s="50" t="n"/>
      <c r="HAC379" s="50" t="n"/>
      <c r="HAD379" s="50" t="n"/>
      <c r="HAE379" s="50" t="n"/>
      <c r="HAF379" s="50" t="n"/>
      <c r="HAG379" s="50" t="n"/>
      <c r="HAH379" s="50" t="n"/>
      <c r="HAI379" s="50" t="n"/>
      <c r="HAJ379" s="50" t="n"/>
      <c r="HAK379" s="50" t="n"/>
      <c r="HAL379" s="50" t="n"/>
      <c r="HAM379" s="50" t="n"/>
      <c r="HAN379" s="56" t="n"/>
      <c r="HAO379" s="50" t="n"/>
      <c r="HAP379" s="53" t="n"/>
      <c r="HAQ379" s="84" t="n"/>
      <c r="HAR379" s="85" t="n"/>
      <c r="HAS379" s="31" t="n"/>
      <c r="HAT379" s="50" t="n"/>
      <c r="HAU379" s="50" t="n"/>
      <c r="HAV379" s="50" t="n"/>
      <c r="HAW379" s="50" t="n"/>
      <c r="HAX379" s="50" t="n"/>
      <c r="HAY379" s="50" t="n"/>
      <c r="HAZ379" s="50" t="n"/>
      <c r="HBA379" s="50" t="n"/>
      <c r="HBB379" s="50" t="n"/>
      <c r="HBC379" s="50" t="n"/>
      <c r="HBD379" s="50" t="n"/>
      <c r="HBE379" s="50" t="n"/>
      <c r="HBF379" s="50" t="n"/>
      <c r="HBG379" s="50" t="n"/>
      <c r="HBH379" s="50" t="n"/>
      <c r="HBI379" s="50" t="n"/>
      <c r="HBJ379" s="50" t="n"/>
      <c r="HBK379" s="50" t="n"/>
      <c r="HBL379" s="50" t="n"/>
      <c r="HBM379" s="50" t="n"/>
      <c r="HBN379" s="50" t="n"/>
      <c r="HBO379" s="50" t="n"/>
      <c r="HBP379" s="50" t="n"/>
      <c r="HBQ379" s="50" t="n"/>
      <c r="HBR379" s="56" t="n"/>
      <c r="HBS379" s="50" t="n"/>
      <c r="HBT379" s="53" t="n"/>
      <c r="HBU379" s="84" t="n"/>
      <c r="HBV379" s="85" t="n"/>
      <c r="HBW379" s="31" t="n"/>
      <c r="HBX379" s="50" t="n"/>
      <c r="HBY379" s="50" t="n"/>
      <c r="HBZ379" s="50" t="n"/>
      <c r="HCA379" s="50" t="n"/>
      <c r="HCB379" s="50" t="n"/>
      <c r="HCC379" s="50" t="n"/>
      <c r="HCD379" s="50" t="n"/>
      <c r="HCE379" s="50" t="n"/>
      <c r="HCF379" s="50" t="n"/>
      <c r="HCG379" s="50" t="n"/>
      <c r="HCH379" s="50" t="n"/>
      <c r="HCI379" s="50" t="n"/>
      <c r="HCJ379" s="50" t="n"/>
      <c r="HCK379" s="50" t="n"/>
      <c r="HCL379" s="50" t="n"/>
      <c r="HCM379" s="50" t="n"/>
      <c r="HCN379" s="50" t="n"/>
      <c r="HCO379" s="50" t="n"/>
      <c r="HCP379" s="50" t="n"/>
      <c r="HCQ379" s="50" t="n"/>
      <c r="HCR379" s="50" t="n"/>
      <c r="HCS379" s="50" t="n"/>
      <c r="HCT379" s="50" t="n"/>
      <c r="HCU379" s="50" t="n"/>
      <c r="HCV379" s="56" t="n"/>
      <c r="HCW379" s="50" t="n"/>
      <c r="HCX379" s="53" t="n"/>
      <c r="HCY379" s="84" t="n"/>
      <c r="HCZ379" s="85" t="n"/>
      <c r="HDA379" s="31" t="n"/>
      <c r="HDB379" s="50" t="n"/>
      <c r="HDC379" s="50" t="n"/>
      <c r="HDD379" s="50" t="n"/>
      <c r="HDE379" s="50" t="n"/>
      <c r="HDF379" s="50" t="n"/>
      <c r="HDG379" s="50" t="n"/>
      <c r="HDH379" s="50" t="n"/>
      <c r="HDI379" s="50" t="n"/>
      <c r="HDJ379" s="50" t="n"/>
      <c r="HDK379" s="50" t="n"/>
      <c r="HDL379" s="50" t="n"/>
      <c r="HDM379" s="50" t="n"/>
      <c r="HDN379" s="50" t="n"/>
      <c r="HDO379" s="50" t="n"/>
      <c r="HDP379" s="50" t="n"/>
      <c r="HDQ379" s="50" t="n"/>
      <c r="HDR379" s="50" t="n"/>
      <c r="HDS379" s="50" t="n"/>
      <c r="HDT379" s="50" t="n"/>
      <c r="HDU379" s="50" t="n"/>
      <c r="HDV379" s="50" t="n"/>
      <c r="HDW379" s="50" t="n"/>
      <c r="HDX379" s="50" t="n"/>
      <c r="HDY379" s="50" t="n"/>
      <c r="HDZ379" s="56" t="n"/>
      <c r="HEA379" s="50" t="n"/>
      <c r="HEB379" s="53" t="n"/>
      <c r="HEC379" s="84" t="n"/>
      <c r="HED379" s="85" t="n"/>
      <c r="HEE379" s="31" t="n"/>
      <c r="HEF379" s="50" t="n"/>
      <c r="HEG379" s="50" t="n"/>
      <c r="HEH379" s="50" t="n"/>
      <c r="HEI379" s="50" t="n"/>
      <c r="HEJ379" s="50" t="n"/>
      <c r="HEK379" s="50" t="n"/>
      <c r="HEL379" s="50" t="n"/>
      <c r="HEM379" s="50" t="n"/>
      <c r="HEN379" s="50" t="n"/>
      <c r="HEO379" s="50" t="n"/>
      <c r="HEP379" s="50" t="n"/>
      <c r="HEQ379" s="50" t="n"/>
      <c r="HER379" s="50" t="n"/>
      <c r="HES379" s="50" t="n"/>
      <c r="HET379" s="50" t="n"/>
      <c r="HEU379" s="50" t="n"/>
      <c r="HEV379" s="50" t="n"/>
      <c r="HEW379" s="50" t="n"/>
      <c r="HEX379" s="50" t="n"/>
      <c r="HEY379" s="50" t="n"/>
      <c r="HEZ379" s="50" t="n"/>
      <c r="HFA379" s="50" t="n"/>
      <c r="HFB379" s="50" t="n"/>
      <c r="HFC379" s="50" t="n"/>
      <c r="HFD379" s="56" t="n"/>
      <c r="HFE379" s="50" t="n"/>
      <c r="HFF379" s="53" t="n"/>
      <c r="HFG379" s="84" t="n"/>
      <c r="HFH379" s="85" t="n"/>
      <c r="HFI379" s="31" t="n"/>
      <c r="HFJ379" s="50" t="n"/>
      <c r="HFK379" s="50" t="n"/>
      <c r="HFL379" s="50" t="n"/>
      <c r="HFM379" s="50" t="n"/>
      <c r="HFN379" s="50" t="n"/>
      <c r="HFO379" s="50" t="n"/>
      <c r="HFP379" s="50" t="n"/>
      <c r="HFQ379" s="50" t="n"/>
      <c r="HFR379" s="50" t="n"/>
      <c r="HFS379" s="50" t="n"/>
      <c r="HFT379" s="50" t="n"/>
      <c r="HFU379" s="50" t="n"/>
      <c r="HFV379" s="50" t="n"/>
      <c r="HFW379" s="50" t="n"/>
      <c r="HFX379" s="50" t="n"/>
      <c r="HFY379" s="50" t="n"/>
      <c r="HFZ379" s="50" t="n"/>
      <c r="HGA379" s="50" t="n"/>
      <c r="HGB379" s="50" t="n"/>
      <c r="HGC379" s="50" t="n"/>
      <c r="HGD379" s="50" t="n"/>
      <c r="HGE379" s="50" t="n"/>
      <c r="HGF379" s="50" t="n"/>
      <c r="HGG379" s="50" t="n"/>
      <c r="HGH379" s="56" t="n"/>
      <c r="HGI379" s="50" t="n"/>
      <c r="HGJ379" s="53" t="n"/>
      <c r="HGK379" s="84" t="n"/>
      <c r="HGL379" s="85" t="n"/>
      <c r="HGM379" s="31" t="n"/>
      <c r="HGN379" s="50" t="n"/>
      <c r="HGO379" s="50" t="n"/>
      <c r="HGP379" s="50" t="n"/>
      <c r="HGQ379" s="50" t="n"/>
      <c r="HGR379" s="50" t="n"/>
      <c r="HGS379" s="50" t="n"/>
      <c r="HGT379" s="50" t="n"/>
      <c r="HGU379" s="50" t="n"/>
      <c r="HGV379" s="50" t="n"/>
      <c r="HGW379" s="50" t="n"/>
      <c r="HGX379" s="50" t="n"/>
      <c r="HGY379" s="50" t="n"/>
      <c r="HGZ379" s="50" t="n"/>
      <c r="HHA379" s="50" t="n"/>
      <c r="HHB379" s="50" t="n"/>
      <c r="HHC379" s="50" t="n"/>
      <c r="HHD379" s="50" t="n"/>
      <c r="HHE379" s="50" t="n"/>
      <c r="HHF379" s="50" t="n"/>
      <c r="HHG379" s="50" t="n"/>
      <c r="HHH379" s="50" t="n"/>
      <c r="HHI379" s="50" t="n"/>
      <c r="HHJ379" s="50" t="n"/>
      <c r="HHK379" s="50" t="n"/>
      <c r="HHL379" s="56" t="n"/>
      <c r="HHM379" s="50" t="n"/>
      <c r="HHN379" s="53" t="n"/>
      <c r="HHO379" s="84" t="n"/>
      <c r="HHP379" s="85" t="n"/>
      <c r="HHQ379" s="31" t="n"/>
      <c r="HHR379" s="50" t="n"/>
      <c r="HHS379" s="50" t="n"/>
      <c r="HHT379" s="50" t="n"/>
      <c r="HHU379" s="50" t="n"/>
      <c r="HHV379" s="50" t="n"/>
      <c r="HHW379" s="50" t="n"/>
      <c r="HHX379" s="50" t="n"/>
      <c r="HHY379" s="50" t="n"/>
      <c r="HHZ379" s="50" t="n"/>
      <c r="HIA379" s="50" t="n"/>
      <c r="HIB379" s="50" t="n"/>
      <c r="HIC379" s="50" t="n"/>
      <c r="HID379" s="50" t="n"/>
      <c r="HIE379" s="50" t="n"/>
      <c r="HIF379" s="50" t="n"/>
      <c r="HIG379" s="50" t="n"/>
      <c r="HIH379" s="50" t="n"/>
      <c r="HII379" s="50" t="n"/>
      <c r="HIJ379" s="50" t="n"/>
      <c r="HIK379" s="50" t="n"/>
      <c r="HIL379" s="50" t="n"/>
      <c r="HIM379" s="50" t="n"/>
      <c r="HIN379" s="50" t="n"/>
      <c r="HIO379" s="50" t="n"/>
      <c r="HIP379" s="56" t="n"/>
      <c r="HIQ379" s="50" t="n"/>
      <c r="HIR379" s="53" t="n"/>
      <c r="HIS379" s="84" t="n"/>
      <c r="HIT379" s="85" t="n"/>
      <c r="HIU379" s="31" t="n"/>
      <c r="HIV379" s="50" t="n"/>
      <c r="HIW379" s="50" t="n"/>
      <c r="HIX379" s="50" t="n"/>
      <c r="HIY379" s="50" t="n"/>
      <c r="HIZ379" s="50" t="n"/>
      <c r="HJA379" s="50" t="n"/>
      <c r="HJB379" s="50" t="n"/>
      <c r="HJC379" s="50" t="n"/>
      <c r="HJD379" s="50" t="n"/>
      <c r="HJE379" s="50" t="n"/>
      <c r="HJF379" s="50" t="n"/>
      <c r="HJG379" s="50" t="n"/>
      <c r="HJH379" s="50" t="n"/>
      <c r="HJI379" s="50" t="n"/>
      <c r="HJJ379" s="50" t="n"/>
      <c r="HJK379" s="50" t="n"/>
      <c r="HJL379" s="50" t="n"/>
      <c r="HJM379" s="50" t="n"/>
      <c r="HJN379" s="50" t="n"/>
      <c r="HJO379" s="50" t="n"/>
      <c r="HJP379" s="50" t="n"/>
      <c r="HJQ379" s="50" t="n"/>
      <c r="HJR379" s="50" t="n"/>
      <c r="HJS379" s="50" t="n"/>
      <c r="HJT379" s="56" t="n"/>
      <c r="HJU379" s="50" t="n"/>
      <c r="HJV379" s="53" t="n"/>
      <c r="HJW379" s="84" t="n"/>
      <c r="HJX379" s="85" t="n"/>
      <c r="HJY379" s="31" t="n"/>
      <c r="HJZ379" s="50" t="n"/>
      <c r="HKA379" s="50" t="n"/>
      <c r="HKB379" s="50" t="n"/>
      <c r="HKC379" s="50" t="n"/>
      <c r="HKD379" s="50" t="n"/>
      <c r="HKE379" s="50" t="n"/>
      <c r="HKF379" s="50" t="n"/>
      <c r="HKG379" s="50" t="n"/>
      <c r="HKH379" s="50" t="n"/>
      <c r="HKI379" s="50" t="n"/>
      <c r="HKJ379" s="50" t="n"/>
      <c r="HKK379" s="50" t="n"/>
      <c r="HKL379" s="50" t="n"/>
      <c r="HKM379" s="50" t="n"/>
      <c r="HKN379" s="50" t="n"/>
      <c r="HKO379" s="50" t="n"/>
      <c r="HKP379" s="50" t="n"/>
      <c r="HKQ379" s="50" t="n"/>
      <c r="HKR379" s="50" t="n"/>
      <c r="HKS379" s="50" t="n"/>
      <c r="HKT379" s="50" t="n"/>
      <c r="HKU379" s="50" t="n"/>
      <c r="HKV379" s="50" t="n"/>
      <c r="HKW379" s="50" t="n"/>
      <c r="HKX379" s="56" t="n"/>
      <c r="HKY379" s="50" t="n"/>
      <c r="HKZ379" s="53" t="n"/>
      <c r="HLA379" s="84" t="n"/>
      <c r="HLB379" s="85" t="n"/>
      <c r="HLC379" s="31" t="n"/>
      <c r="HLD379" s="50" t="n"/>
      <c r="HLE379" s="50" t="n"/>
      <c r="HLF379" s="50" t="n"/>
      <c r="HLG379" s="50" t="n"/>
      <c r="HLH379" s="50" t="n"/>
      <c r="HLI379" s="50" t="n"/>
      <c r="HLJ379" s="50" t="n"/>
      <c r="HLK379" s="50" t="n"/>
      <c r="HLL379" s="50" t="n"/>
      <c r="HLM379" s="50" t="n"/>
      <c r="HLN379" s="50" t="n"/>
      <c r="HLO379" s="50" t="n"/>
      <c r="HLP379" s="50" t="n"/>
      <c r="HLQ379" s="50" t="n"/>
      <c r="HLR379" s="50" t="n"/>
      <c r="HLS379" s="50" t="n"/>
      <c r="HLT379" s="50" t="n"/>
      <c r="HLU379" s="50" t="n"/>
      <c r="HLV379" s="50" t="n"/>
      <c r="HLW379" s="50" t="n"/>
      <c r="HLX379" s="50" t="n"/>
      <c r="HLY379" s="50" t="n"/>
      <c r="HLZ379" s="50" t="n"/>
      <c r="HMA379" s="50" t="n"/>
      <c r="HMB379" s="56" t="n"/>
      <c r="HMC379" s="50" t="n"/>
      <c r="HMD379" s="53" t="n"/>
      <c r="HME379" s="84" t="n"/>
      <c r="HMF379" s="85" t="n"/>
      <c r="HMG379" s="31" t="n"/>
      <c r="HMH379" s="50" t="n"/>
      <c r="HMI379" s="50" t="n"/>
      <c r="HMJ379" s="50" t="n"/>
      <c r="HMK379" s="50" t="n"/>
      <c r="HML379" s="50" t="n"/>
      <c r="HMM379" s="50" t="n"/>
      <c r="HMN379" s="50" t="n"/>
      <c r="HMO379" s="50" t="n"/>
      <c r="HMP379" s="50" t="n"/>
      <c r="HMQ379" s="50" t="n"/>
      <c r="HMR379" s="50" t="n"/>
      <c r="HMS379" s="50" t="n"/>
      <c r="HMT379" s="50" t="n"/>
      <c r="HMU379" s="50" t="n"/>
      <c r="HMV379" s="50" t="n"/>
      <c r="HMW379" s="50" t="n"/>
      <c r="HMX379" s="50" t="n"/>
      <c r="HMY379" s="50" t="n"/>
      <c r="HMZ379" s="50" t="n"/>
      <c r="HNA379" s="50" t="n"/>
      <c r="HNB379" s="50" t="n"/>
      <c r="HNC379" s="50" t="n"/>
      <c r="HND379" s="50" t="n"/>
      <c r="HNE379" s="50" t="n"/>
      <c r="HNF379" s="56" t="n"/>
      <c r="HNG379" s="50" t="n"/>
      <c r="HNH379" s="53" t="n"/>
      <c r="HNI379" s="84" t="n"/>
      <c r="HNJ379" s="85" t="n"/>
      <c r="HNK379" s="31" t="n"/>
      <c r="HNL379" s="50" t="n"/>
      <c r="HNM379" s="50" t="n"/>
      <c r="HNN379" s="50" t="n"/>
      <c r="HNO379" s="50" t="n"/>
      <c r="HNP379" s="50" t="n"/>
      <c r="HNQ379" s="50" t="n"/>
      <c r="HNR379" s="50" t="n"/>
      <c r="HNS379" s="50" t="n"/>
      <c r="HNT379" s="50" t="n"/>
      <c r="HNU379" s="50" t="n"/>
      <c r="HNV379" s="50" t="n"/>
      <c r="HNW379" s="50" t="n"/>
      <c r="HNX379" s="50" t="n"/>
      <c r="HNY379" s="50" t="n"/>
      <c r="HNZ379" s="50" t="n"/>
      <c r="HOA379" s="50" t="n"/>
      <c r="HOB379" s="50" t="n"/>
      <c r="HOC379" s="50" t="n"/>
      <c r="HOD379" s="50" t="n"/>
      <c r="HOE379" s="50" t="n"/>
      <c r="HOF379" s="50" t="n"/>
      <c r="HOG379" s="50" t="n"/>
      <c r="HOH379" s="50" t="n"/>
      <c r="HOI379" s="50" t="n"/>
      <c r="HOJ379" s="56" t="n"/>
      <c r="HOK379" s="50" t="n"/>
      <c r="HOL379" s="53" t="n"/>
      <c r="HOM379" s="84" t="n"/>
      <c r="HON379" s="85" t="n"/>
      <c r="HOO379" s="31" t="n"/>
      <c r="HOP379" s="50" t="n"/>
      <c r="HOQ379" s="50" t="n"/>
      <c r="HOR379" s="50" t="n"/>
      <c r="HOS379" s="50" t="n"/>
      <c r="HOT379" s="50" t="n"/>
      <c r="HOU379" s="50" t="n"/>
      <c r="HOV379" s="50" t="n"/>
      <c r="HOW379" s="50" t="n"/>
      <c r="HOX379" s="50" t="n"/>
      <c r="HOY379" s="50" t="n"/>
      <c r="HOZ379" s="50" t="n"/>
      <c r="HPA379" s="50" t="n"/>
      <c r="HPB379" s="50" t="n"/>
      <c r="HPC379" s="50" t="n"/>
      <c r="HPD379" s="50" t="n"/>
      <c r="HPE379" s="50" t="n"/>
      <c r="HPF379" s="50" t="n"/>
      <c r="HPG379" s="50" t="n"/>
      <c r="HPH379" s="50" t="n"/>
      <c r="HPI379" s="50" t="n"/>
      <c r="HPJ379" s="50" t="n"/>
      <c r="HPK379" s="50" t="n"/>
      <c r="HPL379" s="50" t="n"/>
      <c r="HPM379" s="50" t="n"/>
      <c r="HPN379" s="56" t="n"/>
      <c r="HPO379" s="50" t="n"/>
      <c r="HPP379" s="53" t="n"/>
      <c r="HPQ379" s="84" t="n"/>
      <c r="HPR379" s="85" t="n"/>
      <c r="HPS379" s="31" t="n"/>
      <c r="HPT379" s="50" t="n"/>
      <c r="HPU379" s="50" t="n"/>
      <c r="HPV379" s="50" t="n"/>
      <c r="HPW379" s="50" t="n"/>
      <c r="HPX379" s="50" t="n"/>
      <c r="HPY379" s="50" t="n"/>
      <c r="HPZ379" s="50" t="n"/>
      <c r="HQA379" s="50" t="n"/>
      <c r="HQB379" s="50" t="n"/>
      <c r="HQC379" s="50" t="n"/>
      <c r="HQD379" s="50" t="n"/>
      <c r="HQE379" s="50" t="n"/>
      <c r="HQF379" s="50" t="n"/>
      <c r="HQG379" s="50" t="n"/>
      <c r="HQH379" s="50" t="n"/>
      <c r="HQI379" s="50" t="n"/>
      <c r="HQJ379" s="50" t="n"/>
      <c r="HQK379" s="50" t="n"/>
      <c r="HQL379" s="50" t="n"/>
      <c r="HQM379" s="50" t="n"/>
      <c r="HQN379" s="50" t="n"/>
      <c r="HQO379" s="50" t="n"/>
      <c r="HQP379" s="50" t="n"/>
      <c r="HQQ379" s="50" t="n"/>
      <c r="HQR379" s="56" t="n"/>
      <c r="HQS379" s="50" t="n"/>
      <c r="HQT379" s="53" t="n"/>
      <c r="HQU379" s="84" t="n"/>
      <c r="HQV379" s="85" t="n"/>
      <c r="HQW379" s="31" t="n"/>
      <c r="HQX379" s="50" t="n"/>
      <c r="HQY379" s="50" t="n"/>
      <c r="HQZ379" s="50" t="n"/>
      <c r="HRA379" s="50" t="n"/>
      <c r="HRB379" s="50" t="n"/>
      <c r="HRC379" s="50" t="n"/>
      <c r="HRD379" s="50" t="n"/>
      <c r="HRE379" s="50" t="n"/>
      <c r="HRF379" s="50" t="n"/>
      <c r="HRG379" s="50" t="n"/>
      <c r="HRH379" s="50" t="n"/>
      <c r="HRI379" s="50" t="n"/>
      <c r="HRJ379" s="50" t="n"/>
      <c r="HRK379" s="50" t="n"/>
      <c r="HRL379" s="50" t="n"/>
      <c r="HRM379" s="50" t="n"/>
      <c r="HRN379" s="50" t="n"/>
      <c r="HRO379" s="50" t="n"/>
      <c r="HRP379" s="50" t="n"/>
      <c r="HRQ379" s="50" t="n"/>
      <c r="HRR379" s="50" t="n"/>
      <c r="HRS379" s="50" t="n"/>
      <c r="HRT379" s="50" t="n"/>
      <c r="HRU379" s="50" t="n"/>
      <c r="HRV379" s="56" t="n"/>
      <c r="HRW379" s="50" t="n"/>
      <c r="HRX379" s="53" t="n"/>
      <c r="HRY379" s="84" t="n"/>
      <c r="HRZ379" s="85" t="n"/>
      <c r="HSA379" s="31" t="n"/>
      <c r="HSB379" s="50" t="n"/>
      <c r="HSC379" s="50" t="n"/>
      <c r="HSD379" s="50" t="n"/>
      <c r="HSE379" s="50" t="n"/>
      <c r="HSF379" s="50" t="n"/>
      <c r="HSG379" s="50" t="n"/>
      <c r="HSH379" s="50" t="n"/>
      <c r="HSI379" s="50" t="n"/>
      <c r="HSJ379" s="50" t="n"/>
      <c r="HSK379" s="50" t="n"/>
      <c r="HSL379" s="50" t="n"/>
      <c r="HSM379" s="50" t="n"/>
      <c r="HSN379" s="50" t="n"/>
      <c r="HSO379" s="50" t="n"/>
      <c r="HSP379" s="50" t="n"/>
      <c r="HSQ379" s="50" t="n"/>
      <c r="HSR379" s="50" t="n"/>
      <c r="HSS379" s="50" t="n"/>
      <c r="HST379" s="50" t="n"/>
      <c r="HSU379" s="50" t="n"/>
      <c r="HSV379" s="50" t="n"/>
      <c r="HSW379" s="50" t="n"/>
      <c r="HSX379" s="50" t="n"/>
      <c r="HSY379" s="50" t="n"/>
      <c r="HSZ379" s="56" t="n"/>
      <c r="HTA379" s="50" t="n"/>
      <c r="HTB379" s="53" t="n"/>
      <c r="HTC379" s="84" t="n"/>
      <c r="HTD379" s="85" t="n"/>
      <c r="HTE379" s="31" t="n"/>
      <c r="HTF379" s="50" t="n"/>
      <c r="HTG379" s="50" t="n"/>
      <c r="HTH379" s="50" t="n"/>
      <c r="HTI379" s="50" t="n"/>
      <c r="HTJ379" s="50" t="n"/>
      <c r="HTK379" s="50" t="n"/>
      <c r="HTL379" s="50" t="n"/>
      <c r="HTM379" s="50" t="n"/>
      <c r="HTN379" s="50" t="n"/>
      <c r="HTO379" s="50" t="n"/>
      <c r="HTP379" s="50" t="n"/>
      <c r="HTQ379" s="50" t="n"/>
      <c r="HTR379" s="50" t="n"/>
      <c r="HTS379" s="50" t="n"/>
      <c r="HTT379" s="50" t="n"/>
      <c r="HTU379" s="50" t="n"/>
      <c r="HTV379" s="50" t="n"/>
      <c r="HTW379" s="50" t="n"/>
      <c r="HTX379" s="50" t="n"/>
      <c r="HTY379" s="50" t="n"/>
      <c r="HTZ379" s="50" t="n"/>
      <c r="HUA379" s="50" t="n"/>
      <c r="HUB379" s="50" t="n"/>
      <c r="HUC379" s="50" t="n"/>
      <c r="HUD379" s="56" t="n"/>
      <c r="HUE379" s="50" t="n"/>
      <c r="HUF379" s="53" t="n"/>
      <c r="HUG379" s="84" t="n"/>
      <c r="HUH379" s="85" t="n"/>
      <c r="HUI379" s="31" t="n"/>
      <c r="HUJ379" s="50" t="n"/>
      <c r="HUK379" s="50" t="n"/>
      <c r="HUL379" s="50" t="n"/>
      <c r="HUM379" s="50" t="n"/>
      <c r="HUN379" s="50" t="n"/>
      <c r="HUO379" s="50" t="n"/>
      <c r="HUP379" s="50" t="n"/>
      <c r="HUQ379" s="50" t="n"/>
      <c r="HUR379" s="50" t="n"/>
      <c r="HUS379" s="50" t="n"/>
      <c r="HUT379" s="50" t="n"/>
      <c r="HUU379" s="50" t="n"/>
      <c r="HUV379" s="50" t="n"/>
      <c r="HUW379" s="50" t="n"/>
      <c r="HUX379" s="50" t="n"/>
      <c r="HUY379" s="50" t="n"/>
      <c r="HUZ379" s="50" t="n"/>
      <c r="HVA379" s="50" t="n"/>
      <c r="HVB379" s="50" t="n"/>
      <c r="HVC379" s="50" t="n"/>
      <c r="HVD379" s="50" t="n"/>
      <c r="HVE379" s="50" t="n"/>
      <c r="HVF379" s="50" t="n"/>
      <c r="HVG379" s="50" t="n"/>
      <c r="HVH379" s="56" t="n"/>
      <c r="HVI379" s="50" t="n"/>
      <c r="HVJ379" s="53" t="n"/>
      <c r="HVK379" s="84" t="n"/>
      <c r="HVL379" s="85" t="n"/>
      <c r="HVM379" s="31" t="n"/>
      <c r="HVN379" s="50" t="n"/>
      <c r="HVO379" s="50" t="n"/>
      <c r="HVP379" s="50" t="n"/>
      <c r="HVQ379" s="50" t="n"/>
      <c r="HVR379" s="50" t="n"/>
      <c r="HVS379" s="50" t="n"/>
      <c r="HVT379" s="50" t="n"/>
      <c r="HVU379" s="50" t="n"/>
      <c r="HVV379" s="50" t="n"/>
      <c r="HVW379" s="50" t="n"/>
      <c r="HVX379" s="50" t="n"/>
      <c r="HVY379" s="50" t="n"/>
      <c r="HVZ379" s="50" t="n"/>
      <c r="HWA379" s="50" t="n"/>
      <c r="HWB379" s="50" t="n"/>
      <c r="HWC379" s="50" t="n"/>
      <c r="HWD379" s="50" t="n"/>
      <c r="HWE379" s="50" t="n"/>
      <c r="HWF379" s="50" t="n"/>
      <c r="HWG379" s="50" t="n"/>
      <c r="HWH379" s="50" t="n"/>
      <c r="HWI379" s="50" t="n"/>
      <c r="HWJ379" s="50" t="n"/>
      <c r="HWK379" s="50" t="n"/>
      <c r="HWL379" s="56" t="n"/>
      <c r="HWM379" s="50" t="n"/>
      <c r="HWN379" s="53" t="n"/>
      <c r="HWO379" s="84" t="n"/>
      <c r="HWP379" s="85" t="n"/>
      <c r="HWQ379" s="31" t="n"/>
      <c r="HWR379" s="50" t="n"/>
      <c r="HWS379" s="50" t="n"/>
      <c r="HWT379" s="50" t="n"/>
      <c r="HWU379" s="50" t="n"/>
      <c r="HWV379" s="50" t="n"/>
      <c r="HWW379" s="50" t="n"/>
      <c r="HWX379" s="50" t="n"/>
      <c r="HWY379" s="50" t="n"/>
      <c r="HWZ379" s="50" t="n"/>
      <c r="HXA379" s="50" t="n"/>
      <c r="HXB379" s="50" t="n"/>
      <c r="HXC379" s="50" t="n"/>
      <c r="HXD379" s="50" t="n"/>
      <c r="HXE379" s="50" t="n"/>
      <c r="HXF379" s="50" t="n"/>
      <c r="HXG379" s="50" t="n"/>
      <c r="HXH379" s="50" t="n"/>
      <c r="HXI379" s="50" t="n"/>
      <c r="HXJ379" s="50" t="n"/>
      <c r="HXK379" s="50" t="n"/>
      <c r="HXL379" s="50" t="n"/>
      <c r="HXM379" s="50" t="n"/>
      <c r="HXN379" s="50" t="n"/>
      <c r="HXO379" s="50" t="n"/>
      <c r="HXP379" s="56" t="n"/>
      <c r="HXQ379" s="50" t="n"/>
      <c r="HXR379" s="53" t="n"/>
      <c r="HXS379" s="84" t="n"/>
      <c r="HXT379" s="85" t="n"/>
      <c r="HXU379" s="31" t="n"/>
      <c r="HXV379" s="50" t="n"/>
      <c r="HXW379" s="50" t="n"/>
      <c r="HXX379" s="50" t="n"/>
      <c r="HXY379" s="50" t="n"/>
      <c r="HXZ379" s="50" t="n"/>
      <c r="HYA379" s="50" t="n"/>
      <c r="HYB379" s="50" t="n"/>
      <c r="HYC379" s="50" t="n"/>
      <c r="HYD379" s="50" t="n"/>
      <c r="HYE379" s="50" t="n"/>
      <c r="HYF379" s="50" t="n"/>
      <c r="HYG379" s="50" t="n"/>
      <c r="HYH379" s="50" t="n"/>
      <c r="HYI379" s="50" t="n"/>
      <c r="HYJ379" s="50" t="n"/>
      <c r="HYK379" s="50" t="n"/>
      <c r="HYL379" s="50" t="n"/>
      <c r="HYM379" s="50" t="n"/>
      <c r="HYN379" s="50" t="n"/>
      <c r="HYO379" s="50" t="n"/>
      <c r="HYP379" s="50" t="n"/>
      <c r="HYQ379" s="50" t="n"/>
      <c r="HYR379" s="50" t="n"/>
      <c r="HYS379" s="50" t="n"/>
      <c r="HYT379" s="56" t="n"/>
      <c r="HYU379" s="50" t="n"/>
      <c r="HYV379" s="53" t="n"/>
      <c r="HYW379" s="84" t="n"/>
      <c r="HYX379" s="85" t="n"/>
      <c r="HYY379" s="31" t="n"/>
      <c r="HYZ379" s="50" t="n"/>
      <c r="HZA379" s="50" t="n"/>
      <c r="HZB379" s="50" t="n"/>
      <c r="HZC379" s="50" t="n"/>
      <c r="HZD379" s="50" t="n"/>
      <c r="HZE379" s="50" t="n"/>
      <c r="HZF379" s="50" t="n"/>
      <c r="HZG379" s="50" t="n"/>
      <c r="HZH379" s="50" t="n"/>
      <c r="HZI379" s="50" t="n"/>
      <c r="HZJ379" s="50" t="n"/>
      <c r="HZK379" s="50" t="n"/>
      <c r="HZL379" s="50" t="n"/>
      <c r="HZM379" s="50" t="n"/>
      <c r="HZN379" s="50" t="n"/>
      <c r="HZO379" s="50" t="n"/>
      <c r="HZP379" s="50" t="n"/>
      <c r="HZQ379" s="50" t="n"/>
      <c r="HZR379" s="50" t="n"/>
      <c r="HZS379" s="50" t="n"/>
      <c r="HZT379" s="50" t="n"/>
      <c r="HZU379" s="50" t="n"/>
      <c r="HZV379" s="50" t="n"/>
      <c r="HZW379" s="50" t="n"/>
      <c r="HZX379" s="56" t="n"/>
      <c r="HZY379" s="50" t="n"/>
      <c r="HZZ379" s="53" t="n"/>
      <c r="IAA379" s="84" t="n"/>
      <c r="IAB379" s="85" t="n"/>
      <c r="IAC379" s="31" t="n"/>
      <c r="IAD379" s="50" t="n"/>
      <c r="IAE379" s="50" t="n"/>
      <c r="IAF379" s="50" t="n"/>
      <c r="IAG379" s="50" t="n"/>
      <c r="IAH379" s="50" t="n"/>
      <c r="IAI379" s="50" t="n"/>
      <c r="IAJ379" s="50" t="n"/>
      <c r="IAK379" s="50" t="n"/>
      <c r="IAL379" s="50" t="n"/>
      <c r="IAM379" s="50" t="n"/>
      <c r="IAN379" s="50" t="n"/>
      <c r="IAO379" s="50" t="n"/>
      <c r="IAP379" s="50" t="n"/>
      <c r="IAQ379" s="50" t="n"/>
      <c r="IAR379" s="50" t="n"/>
      <c r="IAS379" s="50" t="n"/>
      <c r="IAT379" s="50" t="n"/>
      <c r="IAU379" s="50" t="n"/>
      <c r="IAV379" s="50" t="n"/>
      <c r="IAW379" s="50" t="n"/>
      <c r="IAX379" s="50" t="n"/>
      <c r="IAY379" s="50" t="n"/>
      <c r="IAZ379" s="50" t="n"/>
      <c r="IBA379" s="50" t="n"/>
      <c r="IBB379" s="56" t="n"/>
      <c r="IBC379" s="50" t="n"/>
      <c r="IBD379" s="53" t="n"/>
      <c r="IBE379" s="84" t="n"/>
      <c r="IBF379" s="85" t="n"/>
      <c r="IBG379" s="31" t="n"/>
      <c r="IBH379" s="50" t="n"/>
      <c r="IBI379" s="50" t="n"/>
      <c r="IBJ379" s="50" t="n"/>
      <c r="IBK379" s="50" t="n"/>
      <c r="IBL379" s="50" t="n"/>
      <c r="IBM379" s="50" t="n"/>
      <c r="IBN379" s="50" t="n"/>
      <c r="IBO379" s="50" t="n"/>
      <c r="IBP379" s="50" t="n"/>
      <c r="IBQ379" s="50" t="n"/>
      <c r="IBR379" s="50" t="n"/>
      <c r="IBS379" s="50" t="n"/>
      <c r="IBT379" s="50" t="n"/>
      <c r="IBU379" s="50" t="n"/>
      <c r="IBV379" s="50" t="n"/>
      <c r="IBW379" s="50" t="n"/>
      <c r="IBX379" s="50" t="n"/>
      <c r="IBY379" s="50" t="n"/>
      <c r="IBZ379" s="50" t="n"/>
      <c r="ICA379" s="50" t="n"/>
      <c r="ICB379" s="50" t="n"/>
      <c r="ICC379" s="50" t="n"/>
      <c r="ICD379" s="50" t="n"/>
      <c r="ICE379" s="50" t="n"/>
      <c r="ICF379" s="56" t="n"/>
      <c r="ICG379" s="50" t="n"/>
      <c r="ICH379" s="53" t="n"/>
      <c r="ICI379" s="84" t="n"/>
      <c r="ICJ379" s="85" t="n"/>
      <c r="ICK379" s="31" t="n"/>
      <c r="ICL379" s="50" t="n"/>
      <c r="ICM379" s="50" t="n"/>
      <c r="ICN379" s="50" t="n"/>
      <c r="ICO379" s="50" t="n"/>
      <c r="ICP379" s="50" t="n"/>
      <c r="ICQ379" s="50" t="n"/>
      <c r="ICR379" s="50" t="n"/>
      <c r="ICS379" s="50" t="n"/>
      <c r="ICT379" s="50" t="n"/>
      <c r="ICU379" s="50" t="n"/>
      <c r="ICV379" s="50" t="n"/>
      <c r="ICW379" s="50" t="n"/>
      <c r="ICX379" s="50" t="n"/>
      <c r="ICY379" s="50" t="n"/>
      <c r="ICZ379" s="50" t="n"/>
      <c r="IDA379" s="50" t="n"/>
      <c r="IDB379" s="50" t="n"/>
      <c r="IDC379" s="50" t="n"/>
      <c r="IDD379" s="50" t="n"/>
      <c r="IDE379" s="50" t="n"/>
      <c r="IDF379" s="50" t="n"/>
      <c r="IDG379" s="50" t="n"/>
      <c r="IDH379" s="50" t="n"/>
      <c r="IDI379" s="50" t="n"/>
      <c r="IDJ379" s="56" t="n"/>
      <c r="IDK379" s="50" t="n"/>
      <c r="IDL379" s="53" t="n"/>
      <c r="IDM379" s="84" t="n"/>
      <c r="IDN379" s="85" t="n"/>
      <c r="IDO379" s="31" t="n"/>
      <c r="IDP379" s="50" t="n"/>
      <c r="IDQ379" s="50" t="n"/>
      <c r="IDR379" s="50" t="n"/>
      <c r="IDS379" s="50" t="n"/>
      <c r="IDT379" s="50" t="n"/>
      <c r="IDU379" s="50" t="n"/>
      <c r="IDV379" s="50" t="n"/>
      <c r="IDW379" s="50" t="n"/>
      <c r="IDX379" s="50" t="n"/>
      <c r="IDY379" s="50" t="n"/>
      <c r="IDZ379" s="50" t="n"/>
      <c r="IEA379" s="50" t="n"/>
      <c r="IEB379" s="50" t="n"/>
      <c r="IEC379" s="50" t="n"/>
      <c r="IED379" s="50" t="n"/>
      <c r="IEE379" s="50" t="n"/>
      <c r="IEF379" s="50" t="n"/>
      <c r="IEG379" s="50" t="n"/>
      <c r="IEH379" s="50" t="n"/>
      <c r="IEI379" s="50" t="n"/>
      <c r="IEJ379" s="50" t="n"/>
      <c r="IEK379" s="50" t="n"/>
      <c r="IEL379" s="50" t="n"/>
      <c r="IEM379" s="50" t="n"/>
      <c r="IEN379" s="56" t="n"/>
      <c r="IEO379" s="50" t="n"/>
      <c r="IEP379" s="53" t="n"/>
      <c r="IEQ379" s="84" t="n"/>
      <c r="IER379" s="85" t="n"/>
      <c r="IES379" s="31" t="n"/>
      <c r="IET379" s="50" t="n"/>
      <c r="IEU379" s="50" t="n"/>
      <c r="IEV379" s="50" t="n"/>
      <c r="IEW379" s="50" t="n"/>
      <c r="IEX379" s="50" t="n"/>
      <c r="IEY379" s="50" t="n"/>
      <c r="IEZ379" s="50" t="n"/>
      <c r="IFA379" s="50" t="n"/>
      <c r="IFB379" s="50" t="n"/>
      <c r="IFC379" s="50" t="n"/>
      <c r="IFD379" s="50" t="n"/>
      <c r="IFE379" s="50" t="n"/>
      <c r="IFF379" s="50" t="n"/>
      <c r="IFG379" s="50" t="n"/>
      <c r="IFH379" s="50" t="n"/>
      <c r="IFI379" s="50" t="n"/>
      <c r="IFJ379" s="50" t="n"/>
      <c r="IFK379" s="50" t="n"/>
      <c r="IFL379" s="50" t="n"/>
      <c r="IFM379" s="50" t="n"/>
      <c r="IFN379" s="50" t="n"/>
      <c r="IFO379" s="50" t="n"/>
      <c r="IFP379" s="50" t="n"/>
      <c r="IFQ379" s="50" t="n"/>
      <c r="IFR379" s="56" t="n"/>
      <c r="IFS379" s="50" t="n"/>
      <c r="IFT379" s="53" t="n"/>
      <c r="IFU379" s="84" t="n"/>
      <c r="IFV379" s="85" t="n"/>
      <c r="IFW379" s="31" t="n"/>
      <c r="IFX379" s="50" t="n"/>
      <c r="IFY379" s="50" t="n"/>
      <c r="IFZ379" s="50" t="n"/>
      <c r="IGA379" s="50" t="n"/>
      <c r="IGB379" s="50" t="n"/>
      <c r="IGC379" s="50" t="n"/>
      <c r="IGD379" s="50" t="n"/>
      <c r="IGE379" s="50" t="n"/>
      <c r="IGF379" s="50" t="n"/>
      <c r="IGG379" s="50" t="n"/>
      <c r="IGH379" s="50" t="n"/>
      <c r="IGI379" s="50" t="n"/>
      <c r="IGJ379" s="50" t="n"/>
      <c r="IGK379" s="50" t="n"/>
      <c r="IGL379" s="50" t="n"/>
      <c r="IGM379" s="50" t="n"/>
      <c r="IGN379" s="50" t="n"/>
      <c r="IGO379" s="50" t="n"/>
      <c r="IGP379" s="50" t="n"/>
      <c r="IGQ379" s="50" t="n"/>
      <c r="IGR379" s="50" t="n"/>
      <c r="IGS379" s="50" t="n"/>
      <c r="IGT379" s="50" t="n"/>
      <c r="IGU379" s="50" t="n"/>
      <c r="IGV379" s="56" t="n"/>
      <c r="IGW379" s="50" t="n"/>
      <c r="IGX379" s="53" t="n"/>
      <c r="IGY379" s="84" t="n"/>
      <c r="IGZ379" s="85" t="n"/>
      <c r="IHA379" s="31" t="n"/>
      <c r="IHB379" s="50" t="n"/>
      <c r="IHC379" s="50" t="n"/>
      <c r="IHD379" s="50" t="n"/>
      <c r="IHE379" s="50" t="n"/>
      <c r="IHF379" s="50" t="n"/>
      <c r="IHG379" s="50" t="n"/>
      <c r="IHH379" s="50" t="n"/>
      <c r="IHI379" s="50" t="n"/>
      <c r="IHJ379" s="50" t="n"/>
      <c r="IHK379" s="50" t="n"/>
      <c r="IHL379" s="50" t="n"/>
      <c r="IHM379" s="50" t="n"/>
      <c r="IHN379" s="50" t="n"/>
      <c r="IHO379" s="50" t="n"/>
      <c r="IHP379" s="50" t="n"/>
      <c r="IHQ379" s="50" t="n"/>
      <c r="IHR379" s="50" t="n"/>
      <c r="IHS379" s="50" t="n"/>
      <c r="IHT379" s="50" t="n"/>
      <c r="IHU379" s="50" t="n"/>
      <c r="IHV379" s="50" t="n"/>
      <c r="IHW379" s="50" t="n"/>
      <c r="IHX379" s="50" t="n"/>
      <c r="IHY379" s="50" t="n"/>
      <c r="IHZ379" s="56" t="n"/>
      <c r="IIA379" s="50" t="n"/>
      <c r="IIB379" s="53" t="n"/>
      <c r="IIC379" s="84" t="n"/>
      <c r="IID379" s="85" t="n"/>
      <c r="IIE379" s="31" t="n"/>
      <c r="IIF379" s="50" t="n"/>
      <c r="IIG379" s="50" t="n"/>
      <c r="IIH379" s="50" t="n"/>
      <c r="III379" s="50" t="n"/>
      <c r="IIJ379" s="50" t="n"/>
      <c r="IIK379" s="50" t="n"/>
      <c r="IIL379" s="50" t="n"/>
      <c r="IIM379" s="50" t="n"/>
      <c r="IIN379" s="50" t="n"/>
      <c r="IIO379" s="50" t="n"/>
      <c r="IIP379" s="50" t="n"/>
      <c r="IIQ379" s="50" t="n"/>
      <c r="IIR379" s="50" t="n"/>
      <c r="IIS379" s="50" t="n"/>
      <c r="IIT379" s="50" t="n"/>
      <c r="IIU379" s="50" t="n"/>
      <c r="IIV379" s="50" t="n"/>
      <c r="IIW379" s="50" t="n"/>
      <c r="IIX379" s="50" t="n"/>
      <c r="IIY379" s="50" t="n"/>
      <c r="IIZ379" s="50" t="n"/>
      <c r="IJA379" s="50" t="n"/>
      <c r="IJB379" s="50" t="n"/>
      <c r="IJC379" s="50" t="n"/>
      <c r="IJD379" s="56" t="n"/>
      <c r="IJE379" s="50" t="n"/>
      <c r="IJF379" s="53" t="n"/>
      <c r="IJG379" s="84" t="n"/>
      <c r="IJH379" s="85" t="n"/>
      <c r="IJI379" s="31" t="n"/>
      <c r="IJJ379" s="50" t="n"/>
      <c r="IJK379" s="50" t="n"/>
      <c r="IJL379" s="50" t="n"/>
      <c r="IJM379" s="50" t="n"/>
      <c r="IJN379" s="50" t="n"/>
      <c r="IJO379" s="50" t="n"/>
      <c r="IJP379" s="50" t="n"/>
      <c r="IJQ379" s="50" t="n"/>
      <c r="IJR379" s="50" t="n"/>
      <c r="IJS379" s="50" t="n"/>
      <c r="IJT379" s="50" t="n"/>
      <c r="IJU379" s="50" t="n"/>
      <c r="IJV379" s="50" t="n"/>
      <c r="IJW379" s="50" t="n"/>
      <c r="IJX379" s="50" t="n"/>
      <c r="IJY379" s="50" t="n"/>
      <c r="IJZ379" s="50" t="n"/>
      <c r="IKA379" s="50" t="n"/>
      <c r="IKB379" s="50" t="n"/>
      <c r="IKC379" s="50" t="n"/>
      <c r="IKD379" s="50" t="n"/>
      <c r="IKE379" s="50" t="n"/>
      <c r="IKF379" s="50" t="n"/>
      <c r="IKG379" s="50" t="n"/>
      <c r="IKH379" s="56" t="n"/>
      <c r="IKI379" s="50" t="n"/>
      <c r="IKJ379" s="53" t="n"/>
      <c r="IKK379" s="84" t="n"/>
      <c r="IKL379" s="85" t="n"/>
      <c r="IKM379" s="31" t="n"/>
      <c r="IKN379" s="50" t="n"/>
      <c r="IKO379" s="50" t="n"/>
      <c r="IKP379" s="50" t="n"/>
      <c r="IKQ379" s="50" t="n"/>
      <c r="IKR379" s="50" t="n"/>
      <c r="IKS379" s="50" t="n"/>
      <c r="IKT379" s="50" t="n"/>
      <c r="IKU379" s="50" t="n"/>
      <c r="IKV379" s="50" t="n"/>
      <c r="IKW379" s="50" t="n"/>
      <c r="IKX379" s="50" t="n"/>
      <c r="IKY379" s="50" t="n"/>
      <c r="IKZ379" s="50" t="n"/>
      <c r="ILA379" s="50" t="n"/>
      <c r="ILB379" s="50" t="n"/>
      <c r="ILC379" s="50" t="n"/>
      <c r="ILD379" s="50" t="n"/>
      <c r="ILE379" s="50" t="n"/>
      <c r="ILF379" s="50" t="n"/>
      <c r="ILG379" s="50" t="n"/>
      <c r="ILH379" s="50" t="n"/>
      <c r="ILI379" s="50" t="n"/>
      <c r="ILJ379" s="50" t="n"/>
      <c r="ILK379" s="50" t="n"/>
      <c r="ILL379" s="56" t="n"/>
      <c r="ILM379" s="50" t="n"/>
      <c r="ILN379" s="53" t="n"/>
      <c r="ILO379" s="84" t="n"/>
      <c r="ILP379" s="85" t="n"/>
      <c r="ILQ379" s="31" t="n"/>
      <c r="ILR379" s="50" t="n"/>
      <c r="ILS379" s="50" t="n"/>
      <c r="ILT379" s="50" t="n"/>
      <c r="ILU379" s="50" t="n"/>
      <c r="ILV379" s="50" t="n"/>
      <c r="ILW379" s="50" t="n"/>
      <c r="ILX379" s="50" t="n"/>
      <c r="ILY379" s="50" t="n"/>
      <c r="ILZ379" s="50" t="n"/>
      <c r="IMA379" s="50" t="n"/>
      <c r="IMB379" s="50" t="n"/>
      <c r="IMC379" s="50" t="n"/>
      <c r="IMD379" s="50" t="n"/>
      <c r="IME379" s="50" t="n"/>
      <c r="IMF379" s="50" t="n"/>
      <c r="IMG379" s="50" t="n"/>
      <c r="IMH379" s="50" t="n"/>
      <c r="IMI379" s="50" t="n"/>
      <c r="IMJ379" s="50" t="n"/>
      <c r="IMK379" s="50" t="n"/>
      <c r="IML379" s="50" t="n"/>
      <c r="IMM379" s="50" t="n"/>
      <c r="IMN379" s="50" t="n"/>
      <c r="IMO379" s="50" t="n"/>
      <c r="IMP379" s="56" t="n"/>
      <c r="IMQ379" s="50" t="n"/>
      <c r="IMR379" s="53" t="n"/>
      <c r="IMS379" s="84" t="n"/>
      <c r="IMT379" s="85" t="n"/>
      <c r="IMU379" s="31" t="n"/>
      <c r="IMV379" s="50" t="n"/>
      <c r="IMW379" s="50" t="n"/>
      <c r="IMX379" s="50" t="n"/>
      <c r="IMY379" s="50" t="n"/>
      <c r="IMZ379" s="50" t="n"/>
      <c r="INA379" s="50" t="n"/>
      <c r="INB379" s="50" t="n"/>
      <c r="INC379" s="50" t="n"/>
      <c r="IND379" s="50" t="n"/>
      <c r="INE379" s="50" t="n"/>
      <c r="INF379" s="50" t="n"/>
      <c r="ING379" s="50" t="n"/>
      <c r="INH379" s="50" t="n"/>
      <c r="INI379" s="50" t="n"/>
      <c r="INJ379" s="50" t="n"/>
      <c r="INK379" s="50" t="n"/>
      <c r="INL379" s="50" t="n"/>
      <c r="INM379" s="50" t="n"/>
      <c r="INN379" s="50" t="n"/>
      <c r="INO379" s="50" t="n"/>
      <c r="INP379" s="50" t="n"/>
      <c r="INQ379" s="50" t="n"/>
      <c r="INR379" s="50" t="n"/>
      <c r="INS379" s="50" t="n"/>
      <c r="INT379" s="56" t="n"/>
      <c r="INU379" s="50" t="n"/>
      <c r="INV379" s="53" t="n"/>
      <c r="INW379" s="84" t="n"/>
      <c r="INX379" s="85" t="n"/>
      <c r="INY379" s="31" t="n"/>
      <c r="INZ379" s="50" t="n"/>
      <c r="IOA379" s="50" t="n"/>
      <c r="IOB379" s="50" t="n"/>
      <c r="IOC379" s="50" t="n"/>
      <c r="IOD379" s="50" t="n"/>
      <c r="IOE379" s="50" t="n"/>
      <c r="IOF379" s="50" t="n"/>
      <c r="IOG379" s="50" t="n"/>
      <c r="IOH379" s="50" t="n"/>
      <c r="IOI379" s="50" t="n"/>
      <c r="IOJ379" s="50" t="n"/>
      <c r="IOK379" s="50" t="n"/>
      <c r="IOL379" s="50" t="n"/>
      <c r="IOM379" s="50" t="n"/>
      <c r="ION379" s="50" t="n"/>
      <c r="IOO379" s="50" t="n"/>
      <c r="IOP379" s="50" t="n"/>
      <c r="IOQ379" s="50" t="n"/>
      <c r="IOR379" s="50" t="n"/>
      <c r="IOS379" s="50" t="n"/>
      <c r="IOT379" s="50" t="n"/>
      <c r="IOU379" s="50" t="n"/>
      <c r="IOV379" s="50" t="n"/>
      <c r="IOW379" s="50" t="n"/>
      <c r="IOX379" s="56" t="n"/>
      <c r="IOY379" s="50" t="n"/>
      <c r="IOZ379" s="53" t="n"/>
      <c r="IPA379" s="84" t="n"/>
      <c r="IPB379" s="85" t="n"/>
      <c r="IPC379" s="31" t="n"/>
      <c r="IPD379" s="50" t="n"/>
      <c r="IPE379" s="50" t="n"/>
      <c r="IPF379" s="50" t="n"/>
      <c r="IPG379" s="50" t="n"/>
      <c r="IPH379" s="50" t="n"/>
      <c r="IPI379" s="50" t="n"/>
      <c r="IPJ379" s="50" t="n"/>
      <c r="IPK379" s="50" t="n"/>
      <c r="IPL379" s="50" t="n"/>
      <c r="IPM379" s="50" t="n"/>
      <c r="IPN379" s="50" t="n"/>
      <c r="IPO379" s="50" t="n"/>
      <c r="IPP379" s="50" t="n"/>
      <c r="IPQ379" s="50" t="n"/>
      <c r="IPR379" s="50" t="n"/>
      <c r="IPS379" s="50" t="n"/>
      <c r="IPT379" s="50" t="n"/>
      <c r="IPU379" s="50" t="n"/>
      <c r="IPV379" s="50" t="n"/>
      <c r="IPW379" s="50" t="n"/>
      <c r="IPX379" s="50" t="n"/>
      <c r="IPY379" s="50" t="n"/>
      <c r="IPZ379" s="50" t="n"/>
      <c r="IQA379" s="50" t="n"/>
      <c r="IQB379" s="56" t="n"/>
      <c r="IQC379" s="50" t="n"/>
      <c r="IQD379" s="53" t="n"/>
      <c r="IQE379" s="84" t="n"/>
      <c r="IQF379" s="85" t="n"/>
      <c r="IQG379" s="31" t="n"/>
      <c r="IQH379" s="50" t="n"/>
      <c r="IQI379" s="50" t="n"/>
      <c r="IQJ379" s="50" t="n"/>
      <c r="IQK379" s="50" t="n"/>
      <c r="IQL379" s="50" t="n"/>
      <c r="IQM379" s="50" t="n"/>
      <c r="IQN379" s="50" t="n"/>
      <c r="IQO379" s="50" t="n"/>
      <c r="IQP379" s="50" t="n"/>
      <c r="IQQ379" s="50" t="n"/>
      <c r="IQR379" s="50" t="n"/>
      <c r="IQS379" s="50" t="n"/>
      <c r="IQT379" s="50" t="n"/>
      <c r="IQU379" s="50" t="n"/>
      <c r="IQV379" s="50" t="n"/>
      <c r="IQW379" s="50" t="n"/>
      <c r="IQX379" s="50" t="n"/>
      <c r="IQY379" s="50" t="n"/>
      <c r="IQZ379" s="50" t="n"/>
      <c r="IRA379" s="50" t="n"/>
      <c r="IRB379" s="50" t="n"/>
      <c r="IRC379" s="50" t="n"/>
      <c r="IRD379" s="50" t="n"/>
      <c r="IRE379" s="50" t="n"/>
      <c r="IRF379" s="56" t="n"/>
      <c r="IRG379" s="50" t="n"/>
      <c r="IRH379" s="53" t="n"/>
      <c r="IRI379" s="84" t="n"/>
      <c r="IRJ379" s="85" t="n"/>
      <c r="IRK379" s="31" t="n"/>
      <c r="IRL379" s="50" t="n"/>
      <c r="IRM379" s="50" t="n"/>
      <c r="IRN379" s="50" t="n"/>
      <c r="IRO379" s="50" t="n"/>
      <c r="IRP379" s="50" t="n"/>
      <c r="IRQ379" s="50" t="n"/>
      <c r="IRR379" s="50" t="n"/>
      <c r="IRS379" s="50" t="n"/>
      <c r="IRT379" s="50" t="n"/>
      <c r="IRU379" s="50" t="n"/>
      <c r="IRV379" s="50" t="n"/>
      <c r="IRW379" s="50" t="n"/>
      <c r="IRX379" s="50" t="n"/>
      <c r="IRY379" s="50" t="n"/>
      <c r="IRZ379" s="50" t="n"/>
      <c r="ISA379" s="50" t="n"/>
      <c r="ISB379" s="50" t="n"/>
      <c r="ISC379" s="50" t="n"/>
      <c r="ISD379" s="50" t="n"/>
      <c r="ISE379" s="50" t="n"/>
      <c r="ISF379" s="50" t="n"/>
      <c r="ISG379" s="50" t="n"/>
      <c r="ISH379" s="50" t="n"/>
      <c r="ISI379" s="50" t="n"/>
      <c r="ISJ379" s="56" t="n"/>
      <c r="ISK379" s="50" t="n"/>
      <c r="ISL379" s="53" t="n"/>
      <c r="ISM379" s="84" t="n"/>
      <c r="ISN379" s="85" t="n"/>
      <c r="ISO379" s="31" t="n"/>
      <c r="ISP379" s="50" t="n"/>
      <c r="ISQ379" s="50" t="n"/>
      <c r="ISR379" s="50" t="n"/>
      <c r="ISS379" s="50" t="n"/>
      <c r="IST379" s="50" t="n"/>
      <c r="ISU379" s="50" t="n"/>
      <c r="ISV379" s="50" t="n"/>
      <c r="ISW379" s="50" t="n"/>
      <c r="ISX379" s="50" t="n"/>
      <c r="ISY379" s="50" t="n"/>
      <c r="ISZ379" s="50" t="n"/>
      <c r="ITA379" s="50" t="n"/>
      <c r="ITB379" s="50" t="n"/>
      <c r="ITC379" s="50" t="n"/>
      <c r="ITD379" s="50" t="n"/>
      <c r="ITE379" s="50" t="n"/>
      <c r="ITF379" s="50" t="n"/>
      <c r="ITG379" s="50" t="n"/>
      <c r="ITH379" s="50" t="n"/>
      <c r="ITI379" s="50" t="n"/>
      <c r="ITJ379" s="50" t="n"/>
      <c r="ITK379" s="50" t="n"/>
      <c r="ITL379" s="50" t="n"/>
      <c r="ITM379" s="50" t="n"/>
      <c r="ITN379" s="56" t="n"/>
      <c r="ITO379" s="50" t="n"/>
      <c r="ITP379" s="53" t="n"/>
      <c r="ITQ379" s="84" t="n"/>
      <c r="ITR379" s="85" t="n"/>
      <c r="ITS379" s="31" t="n"/>
      <c r="ITT379" s="50" t="n"/>
      <c r="ITU379" s="50" t="n"/>
      <c r="ITV379" s="50" t="n"/>
      <c r="ITW379" s="50" t="n"/>
      <c r="ITX379" s="50" t="n"/>
      <c r="ITY379" s="50" t="n"/>
      <c r="ITZ379" s="50" t="n"/>
      <c r="IUA379" s="50" t="n"/>
      <c r="IUB379" s="50" t="n"/>
      <c r="IUC379" s="50" t="n"/>
      <c r="IUD379" s="50" t="n"/>
      <c r="IUE379" s="50" t="n"/>
      <c r="IUF379" s="50" t="n"/>
      <c r="IUG379" s="50" t="n"/>
      <c r="IUH379" s="50" t="n"/>
      <c r="IUI379" s="50" t="n"/>
      <c r="IUJ379" s="50" t="n"/>
      <c r="IUK379" s="50" t="n"/>
      <c r="IUL379" s="50" t="n"/>
      <c r="IUM379" s="50" t="n"/>
      <c r="IUN379" s="50" t="n"/>
      <c r="IUO379" s="50" t="n"/>
      <c r="IUP379" s="50" t="n"/>
      <c r="IUQ379" s="50" t="n"/>
      <c r="IUR379" s="56" t="n"/>
      <c r="IUS379" s="50" t="n"/>
      <c r="IUT379" s="53" t="n"/>
      <c r="IUU379" s="84" t="n"/>
      <c r="IUV379" s="85" t="n"/>
      <c r="IUW379" s="31" t="n"/>
      <c r="IUX379" s="50" t="n"/>
      <c r="IUY379" s="50" t="n"/>
      <c r="IUZ379" s="50" t="n"/>
      <c r="IVA379" s="50" t="n"/>
      <c r="IVB379" s="50" t="n"/>
      <c r="IVC379" s="50" t="n"/>
      <c r="IVD379" s="50" t="n"/>
      <c r="IVE379" s="50" t="n"/>
      <c r="IVF379" s="50" t="n"/>
      <c r="IVG379" s="50" t="n"/>
      <c r="IVH379" s="50" t="n"/>
      <c r="IVI379" s="50" t="n"/>
      <c r="IVJ379" s="50" t="n"/>
      <c r="IVK379" s="50" t="n"/>
      <c r="IVL379" s="50" t="n"/>
      <c r="IVM379" s="50" t="n"/>
      <c r="IVN379" s="50" t="n"/>
      <c r="IVO379" s="50" t="n"/>
      <c r="IVP379" s="50" t="n"/>
      <c r="IVQ379" s="50" t="n"/>
      <c r="IVR379" s="50" t="n"/>
      <c r="IVS379" s="50" t="n"/>
      <c r="IVT379" s="50" t="n"/>
      <c r="IVU379" s="50" t="n"/>
      <c r="IVV379" s="56" t="n"/>
      <c r="IVW379" s="50" t="n"/>
      <c r="IVX379" s="53" t="n"/>
      <c r="IVY379" s="84" t="n"/>
      <c r="IVZ379" s="85" t="n"/>
      <c r="IWA379" s="31" t="n"/>
      <c r="IWB379" s="50" t="n"/>
      <c r="IWC379" s="50" t="n"/>
      <c r="IWD379" s="50" t="n"/>
      <c r="IWE379" s="50" t="n"/>
      <c r="IWF379" s="50" t="n"/>
      <c r="IWG379" s="50" t="n"/>
      <c r="IWH379" s="50" t="n"/>
      <c r="IWI379" s="50" t="n"/>
      <c r="IWJ379" s="50" t="n"/>
      <c r="IWK379" s="50" t="n"/>
      <c r="IWL379" s="50" t="n"/>
      <c r="IWM379" s="50" t="n"/>
      <c r="IWN379" s="50" t="n"/>
      <c r="IWO379" s="50" t="n"/>
      <c r="IWP379" s="50" t="n"/>
      <c r="IWQ379" s="50" t="n"/>
      <c r="IWR379" s="50" t="n"/>
      <c r="IWS379" s="50" t="n"/>
      <c r="IWT379" s="50" t="n"/>
      <c r="IWU379" s="50" t="n"/>
      <c r="IWV379" s="50" t="n"/>
      <c r="IWW379" s="50" t="n"/>
      <c r="IWX379" s="50" t="n"/>
      <c r="IWY379" s="50" t="n"/>
      <c r="IWZ379" s="56" t="n"/>
      <c r="IXA379" s="50" t="n"/>
      <c r="IXB379" s="53" t="n"/>
      <c r="IXC379" s="84" t="n"/>
      <c r="IXD379" s="85" t="n"/>
      <c r="IXE379" s="31" t="n"/>
      <c r="IXF379" s="50" t="n"/>
      <c r="IXG379" s="50" t="n"/>
      <c r="IXH379" s="50" t="n"/>
      <c r="IXI379" s="50" t="n"/>
      <c r="IXJ379" s="50" t="n"/>
      <c r="IXK379" s="50" t="n"/>
      <c r="IXL379" s="50" t="n"/>
      <c r="IXM379" s="50" t="n"/>
      <c r="IXN379" s="50" t="n"/>
      <c r="IXO379" s="50" t="n"/>
      <c r="IXP379" s="50" t="n"/>
      <c r="IXQ379" s="50" t="n"/>
      <c r="IXR379" s="50" t="n"/>
      <c r="IXS379" s="50" t="n"/>
      <c r="IXT379" s="50" t="n"/>
      <c r="IXU379" s="50" t="n"/>
      <c r="IXV379" s="50" t="n"/>
      <c r="IXW379" s="50" t="n"/>
      <c r="IXX379" s="50" t="n"/>
      <c r="IXY379" s="50" t="n"/>
      <c r="IXZ379" s="50" t="n"/>
      <c r="IYA379" s="50" t="n"/>
      <c r="IYB379" s="50" t="n"/>
      <c r="IYC379" s="50" t="n"/>
      <c r="IYD379" s="56" t="n"/>
      <c r="IYE379" s="50" t="n"/>
      <c r="IYF379" s="53" t="n"/>
      <c r="IYG379" s="84" t="n"/>
      <c r="IYH379" s="85" t="n"/>
      <c r="IYI379" s="31" t="n"/>
      <c r="IYJ379" s="50" t="n"/>
      <c r="IYK379" s="50" t="n"/>
      <c r="IYL379" s="50" t="n"/>
      <c r="IYM379" s="50" t="n"/>
      <c r="IYN379" s="50" t="n"/>
      <c r="IYO379" s="50" t="n"/>
      <c r="IYP379" s="50" t="n"/>
      <c r="IYQ379" s="50" t="n"/>
      <c r="IYR379" s="50" t="n"/>
      <c r="IYS379" s="50" t="n"/>
      <c r="IYT379" s="50" t="n"/>
      <c r="IYU379" s="50" t="n"/>
      <c r="IYV379" s="50" t="n"/>
      <c r="IYW379" s="50" t="n"/>
      <c r="IYX379" s="50" t="n"/>
      <c r="IYY379" s="50" t="n"/>
      <c r="IYZ379" s="50" t="n"/>
      <c r="IZA379" s="50" t="n"/>
      <c r="IZB379" s="50" t="n"/>
      <c r="IZC379" s="50" t="n"/>
      <c r="IZD379" s="50" t="n"/>
      <c r="IZE379" s="50" t="n"/>
      <c r="IZF379" s="50" t="n"/>
      <c r="IZG379" s="50" t="n"/>
      <c r="IZH379" s="56" t="n"/>
      <c r="IZI379" s="50" t="n"/>
      <c r="IZJ379" s="53" t="n"/>
      <c r="IZK379" s="84" t="n"/>
      <c r="IZL379" s="85" t="n"/>
      <c r="IZM379" s="31" t="n"/>
      <c r="IZN379" s="50" t="n"/>
      <c r="IZO379" s="50" t="n"/>
      <c r="IZP379" s="50" t="n"/>
      <c r="IZQ379" s="50" t="n"/>
      <c r="IZR379" s="50" t="n"/>
      <c r="IZS379" s="50" t="n"/>
      <c r="IZT379" s="50" t="n"/>
      <c r="IZU379" s="50" t="n"/>
      <c r="IZV379" s="50" t="n"/>
      <c r="IZW379" s="50" t="n"/>
      <c r="IZX379" s="50" t="n"/>
      <c r="IZY379" s="50" t="n"/>
      <c r="IZZ379" s="50" t="n"/>
      <c r="JAA379" s="50" t="n"/>
      <c r="JAB379" s="50" t="n"/>
      <c r="JAC379" s="50" t="n"/>
      <c r="JAD379" s="50" t="n"/>
      <c r="JAE379" s="50" t="n"/>
      <c r="JAF379" s="50" t="n"/>
      <c r="JAG379" s="50" t="n"/>
      <c r="JAH379" s="50" t="n"/>
      <c r="JAI379" s="50" t="n"/>
      <c r="JAJ379" s="50" t="n"/>
      <c r="JAK379" s="50" t="n"/>
      <c r="JAL379" s="56" t="n"/>
      <c r="JAM379" s="50" t="n"/>
      <c r="JAN379" s="53" t="n"/>
      <c r="JAO379" s="84" t="n"/>
      <c r="JAP379" s="85" t="n"/>
      <c r="JAQ379" s="31" t="n"/>
      <c r="JAR379" s="50" t="n"/>
      <c r="JAS379" s="50" t="n"/>
      <c r="JAT379" s="50" t="n"/>
      <c r="JAU379" s="50" t="n"/>
      <c r="JAV379" s="50" t="n"/>
      <c r="JAW379" s="50" t="n"/>
      <c r="JAX379" s="50" t="n"/>
      <c r="JAY379" s="50" t="n"/>
      <c r="JAZ379" s="50" t="n"/>
      <c r="JBA379" s="50" t="n"/>
      <c r="JBB379" s="50" t="n"/>
      <c r="JBC379" s="50" t="n"/>
      <c r="JBD379" s="50" t="n"/>
      <c r="JBE379" s="50" t="n"/>
      <c r="JBF379" s="50" t="n"/>
      <c r="JBG379" s="50" t="n"/>
      <c r="JBH379" s="50" t="n"/>
      <c r="JBI379" s="50" t="n"/>
      <c r="JBJ379" s="50" t="n"/>
      <c r="JBK379" s="50" t="n"/>
      <c r="JBL379" s="50" t="n"/>
      <c r="JBM379" s="50" t="n"/>
      <c r="JBN379" s="50" t="n"/>
      <c r="JBO379" s="50" t="n"/>
      <c r="JBP379" s="56" t="n"/>
      <c r="JBQ379" s="50" t="n"/>
      <c r="JBR379" s="53" t="n"/>
      <c r="JBS379" s="84" t="n"/>
      <c r="JBT379" s="85" t="n"/>
      <c r="JBU379" s="31" t="n"/>
      <c r="JBV379" s="50" t="n"/>
      <c r="JBW379" s="50" t="n"/>
      <c r="JBX379" s="50" t="n"/>
      <c r="JBY379" s="50" t="n"/>
      <c r="JBZ379" s="50" t="n"/>
      <c r="JCA379" s="50" t="n"/>
      <c r="JCB379" s="50" t="n"/>
      <c r="JCC379" s="50" t="n"/>
      <c r="JCD379" s="50" t="n"/>
      <c r="JCE379" s="50" t="n"/>
      <c r="JCF379" s="50" t="n"/>
      <c r="JCG379" s="50" t="n"/>
      <c r="JCH379" s="50" t="n"/>
      <c r="JCI379" s="50" t="n"/>
      <c r="JCJ379" s="50" t="n"/>
      <c r="JCK379" s="50" t="n"/>
      <c r="JCL379" s="50" t="n"/>
      <c r="JCM379" s="50" t="n"/>
      <c r="JCN379" s="50" t="n"/>
      <c r="JCO379" s="50" t="n"/>
      <c r="JCP379" s="50" t="n"/>
      <c r="JCQ379" s="50" t="n"/>
      <c r="JCR379" s="50" t="n"/>
      <c r="JCS379" s="50" t="n"/>
      <c r="JCT379" s="56" t="n"/>
      <c r="JCU379" s="50" t="n"/>
      <c r="JCV379" s="53" t="n"/>
      <c r="JCW379" s="84" t="n"/>
      <c r="JCX379" s="85" t="n"/>
      <c r="JCY379" s="31" t="n"/>
      <c r="JCZ379" s="50" t="n"/>
      <c r="JDA379" s="50" t="n"/>
      <c r="JDB379" s="50" t="n"/>
      <c r="JDC379" s="50" t="n"/>
      <c r="JDD379" s="50" t="n"/>
      <c r="JDE379" s="50" t="n"/>
      <c r="JDF379" s="50" t="n"/>
      <c r="JDG379" s="50" t="n"/>
      <c r="JDH379" s="50" t="n"/>
      <c r="JDI379" s="50" t="n"/>
      <c r="JDJ379" s="50" t="n"/>
      <c r="JDK379" s="50" t="n"/>
      <c r="JDL379" s="50" t="n"/>
      <c r="JDM379" s="50" t="n"/>
      <c r="JDN379" s="50" t="n"/>
      <c r="JDO379" s="50" t="n"/>
      <c r="JDP379" s="50" t="n"/>
      <c r="JDQ379" s="50" t="n"/>
      <c r="JDR379" s="50" t="n"/>
      <c r="JDS379" s="50" t="n"/>
      <c r="JDT379" s="50" t="n"/>
      <c r="JDU379" s="50" t="n"/>
      <c r="JDV379" s="50" t="n"/>
      <c r="JDW379" s="50" t="n"/>
      <c r="JDX379" s="56" t="n"/>
      <c r="JDY379" s="50" t="n"/>
      <c r="JDZ379" s="53" t="n"/>
      <c r="JEA379" s="84" t="n"/>
      <c r="JEB379" s="85" t="n"/>
      <c r="JEC379" s="31" t="n"/>
      <c r="JED379" s="50" t="n"/>
      <c r="JEE379" s="50" t="n"/>
      <c r="JEF379" s="50" t="n"/>
      <c r="JEG379" s="50" t="n"/>
      <c r="JEH379" s="50" t="n"/>
      <c r="JEI379" s="50" t="n"/>
      <c r="JEJ379" s="50" t="n"/>
      <c r="JEK379" s="50" t="n"/>
      <c r="JEL379" s="50" t="n"/>
      <c r="JEM379" s="50" t="n"/>
      <c r="JEN379" s="50" t="n"/>
      <c r="JEO379" s="50" t="n"/>
      <c r="JEP379" s="50" t="n"/>
      <c r="JEQ379" s="50" t="n"/>
      <c r="JER379" s="50" t="n"/>
      <c r="JES379" s="50" t="n"/>
      <c r="JET379" s="50" t="n"/>
      <c r="JEU379" s="50" t="n"/>
      <c r="JEV379" s="50" t="n"/>
      <c r="JEW379" s="50" t="n"/>
      <c r="JEX379" s="50" t="n"/>
      <c r="JEY379" s="50" t="n"/>
      <c r="JEZ379" s="50" t="n"/>
      <c r="JFA379" s="50" t="n"/>
      <c r="JFB379" s="56" t="n"/>
      <c r="JFC379" s="50" t="n"/>
      <c r="JFD379" s="53" t="n"/>
      <c r="JFE379" s="84" t="n"/>
      <c r="JFF379" s="85" t="n"/>
      <c r="JFG379" s="31" t="n"/>
      <c r="JFH379" s="50" t="n"/>
      <c r="JFI379" s="50" t="n"/>
      <c r="JFJ379" s="50" t="n"/>
      <c r="JFK379" s="50" t="n"/>
      <c r="JFL379" s="50" t="n"/>
      <c r="JFM379" s="50" t="n"/>
      <c r="JFN379" s="50" t="n"/>
      <c r="JFO379" s="50" t="n"/>
      <c r="JFP379" s="50" t="n"/>
      <c r="JFQ379" s="50" t="n"/>
      <c r="JFR379" s="50" t="n"/>
      <c r="JFS379" s="50" t="n"/>
      <c r="JFT379" s="50" t="n"/>
      <c r="JFU379" s="50" t="n"/>
      <c r="JFV379" s="50" t="n"/>
      <c r="JFW379" s="50" t="n"/>
      <c r="JFX379" s="50" t="n"/>
      <c r="JFY379" s="50" t="n"/>
      <c r="JFZ379" s="50" t="n"/>
      <c r="JGA379" s="50" t="n"/>
      <c r="JGB379" s="50" t="n"/>
      <c r="JGC379" s="50" t="n"/>
      <c r="JGD379" s="50" t="n"/>
      <c r="JGE379" s="50" t="n"/>
      <c r="JGF379" s="56" t="n"/>
      <c r="JGG379" s="50" t="n"/>
      <c r="JGH379" s="53" t="n"/>
      <c r="JGI379" s="84" t="n"/>
      <c r="JGJ379" s="85" t="n"/>
      <c r="JGK379" s="31" t="n"/>
      <c r="JGL379" s="50" t="n"/>
      <c r="JGM379" s="50" t="n"/>
      <c r="JGN379" s="50" t="n"/>
      <c r="JGO379" s="50" t="n"/>
      <c r="JGP379" s="50" t="n"/>
      <c r="JGQ379" s="50" t="n"/>
      <c r="JGR379" s="50" t="n"/>
      <c r="JGS379" s="50" t="n"/>
      <c r="JGT379" s="50" t="n"/>
      <c r="JGU379" s="50" t="n"/>
      <c r="JGV379" s="50" t="n"/>
      <c r="JGW379" s="50" t="n"/>
      <c r="JGX379" s="50" t="n"/>
      <c r="JGY379" s="50" t="n"/>
      <c r="JGZ379" s="50" t="n"/>
      <c r="JHA379" s="50" t="n"/>
      <c r="JHB379" s="50" t="n"/>
      <c r="JHC379" s="50" t="n"/>
      <c r="JHD379" s="50" t="n"/>
      <c r="JHE379" s="50" t="n"/>
      <c r="JHF379" s="50" t="n"/>
      <c r="JHG379" s="50" t="n"/>
      <c r="JHH379" s="50" t="n"/>
      <c r="JHI379" s="50" t="n"/>
      <c r="JHJ379" s="56" t="n"/>
      <c r="JHK379" s="50" t="n"/>
      <c r="JHL379" s="53" t="n"/>
      <c r="JHM379" s="84" t="n"/>
      <c r="JHN379" s="85" t="n"/>
      <c r="JHO379" s="31" t="n"/>
      <c r="JHP379" s="50" t="n"/>
      <c r="JHQ379" s="50" t="n"/>
      <c r="JHR379" s="50" t="n"/>
      <c r="JHS379" s="50" t="n"/>
      <c r="JHT379" s="50" t="n"/>
      <c r="JHU379" s="50" t="n"/>
      <c r="JHV379" s="50" t="n"/>
      <c r="JHW379" s="50" t="n"/>
      <c r="JHX379" s="50" t="n"/>
      <c r="JHY379" s="50" t="n"/>
      <c r="JHZ379" s="50" t="n"/>
      <c r="JIA379" s="50" t="n"/>
      <c r="JIB379" s="50" t="n"/>
      <c r="JIC379" s="50" t="n"/>
      <c r="JID379" s="50" t="n"/>
      <c r="JIE379" s="50" t="n"/>
      <c r="JIF379" s="50" t="n"/>
      <c r="JIG379" s="50" t="n"/>
      <c r="JIH379" s="50" t="n"/>
      <c r="JII379" s="50" t="n"/>
      <c r="JIJ379" s="50" t="n"/>
      <c r="JIK379" s="50" t="n"/>
      <c r="JIL379" s="50" t="n"/>
      <c r="JIM379" s="50" t="n"/>
      <c r="JIN379" s="56" t="n"/>
      <c r="JIO379" s="50" t="n"/>
      <c r="JIP379" s="53" t="n"/>
      <c r="JIQ379" s="84" t="n"/>
      <c r="JIR379" s="85" t="n"/>
      <c r="JIS379" s="31" t="n"/>
      <c r="JIT379" s="50" t="n"/>
      <c r="JIU379" s="50" t="n"/>
      <c r="JIV379" s="50" t="n"/>
      <c r="JIW379" s="50" t="n"/>
      <c r="JIX379" s="50" t="n"/>
      <c r="JIY379" s="50" t="n"/>
      <c r="JIZ379" s="50" t="n"/>
      <c r="JJA379" s="50" t="n"/>
      <c r="JJB379" s="50" t="n"/>
      <c r="JJC379" s="50" t="n"/>
      <c r="JJD379" s="50" t="n"/>
      <c r="JJE379" s="50" t="n"/>
      <c r="JJF379" s="50" t="n"/>
      <c r="JJG379" s="50" t="n"/>
      <c r="JJH379" s="50" t="n"/>
      <c r="JJI379" s="50" t="n"/>
      <c r="JJJ379" s="50" t="n"/>
      <c r="JJK379" s="50" t="n"/>
      <c r="JJL379" s="50" t="n"/>
      <c r="JJM379" s="50" t="n"/>
      <c r="JJN379" s="50" t="n"/>
      <c r="JJO379" s="50" t="n"/>
      <c r="JJP379" s="50" t="n"/>
      <c r="JJQ379" s="50" t="n"/>
      <c r="JJR379" s="56" t="n"/>
      <c r="JJS379" s="50" t="n"/>
      <c r="JJT379" s="53" t="n"/>
      <c r="JJU379" s="84" t="n"/>
      <c r="JJV379" s="85" t="n"/>
      <c r="JJW379" s="31" t="n"/>
      <c r="JJX379" s="50" t="n"/>
      <c r="JJY379" s="50" t="n"/>
      <c r="JJZ379" s="50" t="n"/>
      <c r="JKA379" s="50" t="n"/>
      <c r="JKB379" s="50" t="n"/>
      <c r="JKC379" s="50" t="n"/>
      <c r="JKD379" s="50" t="n"/>
      <c r="JKE379" s="50" t="n"/>
      <c r="JKF379" s="50" t="n"/>
      <c r="JKG379" s="50" t="n"/>
      <c r="JKH379" s="50" t="n"/>
      <c r="JKI379" s="50" t="n"/>
      <c r="JKJ379" s="50" t="n"/>
      <c r="JKK379" s="50" t="n"/>
      <c r="JKL379" s="50" t="n"/>
      <c r="JKM379" s="50" t="n"/>
      <c r="JKN379" s="50" t="n"/>
      <c r="JKO379" s="50" t="n"/>
      <c r="JKP379" s="50" t="n"/>
      <c r="JKQ379" s="50" t="n"/>
      <c r="JKR379" s="50" t="n"/>
      <c r="JKS379" s="50" t="n"/>
      <c r="JKT379" s="50" t="n"/>
      <c r="JKU379" s="50" t="n"/>
      <c r="JKV379" s="56" t="n"/>
      <c r="JKW379" s="50" t="n"/>
      <c r="JKX379" s="53" t="n"/>
      <c r="JKY379" s="84" t="n"/>
      <c r="JKZ379" s="85" t="n"/>
      <c r="JLA379" s="31" t="n"/>
      <c r="JLB379" s="50" t="n"/>
      <c r="JLC379" s="50" t="n"/>
      <c r="JLD379" s="50" t="n"/>
      <c r="JLE379" s="50" t="n"/>
      <c r="JLF379" s="50" t="n"/>
      <c r="JLG379" s="50" t="n"/>
      <c r="JLH379" s="50" t="n"/>
      <c r="JLI379" s="50" t="n"/>
      <c r="JLJ379" s="50" t="n"/>
      <c r="JLK379" s="50" t="n"/>
      <c r="JLL379" s="50" t="n"/>
      <c r="JLM379" s="50" t="n"/>
      <c r="JLN379" s="50" t="n"/>
      <c r="JLO379" s="50" t="n"/>
      <c r="JLP379" s="50" t="n"/>
      <c r="JLQ379" s="50" t="n"/>
      <c r="JLR379" s="50" t="n"/>
      <c r="JLS379" s="50" t="n"/>
      <c r="JLT379" s="50" t="n"/>
      <c r="JLU379" s="50" t="n"/>
      <c r="JLV379" s="50" t="n"/>
      <c r="JLW379" s="50" t="n"/>
      <c r="JLX379" s="50" t="n"/>
      <c r="JLY379" s="50" t="n"/>
      <c r="JLZ379" s="56" t="n"/>
      <c r="JMA379" s="50" t="n"/>
      <c r="JMB379" s="53" t="n"/>
      <c r="JMC379" s="84" t="n"/>
      <c r="JMD379" s="85" t="n"/>
      <c r="JME379" s="31" t="n"/>
      <c r="JMF379" s="50" t="n"/>
      <c r="JMG379" s="50" t="n"/>
      <c r="JMH379" s="50" t="n"/>
      <c r="JMI379" s="50" t="n"/>
      <c r="JMJ379" s="50" t="n"/>
      <c r="JMK379" s="50" t="n"/>
      <c r="JML379" s="50" t="n"/>
      <c r="JMM379" s="50" t="n"/>
      <c r="JMN379" s="50" t="n"/>
      <c r="JMO379" s="50" t="n"/>
      <c r="JMP379" s="50" t="n"/>
      <c r="JMQ379" s="50" t="n"/>
      <c r="JMR379" s="50" t="n"/>
      <c r="JMS379" s="50" t="n"/>
      <c r="JMT379" s="50" t="n"/>
      <c r="JMU379" s="50" t="n"/>
      <c r="JMV379" s="50" t="n"/>
      <c r="JMW379" s="50" t="n"/>
      <c r="JMX379" s="50" t="n"/>
      <c r="JMY379" s="50" t="n"/>
      <c r="JMZ379" s="50" t="n"/>
      <c r="JNA379" s="50" t="n"/>
      <c r="JNB379" s="50" t="n"/>
      <c r="JNC379" s="50" t="n"/>
      <c r="JND379" s="56" t="n"/>
      <c r="JNE379" s="50" t="n"/>
      <c r="JNF379" s="53" t="n"/>
      <c r="JNG379" s="84" t="n"/>
      <c r="JNH379" s="85" t="n"/>
      <c r="JNI379" s="31" t="n"/>
      <c r="JNJ379" s="50" t="n"/>
      <c r="JNK379" s="50" t="n"/>
      <c r="JNL379" s="50" t="n"/>
      <c r="JNM379" s="50" t="n"/>
      <c r="JNN379" s="50" t="n"/>
      <c r="JNO379" s="50" t="n"/>
      <c r="JNP379" s="50" t="n"/>
      <c r="JNQ379" s="50" t="n"/>
      <c r="JNR379" s="50" t="n"/>
      <c r="JNS379" s="50" t="n"/>
      <c r="JNT379" s="50" t="n"/>
      <c r="JNU379" s="50" t="n"/>
      <c r="JNV379" s="50" t="n"/>
      <c r="JNW379" s="50" t="n"/>
      <c r="JNX379" s="50" t="n"/>
      <c r="JNY379" s="50" t="n"/>
      <c r="JNZ379" s="50" t="n"/>
      <c r="JOA379" s="50" t="n"/>
      <c r="JOB379" s="50" t="n"/>
      <c r="JOC379" s="50" t="n"/>
      <c r="JOD379" s="50" t="n"/>
      <c r="JOE379" s="50" t="n"/>
      <c r="JOF379" s="50" t="n"/>
      <c r="JOG379" s="50" t="n"/>
      <c r="JOH379" s="56" t="n"/>
      <c r="JOI379" s="50" t="n"/>
      <c r="JOJ379" s="53" t="n"/>
      <c r="JOK379" s="84" t="n"/>
      <c r="JOL379" s="85" t="n"/>
      <c r="JOM379" s="31" t="n"/>
      <c r="JON379" s="50" t="n"/>
      <c r="JOO379" s="50" t="n"/>
      <c r="JOP379" s="50" t="n"/>
      <c r="JOQ379" s="50" t="n"/>
      <c r="JOR379" s="50" t="n"/>
      <c r="JOS379" s="50" t="n"/>
      <c r="JOT379" s="50" t="n"/>
      <c r="JOU379" s="50" t="n"/>
      <c r="JOV379" s="50" t="n"/>
      <c r="JOW379" s="50" t="n"/>
      <c r="JOX379" s="50" t="n"/>
      <c r="JOY379" s="50" t="n"/>
      <c r="JOZ379" s="50" t="n"/>
      <c r="JPA379" s="50" t="n"/>
      <c r="JPB379" s="50" t="n"/>
      <c r="JPC379" s="50" t="n"/>
      <c r="JPD379" s="50" t="n"/>
      <c r="JPE379" s="50" t="n"/>
      <c r="JPF379" s="50" t="n"/>
      <c r="JPG379" s="50" t="n"/>
      <c r="JPH379" s="50" t="n"/>
      <c r="JPI379" s="50" t="n"/>
      <c r="JPJ379" s="50" t="n"/>
      <c r="JPK379" s="50" t="n"/>
      <c r="JPL379" s="56" t="n"/>
      <c r="JPM379" s="50" t="n"/>
      <c r="JPN379" s="53" t="n"/>
      <c r="JPO379" s="84" t="n"/>
      <c r="JPP379" s="85" t="n"/>
      <c r="JPQ379" s="31" t="n"/>
      <c r="JPR379" s="50" t="n"/>
      <c r="JPS379" s="50" t="n"/>
      <c r="JPT379" s="50" t="n"/>
      <c r="JPU379" s="50" t="n"/>
      <c r="JPV379" s="50" t="n"/>
      <c r="JPW379" s="50" t="n"/>
      <c r="JPX379" s="50" t="n"/>
      <c r="JPY379" s="50" t="n"/>
      <c r="JPZ379" s="50" t="n"/>
      <c r="JQA379" s="50" t="n"/>
      <c r="JQB379" s="50" t="n"/>
      <c r="JQC379" s="50" t="n"/>
      <c r="JQD379" s="50" t="n"/>
      <c r="JQE379" s="50" t="n"/>
      <c r="JQF379" s="50" t="n"/>
      <c r="JQG379" s="50" t="n"/>
      <c r="JQH379" s="50" t="n"/>
      <c r="JQI379" s="50" t="n"/>
      <c r="JQJ379" s="50" t="n"/>
      <c r="JQK379" s="50" t="n"/>
      <c r="JQL379" s="50" t="n"/>
      <c r="JQM379" s="50" t="n"/>
      <c r="JQN379" s="50" t="n"/>
      <c r="JQO379" s="50" t="n"/>
      <c r="JQP379" s="56" t="n"/>
      <c r="JQQ379" s="50" t="n"/>
      <c r="JQR379" s="53" t="n"/>
      <c r="JQS379" s="84" t="n"/>
      <c r="JQT379" s="85" t="n"/>
      <c r="JQU379" s="31" t="n"/>
      <c r="JQV379" s="50" t="n"/>
      <c r="JQW379" s="50" t="n"/>
      <c r="JQX379" s="50" t="n"/>
      <c r="JQY379" s="50" t="n"/>
      <c r="JQZ379" s="50" t="n"/>
      <c r="JRA379" s="50" t="n"/>
      <c r="JRB379" s="50" t="n"/>
      <c r="JRC379" s="50" t="n"/>
      <c r="JRD379" s="50" t="n"/>
      <c r="JRE379" s="50" t="n"/>
      <c r="JRF379" s="50" t="n"/>
      <c r="JRG379" s="50" t="n"/>
      <c r="JRH379" s="50" t="n"/>
      <c r="JRI379" s="50" t="n"/>
      <c r="JRJ379" s="50" t="n"/>
      <c r="JRK379" s="50" t="n"/>
      <c r="JRL379" s="50" t="n"/>
      <c r="JRM379" s="50" t="n"/>
      <c r="JRN379" s="50" t="n"/>
      <c r="JRO379" s="50" t="n"/>
      <c r="JRP379" s="50" t="n"/>
      <c r="JRQ379" s="50" t="n"/>
      <c r="JRR379" s="50" t="n"/>
      <c r="JRS379" s="50" t="n"/>
      <c r="JRT379" s="56" t="n"/>
      <c r="JRU379" s="50" t="n"/>
      <c r="JRV379" s="53" t="n"/>
      <c r="JRW379" s="84" t="n"/>
      <c r="JRX379" s="85" t="n"/>
      <c r="JRY379" s="31" t="n"/>
      <c r="JRZ379" s="50" t="n"/>
      <c r="JSA379" s="50" t="n"/>
      <c r="JSB379" s="50" t="n"/>
      <c r="JSC379" s="50" t="n"/>
      <c r="JSD379" s="50" t="n"/>
      <c r="JSE379" s="50" t="n"/>
      <c r="JSF379" s="50" t="n"/>
      <c r="JSG379" s="50" t="n"/>
      <c r="JSH379" s="50" t="n"/>
      <c r="JSI379" s="50" t="n"/>
      <c r="JSJ379" s="50" t="n"/>
      <c r="JSK379" s="50" t="n"/>
      <c r="JSL379" s="50" t="n"/>
      <c r="JSM379" s="50" t="n"/>
      <c r="JSN379" s="50" t="n"/>
      <c r="JSO379" s="50" t="n"/>
      <c r="JSP379" s="50" t="n"/>
      <c r="JSQ379" s="50" t="n"/>
      <c r="JSR379" s="50" t="n"/>
      <c r="JSS379" s="50" t="n"/>
      <c r="JST379" s="50" t="n"/>
      <c r="JSU379" s="50" t="n"/>
      <c r="JSV379" s="50" t="n"/>
      <c r="JSW379" s="50" t="n"/>
      <c r="JSX379" s="56" t="n"/>
      <c r="JSY379" s="50" t="n"/>
      <c r="JSZ379" s="53" t="n"/>
      <c r="JTA379" s="84" t="n"/>
      <c r="JTB379" s="85" t="n"/>
      <c r="JTC379" s="31" t="n"/>
      <c r="JTD379" s="50" t="n"/>
      <c r="JTE379" s="50" t="n"/>
      <c r="JTF379" s="50" t="n"/>
      <c r="JTG379" s="50" t="n"/>
      <c r="JTH379" s="50" t="n"/>
      <c r="JTI379" s="50" t="n"/>
      <c r="JTJ379" s="50" t="n"/>
      <c r="JTK379" s="50" t="n"/>
      <c r="JTL379" s="50" t="n"/>
      <c r="JTM379" s="50" t="n"/>
      <c r="JTN379" s="50" t="n"/>
      <c r="JTO379" s="50" t="n"/>
      <c r="JTP379" s="50" t="n"/>
      <c r="JTQ379" s="50" t="n"/>
      <c r="JTR379" s="50" t="n"/>
      <c r="JTS379" s="50" t="n"/>
      <c r="JTT379" s="50" t="n"/>
      <c r="JTU379" s="50" t="n"/>
      <c r="JTV379" s="50" t="n"/>
      <c r="JTW379" s="50" t="n"/>
      <c r="JTX379" s="50" t="n"/>
      <c r="JTY379" s="50" t="n"/>
      <c r="JTZ379" s="50" t="n"/>
      <c r="JUA379" s="50" t="n"/>
      <c r="JUB379" s="56" t="n"/>
      <c r="JUC379" s="50" t="n"/>
      <c r="JUD379" s="53" t="n"/>
      <c r="JUE379" s="84" t="n"/>
      <c r="JUF379" s="85" t="n"/>
      <c r="JUG379" s="31" t="n"/>
      <c r="JUH379" s="50" t="n"/>
      <c r="JUI379" s="50" t="n"/>
      <c r="JUJ379" s="50" t="n"/>
      <c r="JUK379" s="50" t="n"/>
      <c r="JUL379" s="50" t="n"/>
      <c r="JUM379" s="50" t="n"/>
      <c r="JUN379" s="50" t="n"/>
      <c r="JUO379" s="50" t="n"/>
      <c r="JUP379" s="50" t="n"/>
      <c r="JUQ379" s="50" t="n"/>
      <c r="JUR379" s="50" t="n"/>
      <c r="JUS379" s="50" t="n"/>
      <c r="JUT379" s="50" t="n"/>
      <c r="JUU379" s="50" t="n"/>
      <c r="JUV379" s="50" t="n"/>
      <c r="JUW379" s="50" t="n"/>
      <c r="JUX379" s="50" t="n"/>
      <c r="JUY379" s="50" t="n"/>
      <c r="JUZ379" s="50" t="n"/>
      <c r="JVA379" s="50" t="n"/>
      <c r="JVB379" s="50" t="n"/>
      <c r="JVC379" s="50" t="n"/>
      <c r="JVD379" s="50" t="n"/>
      <c r="JVE379" s="50" t="n"/>
      <c r="JVF379" s="56" t="n"/>
      <c r="JVG379" s="50" t="n"/>
      <c r="JVH379" s="53" t="n"/>
      <c r="JVI379" s="84" t="n"/>
      <c r="JVJ379" s="85" t="n"/>
      <c r="JVK379" s="31" t="n"/>
      <c r="JVL379" s="50" t="n"/>
      <c r="JVM379" s="50" t="n"/>
      <c r="JVN379" s="50" t="n"/>
      <c r="JVO379" s="50" t="n"/>
      <c r="JVP379" s="50" t="n"/>
      <c r="JVQ379" s="50" t="n"/>
      <c r="JVR379" s="50" t="n"/>
      <c r="JVS379" s="50" t="n"/>
      <c r="JVT379" s="50" t="n"/>
      <c r="JVU379" s="50" t="n"/>
      <c r="JVV379" s="50" t="n"/>
      <c r="JVW379" s="50" t="n"/>
      <c r="JVX379" s="50" t="n"/>
      <c r="JVY379" s="50" t="n"/>
      <c r="JVZ379" s="50" t="n"/>
      <c r="JWA379" s="50" t="n"/>
      <c r="JWB379" s="50" t="n"/>
      <c r="JWC379" s="50" t="n"/>
      <c r="JWD379" s="50" t="n"/>
      <c r="JWE379" s="50" t="n"/>
      <c r="JWF379" s="50" t="n"/>
      <c r="JWG379" s="50" t="n"/>
      <c r="JWH379" s="50" t="n"/>
      <c r="JWI379" s="50" t="n"/>
      <c r="JWJ379" s="56" t="n"/>
      <c r="JWK379" s="50" t="n"/>
      <c r="JWL379" s="53" t="n"/>
      <c r="JWM379" s="84" t="n"/>
      <c r="JWN379" s="85" t="n"/>
      <c r="JWO379" s="31" t="n"/>
      <c r="JWP379" s="50" t="n"/>
      <c r="JWQ379" s="50" t="n"/>
      <c r="JWR379" s="50" t="n"/>
      <c r="JWS379" s="50" t="n"/>
      <c r="JWT379" s="50" t="n"/>
      <c r="JWU379" s="50" t="n"/>
      <c r="JWV379" s="50" t="n"/>
      <c r="JWW379" s="50" t="n"/>
      <c r="JWX379" s="50" t="n"/>
      <c r="JWY379" s="50" t="n"/>
      <c r="JWZ379" s="50" t="n"/>
      <c r="JXA379" s="50" t="n"/>
      <c r="JXB379" s="50" t="n"/>
      <c r="JXC379" s="50" t="n"/>
      <c r="JXD379" s="50" t="n"/>
      <c r="JXE379" s="50" t="n"/>
      <c r="JXF379" s="50" t="n"/>
      <c r="JXG379" s="50" t="n"/>
      <c r="JXH379" s="50" t="n"/>
      <c r="JXI379" s="50" t="n"/>
      <c r="JXJ379" s="50" t="n"/>
      <c r="JXK379" s="50" t="n"/>
      <c r="JXL379" s="50" t="n"/>
      <c r="JXM379" s="50" t="n"/>
      <c r="JXN379" s="56" t="n"/>
      <c r="JXO379" s="50" t="n"/>
      <c r="JXP379" s="53" t="n"/>
      <c r="JXQ379" s="84" t="n"/>
      <c r="JXR379" s="85" t="n"/>
      <c r="JXS379" s="31" t="n"/>
      <c r="JXT379" s="50" t="n"/>
      <c r="JXU379" s="50" t="n"/>
      <c r="JXV379" s="50" t="n"/>
      <c r="JXW379" s="50" t="n"/>
      <c r="JXX379" s="50" t="n"/>
      <c r="JXY379" s="50" t="n"/>
      <c r="JXZ379" s="50" t="n"/>
      <c r="JYA379" s="50" t="n"/>
      <c r="JYB379" s="50" t="n"/>
      <c r="JYC379" s="50" t="n"/>
      <c r="JYD379" s="50" t="n"/>
      <c r="JYE379" s="50" t="n"/>
      <c r="JYF379" s="50" t="n"/>
      <c r="JYG379" s="50" t="n"/>
      <c r="JYH379" s="50" t="n"/>
      <c r="JYI379" s="50" t="n"/>
      <c r="JYJ379" s="50" t="n"/>
      <c r="JYK379" s="50" t="n"/>
      <c r="JYL379" s="50" t="n"/>
      <c r="JYM379" s="50" t="n"/>
      <c r="JYN379" s="50" t="n"/>
      <c r="JYO379" s="50" t="n"/>
      <c r="JYP379" s="50" t="n"/>
      <c r="JYQ379" s="50" t="n"/>
      <c r="JYR379" s="56" t="n"/>
      <c r="JYS379" s="50" t="n"/>
      <c r="JYT379" s="53" t="n"/>
      <c r="JYU379" s="84" t="n"/>
      <c r="JYV379" s="85" t="n"/>
      <c r="JYW379" s="31" t="n"/>
      <c r="JYX379" s="50" t="n"/>
      <c r="JYY379" s="50" t="n"/>
      <c r="JYZ379" s="50" t="n"/>
      <c r="JZA379" s="50" t="n"/>
      <c r="JZB379" s="50" t="n"/>
      <c r="JZC379" s="50" t="n"/>
      <c r="JZD379" s="50" t="n"/>
      <c r="JZE379" s="50" t="n"/>
      <c r="JZF379" s="50" t="n"/>
      <c r="JZG379" s="50" t="n"/>
      <c r="JZH379" s="50" t="n"/>
      <c r="JZI379" s="50" t="n"/>
      <c r="JZJ379" s="50" t="n"/>
      <c r="JZK379" s="50" t="n"/>
      <c r="JZL379" s="50" t="n"/>
      <c r="JZM379" s="50" t="n"/>
      <c r="JZN379" s="50" t="n"/>
      <c r="JZO379" s="50" t="n"/>
      <c r="JZP379" s="50" t="n"/>
      <c r="JZQ379" s="50" t="n"/>
      <c r="JZR379" s="50" t="n"/>
      <c r="JZS379" s="50" t="n"/>
      <c r="JZT379" s="50" t="n"/>
      <c r="JZU379" s="50" t="n"/>
      <c r="JZV379" s="56" t="n"/>
      <c r="JZW379" s="50" t="n"/>
      <c r="JZX379" s="53" t="n"/>
      <c r="JZY379" s="84" t="n"/>
      <c r="JZZ379" s="85" t="n"/>
      <c r="KAA379" s="31" t="n"/>
      <c r="KAB379" s="50" t="n"/>
      <c r="KAC379" s="50" t="n"/>
      <c r="KAD379" s="50" t="n"/>
      <c r="KAE379" s="50" t="n"/>
      <c r="KAF379" s="50" t="n"/>
      <c r="KAG379" s="50" t="n"/>
      <c r="KAH379" s="50" t="n"/>
      <c r="KAI379" s="50" t="n"/>
      <c r="KAJ379" s="50" t="n"/>
      <c r="KAK379" s="50" t="n"/>
      <c r="KAL379" s="50" t="n"/>
      <c r="KAM379" s="50" t="n"/>
      <c r="KAN379" s="50" t="n"/>
      <c r="KAO379" s="50" t="n"/>
      <c r="KAP379" s="50" t="n"/>
      <c r="KAQ379" s="50" t="n"/>
      <c r="KAR379" s="50" t="n"/>
      <c r="KAS379" s="50" t="n"/>
      <c r="KAT379" s="50" t="n"/>
      <c r="KAU379" s="50" t="n"/>
      <c r="KAV379" s="50" t="n"/>
      <c r="KAW379" s="50" t="n"/>
      <c r="KAX379" s="50" t="n"/>
      <c r="KAY379" s="50" t="n"/>
      <c r="KAZ379" s="56" t="n"/>
      <c r="KBA379" s="50" t="n"/>
      <c r="KBB379" s="53" t="n"/>
      <c r="KBC379" s="84" t="n"/>
      <c r="KBD379" s="85" t="n"/>
      <c r="KBE379" s="31" t="n"/>
      <c r="KBF379" s="50" t="n"/>
      <c r="KBG379" s="50" t="n"/>
      <c r="KBH379" s="50" t="n"/>
      <c r="KBI379" s="50" t="n"/>
      <c r="KBJ379" s="50" t="n"/>
      <c r="KBK379" s="50" t="n"/>
      <c r="KBL379" s="50" t="n"/>
      <c r="KBM379" s="50" t="n"/>
      <c r="KBN379" s="50" t="n"/>
      <c r="KBO379" s="50" t="n"/>
      <c r="KBP379" s="50" t="n"/>
      <c r="KBQ379" s="50" t="n"/>
      <c r="KBR379" s="50" t="n"/>
      <c r="KBS379" s="50" t="n"/>
      <c r="KBT379" s="50" t="n"/>
      <c r="KBU379" s="50" t="n"/>
      <c r="KBV379" s="50" t="n"/>
      <c r="KBW379" s="50" t="n"/>
      <c r="KBX379" s="50" t="n"/>
      <c r="KBY379" s="50" t="n"/>
      <c r="KBZ379" s="50" t="n"/>
      <c r="KCA379" s="50" t="n"/>
      <c r="KCB379" s="50" t="n"/>
      <c r="KCC379" s="50" t="n"/>
      <c r="KCD379" s="56" t="n"/>
      <c r="KCE379" s="50" t="n"/>
      <c r="KCF379" s="53" t="n"/>
      <c r="KCG379" s="84" t="n"/>
      <c r="KCH379" s="85" t="n"/>
      <c r="KCI379" s="31" t="n"/>
      <c r="KCJ379" s="50" t="n"/>
      <c r="KCK379" s="50" t="n"/>
      <c r="KCL379" s="50" t="n"/>
      <c r="KCM379" s="50" t="n"/>
      <c r="KCN379" s="50" t="n"/>
      <c r="KCO379" s="50" t="n"/>
      <c r="KCP379" s="50" t="n"/>
      <c r="KCQ379" s="50" t="n"/>
      <c r="KCR379" s="50" t="n"/>
      <c r="KCS379" s="50" t="n"/>
      <c r="KCT379" s="50" t="n"/>
      <c r="KCU379" s="50" t="n"/>
      <c r="KCV379" s="50" t="n"/>
      <c r="KCW379" s="50" t="n"/>
      <c r="KCX379" s="50" t="n"/>
      <c r="KCY379" s="50" t="n"/>
      <c r="KCZ379" s="50" t="n"/>
      <c r="KDA379" s="50" t="n"/>
      <c r="KDB379" s="50" t="n"/>
      <c r="KDC379" s="50" t="n"/>
      <c r="KDD379" s="50" t="n"/>
      <c r="KDE379" s="50" t="n"/>
      <c r="KDF379" s="50" t="n"/>
      <c r="KDG379" s="50" t="n"/>
      <c r="KDH379" s="56" t="n"/>
      <c r="KDI379" s="50" t="n"/>
      <c r="KDJ379" s="53" t="n"/>
      <c r="KDK379" s="84" t="n"/>
      <c r="KDL379" s="85" t="n"/>
      <c r="KDM379" s="31" t="n"/>
      <c r="KDN379" s="50" t="n"/>
      <c r="KDO379" s="50" t="n"/>
      <c r="KDP379" s="50" t="n"/>
      <c r="KDQ379" s="50" t="n"/>
      <c r="KDR379" s="50" t="n"/>
      <c r="KDS379" s="50" t="n"/>
      <c r="KDT379" s="50" t="n"/>
      <c r="KDU379" s="50" t="n"/>
      <c r="KDV379" s="50" t="n"/>
      <c r="KDW379" s="50" t="n"/>
      <c r="KDX379" s="50" t="n"/>
      <c r="KDY379" s="50" t="n"/>
      <c r="KDZ379" s="50" t="n"/>
      <c r="KEA379" s="50" t="n"/>
      <c r="KEB379" s="50" t="n"/>
      <c r="KEC379" s="50" t="n"/>
      <c r="KED379" s="50" t="n"/>
      <c r="KEE379" s="50" t="n"/>
      <c r="KEF379" s="50" t="n"/>
      <c r="KEG379" s="50" t="n"/>
      <c r="KEH379" s="50" t="n"/>
      <c r="KEI379" s="50" t="n"/>
      <c r="KEJ379" s="50" t="n"/>
      <c r="KEK379" s="50" t="n"/>
      <c r="KEL379" s="56" t="n"/>
      <c r="KEM379" s="50" t="n"/>
      <c r="KEN379" s="53" t="n"/>
      <c r="KEO379" s="84" t="n"/>
      <c r="KEP379" s="85" t="n"/>
      <c r="KEQ379" s="31" t="n"/>
      <c r="KER379" s="50" t="n"/>
      <c r="KES379" s="50" t="n"/>
      <c r="KET379" s="50" t="n"/>
      <c r="KEU379" s="50" t="n"/>
      <c r="KEV379" s="50" t="n"/>
      <c r="KEW379" s="50" t="n"/>
      <c r="KEX379" s="50" t="n"/>
      <c r="KEY379" s="50" t="n"/>
      <c r="KEZ379" s="50" t="n"/>
      <c r="KFA379" s="50" t="n"/>
      <c r="KFB379" s="50" t="n"/>
      <c r="KFC379" s="50" t="n"/>
      <c r="KFD379" s="50" t="n"/>
      <c r="KFE379" s="50" t="n"/>
      <c r="KFF379" s="50" t="n"/>
      <c r="KFG379" s="50" t="n"/>
      <c r="KFH379" s="50" t="n"/>
      <c r="KFI379" s="50" t="n"/>
      <c r="KFJ379" s="50" t="n"/>
      <c r="KFK379" s="50" t="n"/>
      <c r="KFL379" s="50" t="n"/>
      <c r="KFM379" s="50" t="n"/>
      <c r="KFN379" s="50" t="n"/>
      <c r="KFO379" s="50" t="n"/>
      <c r="KFP379" s="56" t="n"/>
      <c r="KFQ379" s="50" t="n"/>
      <c r="KFR379" s="53" t="n"/>
      <c r="KFS379" s="84" t="n"/>
      <c r="KFT379" s="85" t="n"/>
      <c r="KFU379" s="31" t="n"/>
      <c r="KFV379" s="50" t="n"/>
      <c r="KFW379" s="50" t="n"/>
      <c r="KFX379" s="50" t="n"/>
      <c r="KFY379" s="50" t="n"/>
      <c r="KFZ379" s="50" t="n"/>
      <c r="KGA379" s="50" t="n"/>
      <c r="KGB379" s="50" t="n"/>
      <c r="KGC379" s="50" t="n"/>
      <c r="KGD379" s="50" t="n"/>
      <c r="KGE379" s="50" t="n"/>
      <c r="KGF379" s="50" t="n"/>
      <c r="KGG379" s="50" t="n"/>
      <c r="KGH379" s="50" t="n"/>
      <c r="KGI379" s="50" t="n"/>
      <c r="KGJ379" s="50" t="n"/>
      <c r="KGK379" s="50" t="n"/>
      <c r="KGL379" s="50" t="n"/>
      <c r="KGM379" s="50" t="n"/>
      <c r="KGN379" s="50" t="n"/>
      <c r="KGO379" s="50" t="n"/>
      <c r="KGP379" s="50" t="n"/>
      <c r="KGQ379" s="50" t="n"/>
      <c r="KGR379" s="50" t="n"/>
      <c r="KGS379" s="50" t="n"/>
      <c r="KGT379" s="56" t="n"/>
      <c r="KGU379" s="50" t="n"/>
      <c r="KGV379" s="53" t="n"/>
      <c r="KGW379" s="84" t="n"/>
      <c r="KGX379" s="85" t="n"/>
      <c r="KGY379" s="31" t="n"/>
      <c r="KGZ379" s="50" t="n"/>
      <c r="KHA379" s="50" t="n"/>
      <c r="KHB379" s="50" t="n"/>
      <c r="KHC379" s="50" t="n"/>
      <c r="KHD379" s="50" t="n"/>
      <c r="KHE379" s="50" t="n"/>
      <c r="KHF379" s="50" t="n"/>
      <c r="KHG379" s="50" t="n"/>
      <c r="KHH379" s="50" t="n"/>
      <c r="KHI379" s="50" t="n"/>
      <c r="KHJ379" s="50" t="n"/>
      <c r="KHK379" s="50" t="n"/>
      <c r="KHL379" s="50" t="n"/>
      <c r="KHM379" s="50" t="n"/>
      <c r="KHN379" s="50" t="n"/>
      <c r="KHO379" s="50" t="n"/>
      <c r="KHP379" s="50" t="n"/>
      <c r="KHQ379" s="50" t="n"/>
      <c r="KHR379" s="50" t="n"/>
      <c r="KHS379" s="50" t="n"/>
      <c r="KHT379" s="50" t="n"/>
      <c r="KHU379" s="50" t="n"/>
      <c r="KHV379" s="50" t="n"/>
      <c r="KHW379" s="50" t="n"/>
      <c r="KHX379" s="56" t="n"/>
      <c r="KHY379" s="50" t="n"/>
      <c r="KHZ379" s="53" t="n"/>
      <c r="KIA379" s="84" t="n"/>
      <c r="KIB379" s="85" t="n"/>
      <c r="KIC379" s="31" t="n"/>
      <c r="KID379" s="50" t="n"/>
      <c r="KIE379" s="50" t="n"/>
      <c r="KIF379" s="50" t="n"/>
      <c r="KIG379" s="50" t="n"/>
      <c r="KIH379" s="50" t="n"/>
      <c r="KII379" s="50" t="n"/>
      <c r="KIJ379" s="50" t="n"/>
      <c r="KIK379" s="50" t="n"/>
      <c r="KIL379" s="50" t="n"/>
      <c r="KIM379" s="50" t="n"/>
      <c r="KIN379" s="50" t="n"/>
      <c r="KIO379" s="50" t="n"/>
      <c r="KIP379" s="50" t="n"/>
      <c r="KIQ379" s="50" t="n"/>
      <c r="KIR379" s="50" t="n"/>
      <c r="KIS379" s="50" t="n"/>
      <c r="KIT379" s="50" t="n"/>
      <c r="KIU379" s="50" t="n"/>
      <c r="KIV379" s="50" t="n"/>
      <c r="KIW379" s="50" t="n"/>
      <c r="KIX379" s="50" t="n"/>
      <c r="KIY379" s="50" t="n"/>
      <c r="KIZ379" s="50" t="n"/>
      <c r="KJA379" s="50" t="n"/>
      <c r="KJB379" s="56" t="n"/>
      <c r="KJC379" s="50" t="n"/>
      <c r="KJD379" s="53" t="n"/>
      <c r="KJE379" s="84" t="n"/>
      <c r="KJF379" s="85" t="n"/>
      <c r="KJG379" s="31" t="n"/>
      <c r="KJH379" s="50" t="n"/>
      <c r="KJI379" s="50" t="n"/>
      <c r="KJJ379" s="50" t="n"/>
      <c r="KJK379" s="50" t="n"/>
      <c r="KJL379" s="50" t="n"/>
      <c r="KJM379" s="50" t="n"/>
      <c r="KJN379" s="50" t="n"/>
      <c r="KJO379" s="50" t="n"/>
      <c r="KJP379" s="50" t="n"/>
      <c r="KJQ379" s="50" t="n"/>
      <c r="KJR379" s="50" t="n"/>
      <c r="KJS379" s="50" t="n"/>
      <c r="KJT379" s="50" t="n"/>
      <c r="KJU379" s="50" t="n"/>
      <c r="KJV379" s="50" t="n"/>
      <c r="KJW379" s="50" t="n"/>
      <c r="KJX379" s="50" t="n"/>
      <c r="KJY379" s="50" t="n"/>
      <c r="KJZ379" s="50" t="n"/>
      <c r="KKA379" s="50" t="n"/>
      <c r="KKB379" s="50" t="n"/>
      <c r="KKC379" s="50" t="n"/>
      <c r="KKD379" s="50" t="n"/>
      <c r="KKE379" s="50" t="n"/>
      <c r="KKF379" s="56" t="n"/>
      <c r="KKG379" s="50" t="n"/>
      <c r="KKH379" s="53" t="n"/>
      <c r="KKI379" s="84" t="n"/>
      <c r="KKJ379" s="85" t="n"/>
      <c r="KKK379" s="31" t="n"/>
      <c r="KKL379" s="50" t="n"/>
      <c r="KKM379" s="50" t="n"/>
      <c r="KKN379" s="50" t="n"/>
      <c r="KKO379" s="50" t="n"/>
      <c r="KKP379" s="50" t="n"/>
      <c r="KKQ379" s="50" t="n"/>
      <c r="KKR379" s="50" t="n"/>
      <c r="KKS379" s="50" t="n"/>
      <c r="KKT379" s="50" t="n"/>
      <c r="KKU379" s="50" t="n"/>
      <c r="KKV379" s="50" t="n"/>
      <c r="KKW379" s="50" t="n"/>
      <c r="KKX379" s="50" t="n"/>
      <c r="KKY379" s="50" t="n"/>
      <c r="KKZ379" s="50" t="n"/>
      <c r="KLA379" s="50" t="n"/>
      <c r="KLB379" s="50" t="n"/>
      <c r="KLC379" s="50" t="n"/>
      <c r="KLD379" s="50" t="n"/>
      <c r="KLE379" s="50" t="n"/>
      <c r="KLF379" s="50" t="n"/>
      <c r="KLG379" s="50" t="n"/>
      <c r="KLH379" s="50" t="n"/>
      <c r="KLI379" s="50" t="n"/>
      <c r="KLJ379" s="56" t="n"/>
      <c r="KLK379" s="50" t="n"/>
      <c r="KLL379" s="53" t="n"/>
      <c r="KLM379" s="84" t="n"/>
      <c r="KLN379" s="85" t="n"/>
      <c r="KLO379" s="31" t="n"/>
      <c r="KLP379" s="50" t="n"/>
      <c r="KLQ379" s="50" t="n"/>
      <c r="KLR379" s="50" t="n"/>
      <c r="KLS379" s="50" t="n"/>
      <c r="KLT379" s="50" t="n"/>
      <c r="KLU379" s="50" t="n"/>
      <c r="KLV379" s="50" t="n"/>
      <c r="KLW379" s="50" t="n"/>
      <c r="KLX379" s="50" t="n"/>
      <c r="KLY379" s="50" t="n"/>
      <c r="KLZ379" s="50" t="n"/>
      <c r="KMA379" s="50" t="n"/>
      <c r="KMB379" s="50" t="n"/>
      <c r="KMC379" s="50" t="n"/>
      <c r="KMD379" s="50" t="n"/>
      <c r="KME379" s="50" t="n"/>
      <c r="KMF379" s="50" t="n"/>
      <c r="KMG379" s="50" t="n"/>
      <c r="KMH379" s="50" t="n"/>
      <c r="KMI379" s="50" t="n"/>
      <c r="KMJ379" s="50" t="n"/>
      <c r="KMK379" s="50" t="n"/>
      <c r="KML379" s="50" t="n"/>
      <c r="KMM379" s="50" t="n"/>
      <c r="KMN379" s="56" t="n"/>
      <c r="KMO379" s="50" t="n"/>
      <c r="KMP379" s="53" t="n"/>
      <c r="KMQ379" s="84" t="n"/>
      <c r="KMR379" s="85" t="n"/>
      <c r="KMS379" s="31" t="n"/>
      <c r="KMT379" s="50" t="n"/>
      <c r="KMU379" s="50" t="n"/>
      <c r="KMV379" s="50" t="n"/>
      <c r="KMW379" s="50" t="n"/>
      <c r="KMX379" s="50" t="n"/>
      <c r="KMY379" s="50" t="n"/>
      <c r="KMZ379" s="50" t="n"/>
      <c r="KNA379" s="50" t="n"/>
      <c r="KNB379" s="50" t="n"/>
      <c r="KNC379" s="50" t="n"/>
      <c r="KND379" s="50" t="n"/>
      <c r="KNE379" s="50" t="n"/>
      <c r="KNF379" s="50" t="n"/>
      <c r="KNG379" s="50" t="n"/>
      <c r="KNH379" s="50" t="n"/>
      <c r="KNI379" s="50" t="n"/>
      <c r="KNJ379" s="50" t="n"/>
      <c r="KNK379" s="50" t="n"/>
      <c r="KNL379" s="50" t="n"/>
      <c r="KNM379" s="50" t="n"/>
      <c r="KNN379" s="50" t="n"/>
      <c r="KNO379" s="50" t="n"/>
      <c r="KNP379" s="50" t="n"/>
      <c r="KNQ379" s="50" t="n"/>
      <c r="KNR379" s="56" t="n"/>
      <c r="KNS379" s="50" t="n"/>
      <c r="KNT379" s="53" t="n"/>
      <c r="KNU379" s="84" t="n"/>
      <c r="KNV379" s="85" t="n"/>
      <c r="KNW379" s="31" t="n"/>
      <c r="KNX379" s="50" t="n"/>
      <c r="KNY379" s="50" t="n"/>
      <c r="KNZ379" s="50" t="n"/>
      <c r="KOA379" s="50" t="n"/>
      <c r="KOB379" s="50" t="n"/>
      <c r="KOC379" s="50" t="n"/>
      <c r="KOD379" s="50" t="n"/>
      <c r="KOE379" s="50" t="n"/>
      <c r="KOF379" s="50" t="n"/>
      <c r="KOG379" s="50" t="n"/>
      <c r="KOH379" s="50" t="n"/>
      <c r="KOI379" s="50" t="n"/>
      <c r="KOJ379" s="50" t="n"/>
      <c r="KOK379" s="50" t="n"/>
      <c r="KOL379" s="50" t="n"/>
      <c r="KOM379" s="50" t="n"/>
      <c r="KON379" s="50" t="n"/>
      <c r="KOO379" s="50" t="n"/>
      <c r="KOP379" s="50" t="n"/>
      <c r="KOQ379" s="50" t="n"/>
      <c r="KOR379" s="50" t="n"/>
      <c r="KOS379" s="50" t="n"/>
      <c r="KOT379" s="50" t="n"/>
      <c r="KOU379" s="50" t="n"/>
      <c r="KOV379" s="56" t="n"/>
      <c r="KOW379" s="50" t="n"/>
      <c r="KOX379" s="53" t="n"/>
      <c r="KOY379" s="84" t="n"/>
      <c r="KOZ379" s="85" t="n"/>
      <c r="KPA379" s="31" t="n"/>
      <c r="KPB379" s="50" t="n"/>
      <c r="KPC379" s="50" t="n"/>
      <c r="KPD379" s="50" t="n"/>
      <c r="KPE379" s="50" t="n"/>
      <c r="KPF379" s="50" t="n"/>
      <c r="KPG379" s="50" t="n"/>
      <c r="KPH379" s="50" t="n"/>
      <c r="KPI379" s="50" t="n"/>
      <c r="KPJ379" s="50" t="n"/>
      <c r="KPK379" s="50" t="n"/>
      <c r="KPL379" s="50" t="n"/>
      <c r="KPM379" s="50" t="n"/>
      <c r="KPN379" s="50" t="n"/>
      <c r="KPO379" s="50" t="n"/>
      <c r="KPP379" s="50" t="n"/>
      <c r="KPQ379" s="50" t="n"/>
      <c r="KPR379" s="50" t="n"/>
      <c r="KPS379" s="50" t="n"/>
      <c r="KPT379" s="50" t="n"/>
      <c r="KPU379" s="50" t="n"/>
      <c r="KPV379" s="50" t="n"/>
      <c r="KPW379" s="50" t="n"/>
      <c r="KPX379" s="50" t="n"/>
      <c r="KPY379" s="50" t="n"/>
      <c r="KPZ379" s="56" t="n"/>
      <c r="KQA379" s="50" t="n"/>
      <c r="KQB379" s="53" t="n"/>
      <c r="KQC379" s="84" t="n"/>
      <c r="KQD379" s="85" t="n"/>
      <c r="KQE379" s="31" t="n"/>
      <c r="KQF379" s="50" t="n"/>
      <c r="KQG379" s="50" t="n"/>
      <c r="KQH379" s="50" t="n"/>
      <c r="KQI379" s="50" t="n"/>
      <c r="KQJ379" s="50" t="n"/>
      <c r="KQK379" s="50" t="n"/>
      <c r="KQL379" s="50" t="n"/>
      <c r="KQM379" s="50" t="n"/>
      <c r="KQN379" s="50" t="n"/>
      <c r="KQO379" s="50" t="n"/>
      <c r="KQP379" s="50" t="n"/>
      <c r="KQQ379" s="50" t="n"/>
      <c r="KQR379" s="50" t="n"/>
      <c r="KQS379" s="50" t="n"/>
      <c r="KQT379" s="50" t="n"/>
      <c r="KQU379" s="50" t="n"/>
      <c r="KQV379" s="50" t="n"/>
      <c r="KQW379" s="50" t="n"/>
      <c r="KQX379" s="50" t="n"/>
      <c r="KQY379" s="50" t="n"/>
      <c r="KQZ379" s="50" t="n"/>
      <c r="KRA379" s="50" t="n"/>
      <c r="KRB379" s="50" t="n"/>
      <c r="KRC379" s="50" t="n"/>
      <c r="KRD379" s="56" t="n"/>
      <c r="KRE379" s="50" t="n"/>
      <c r="KRF379" s="53" t="n"/>
      <c r="KRG379" s="84" t="n"/>
      <c r="KRH379" s="85" t="n"/>
      <c r="KRI379" s="31" t="n"/>
      <c r="KRJ379" s="50" t="n"/>
      <c r="KRK379" s="50" t="n"/>
      <c r="KRL379" s="50" t="n"/>
      <c r="KRM379" s="50" t="n"/>
      <c r="KRN379" s="50" t="n"/>
      <c r="KRO379" s="50" t="n"/>
      <c r="KRP379" s="50" t="n"/>
      <c r="KRQ379" s="50" t="n"/>
      <c r="KRR379" s="50" t="n"/>
      <c r="KRS379" s="50" t="n"/>
      <c r="KRT379" s="50" t="n"/>
      <c r="KRU379" s="50" t="n"/>
      <c r="KRV379" s="50" t="n"/>
      <c r="KRW379" s="50" t="n"/>
      <c r="KRX379" s="50" t="n"/>
      <c r="KRY379" s="50" t="n"/>
      <c r="KRZ379" s="50" t="n"/>
      <c r="KSA379" s="50" t="n"/>
      <c r="KSB379" s="50" t="n"/>
      <c r="KSC379" s="50" t="n"/>
      <c r="KSD379" s="50" t="n"/>
      <c r="KSE379" s="50" t="n"/>
      <c r="KSF379" s="50" t="n"/>
      <c r="KSG379" s="50" t="n"/>
      <c r="KSH379" s="56" t="n"/>
      <c r="KSI379" s="50" t="n"/>
      <c r="KSJ379" s="53" t="n"/>
      <c r="KSK379" s="84" t="n"/>
      <c r="KSL379" s="85" t="n"/>
      <c r="KSM379" s="31" t="n"/>
      <c r="KSN379" s="50" t="n"/>
      <c r="KSO379" s="50" t="n"/>
      <c r="KSP379" s="50" t="n"/>
      <c r="KSQ379" s="50" t="n"/>
      <c r="KSR379" s="50" t="n"/>
      <c r="KSS379" s="50" t="n"/>
      <c r="KST379" s="50" t="n"/>
      <c r="KSU379" s="50" t="n"/>
      <c r="KSV379" s="50" t="n"/>
      <c r="KSW379" s="50" t="n"/>
      <c r="KSX379" s="50" t="n"/>
      <c r="KSY379" s="50" t="n"/>
      <c r="KSZ379" s="50" t="n"/>
      <c r="KTA379" s="50" t="n"/>
      <c r="KTB379" s="50" t="n"/>
      <c r="KTC379" s="50" t="n"/>
      <c r="KTD379" s="50" t="n"/>
      <c r="KTE379" s="50" t="n"/>
      <c r="KTF379" s="50" t="n"/>
      <c r="KTG379" s="50" t="n"/>
      <c r="KTH379" s="50" t="n"/>
      <c r="KTI379" s="50" t="n"/>
      <c r="KTJ379" s="50" t="n"/>
      <c r="KTK379" s="50" t="n"/>
      <c r="KTL379" s="56" t="n"/>
      <c r="KTM379" s="50" t="n"/>
      <c r="KTN379" s="53" t="n"/>
      <c r="KTO379" s="84" t="n"/>
      <c r="KTP379" s="85" t="n"/>
      <c r="KTQ379" s="31" t="n"/>
      <c r="KTR379" s="50" t="n"/>
      <c r="KTS379" s="50" t="n"/>
      <c r="KTT379" s="50" t="n"/>
      <c r="KTU379" s="50" t="n"/>
      <c r="KTV379" s="50" t="n"/>
      <c r="KTW379" s="50" t="n"/>
      <c r="KTX379" s="50" t="n"/>
      <c r="KTY379" s="50" t="n"/>
      <c r="KTZ379" s="50" t="n"/>
      <c r="KUA379" s="50" t="n"/>
      <c r="KUB379" s="50" t="n"/>
      <c r="KUC379" s="50" t="n"/>
      <c r="KUD379" s="50" t="n"/>
      <c r="KUE379" s="50" t="n"/>
      <c r="KUF379" s="50" t="n"/>
      <c r="KUG379" s="50" t="n"/>
      <c r="KUH379" s="50" t="n"/>
      <c r="KUI379" s="50" t="n"/>
      <c r="KUJ379" s="50" t="n"/>
      <c r="KUK379" s="50" t="n"/>
      <c r="KUL379" s="50" t="n"/>
      <c r="KUM379" s="50" t="n"/>
      <c r="KUN379" s="50" t="n"/>
      <c r="KUO379" s="50" t="n"/>
      <c r="KUP379" s="56" t="n"/>
      <c r="KUQ379" s="50" t="n"/>
      <c r="KUR379" s="53" t="n"/>
      <c r="KUS379" s="84" t="n"/>
      <c r="KUT379" s="85" t="n"/>
      <c r="KUU379" s="31" t="n"/>
      <c r="KUV379" s="50" t="n"/>
      <c r="KUW379" s="50" t="n"/>
      <c r="KUX379" s="50" t="n"/>
      <c r="KUY379" s="50" t="n"/>
      <c r="KUZ379" s="50" t="n"/>
      <c r="KVA379" s="50" t="n"/>
      <c r="KVB379" s="50" t="n"/>
      <c r="KVC379" s="50" t="n"/>
      <c r="KVD379" s="50" t="n"/>
      <c r="KVE379" s="50" t="n"/>
      <c r="KVF379" s="50" t="n"/>
      <c r="KVG379" s="50" t="n"/>
      <c r="KVH379" s="50" t="n"/>
      <c r="KVI379" s="50" t="n"/>
      <c r="KVJ379" s="50" t="n"/>
      <c r="KVK379" s="50" t="n"/>
      <c r="KVL379" s="50" t="n"/>
      <c r="KVM379" s="50" t="n"/>
      <c r="KVN379" s="50" t="n"/>
      <c r="KVO379" s="50" t="n"/>
      <c r="KVP379" s="50" t="n"/>
      <c r="KVQ379" s="50" t="n"/>
      <c r="KVR379" s="50" t="n"/>
      <c r="KVS379" s="50" t="n"/>
      <c r="KVT379" s="56" t="n"/>
      <c r="KVU379" s="50" t="n"/>
      <c r="KVV379" s="53" t="n"/>
      <c r="KVW379" s="84" t="n"/>
      <c r="KVX379" s="85" t="n"/>
      <c r="KVY379" s="31" t="n"/>
      <c r="KVZ379" s="50" t="n"/>
      <c r="KWA379" s="50" t="n"/>
      <c r="KWB379" s="50" t="n"/>
      <c r="KWC379" s="50" t="n"/>
      <c r="KWD379" s="50" t="n"/>
      <c r="KWE379" s="50" t="n"/>
      <c r="KWF379" s="50" t="n"/>
      <c r="KWG379" s="50" t="n"/>
      <c r="KWH379" s="50" t="n"/>
      <c r="KWI379" s="50" t="n"/>
      <c r="KWJ379" s="50" t="n"/>
      <c r="KWK379" s="50" t="n"/>
      <c r="KWL379" s="50" t="n"/>
      <c r="KWM379" s="50" t="n"/>
      <c r="KWN379" s="50" t="n"/>
      <c r="KWO379" s="50" t="n"/>
      <c r="KWP379" s="50" t="n"/>
      <c r="KWQ379" s="50" t="n"/>
      <c r="KWR379" s="50" t="n"/>
      <c r="KWS379" s="50" t="n"/>
      <c r="KWT379" s="50" t="n"/>
      <c r="KWU379" s="50" t="n"/>
      <c r="KWV379" s="50" t="n"/>
      <c r="KWW379" s="50" t="n"/>
      <c r="KWX379" s="56" t="n"/>
      <c r="KWY379" s="50" t="n"/>
      <c r="KWZ379" s="53" t="n"/>
      <c r="KXA379" s="84" t="n"/>
      <c r="KXB379" s="85" t="n"/>
      <c r="KXC379" s="31" t="n"/>
      <c r="KXD379" s="50" t="n"/>
      <c r="KXE379" s="50" t="n"/>
      <c r="KXF379" s="50" t="n"/>
      <c r="KXG379" s="50" t="n"/>
      <c r="KXH379" s="50" t="n"/>
      <c r="KXI379" s="50" t="n"/>
      <c r="KXJ379" s="50" t="n"/>
      <c r="KXK379" s="50" t="n"/>
      <c r="KXL379" s="50" t="n"/>
      <c r="KXM379" s="50" t="n"/>
      <c r="KXN379" s="50" t="n"/>
      <c r="KXO379" s="50" t="n"/>
      <c r="KXP379" s="50" t="n"/>
      <c r="KXQ379" s="50" t="n"/>
      <c r="KXR379" s="50" t="n"/>
      <c r="KXS379" s="50" t="n"/>
      <c r="KXT379" s="50" t="n"/>
      <c r="KXU379" s="50" t="n"/>
      <c r="KXV379" s="50" t="n"/>
      <c r="KXW379" s="50" t="n"/>
      <c r="KXX379" s="50" t="n"/>
      <c r="KXY379" s="50" t="n"/>
      <c r="KXZ379" s="50" t="n"/>
      <c r="KYA379" s="50" t="n"/>
      <c r="KYB379" s="56" t="n"/>
      <c r="KYC379" s="50" t="n"/>
      <c r="KYD379" s="53" t="n"/>
      <c r="KYE379" s="84" t="n"/>
      <c r="KYF379" s="85" t="n"/>
      <c r="KYG379" s="31" t="n"/>
      <c r="KYH379" s="50" t="n"/>
      <c r="KYI379" s="50" t="n"/>
      <c r="KYJ379" s="50" t="n"/>
      <c r="KYK379" s="50" t="n"/>
      <c r="KYL379" s="50" t="n"/>
      <c r="KYM379" s="50" t="n"/>
      <c r="KYN379" s="50" t="n"/>
      <c r="KYO379" s="50" t="n"/>
      <c r="KYP379" s="50" t="n"/>
      <c r="KYQ379" s="50" t="n"/>
      <c r="KYR379" s="50" t="n"/>
      <c r="KYS379" s="50" t="n"/>
      <c r="KYT379" s="50" t="n"/>
      <c r="KYU379" s="50" t="n"/>
      <c r="KYV379" s="50" t="n"/>
      <c r="KYW379" s="50" t="n"/>
      <c r="KYX379" s="50" t="n"/>
      <c r="KYY379" s="50" t="n"/>
      <c r="KYZ379" s="50" t="n"/>
      <c r="KZA379" s="50" t="n"/>
      <c r="KZB379" s="50" t="n"/>
      <c r="KZC379" s="50" t="n"/>
      <c r="KZD379" s="50" t="n"/>
      <c r="KZE379" s="50" t="n"/>
      <c r="KZF379" s="56" t="n"/>
      <c r="KZG379" s="50" t="n"/>
      <c r="KZH379" s="53" t="n"/>
      <c r="KZI379" s="84" t="n"/>
      <c r="KZJ379" s="85" t="n"/>
      <c r="KZK379" s="31" t="n"/>
      <c r="KZL379" s="50" t="n"/>
      <c r="KZM379" s="50" t="n"/>
      <c r="KZN379" s="50" t="n"/>
      <c r="KZO379" s="50" t="n"/>
      <c r="KZP379" s="50" t="n"/>
      <c r="KZQ379" s="50" t="n"/>
      <c r="KZR379" s="50" t="n"/>
      <c r="KZS379" s="50" t="n"/>
      <c r="KZT379" s="50" t="n"/>
      <c r="KZU379" s="50" t="n"/>
      <c r="KZV379" s="50" t="n"/>
      <c r="KZW379" s="50" t="n"/>
      <c r="KZX379" s="50" t="n"/>
      <c r="KZY379" s="50" t="n"/>
      <c r="KZZ379" s="50" t="n"/>
      <c r="LAA379" s="50" t="n"/>
      <c r="LAB379" s="50" t="n"/>
      <c r="LAC379" s="50" t="n"/>
      <c r="LAD379" s="50" t="n"/>
      <c r="LAE379" s="50" t="n"/>
      <c r="LAF379" s="50" t="n"/>
      <c r="LAG379" s="50" t="n"/>
      <c r="LAH379" s="50" t="n"/>
      <c r="LAI379" s="50" t="n"/>
      <c r="LAJ379" s="56" t="n"/>
      <c r="LAK379" s="50" t="n"/>
      <c r="LAL379" s="53" t="n"/>
      <c r="LAM379" s="84" t="n"/>
      <c r="LAN379" s="85" t="n"/>
      <c r="LAO379" s="31" t="n"/>
      <c r="LAP379" s="50" t="n"/>
      <c r="LAQ379" s="50" t="n"/>
      <c r="LAR379" s="50" t="n"/>
      <c r="LAS379" s="50" t="n"/>
      <c r="LAT379" s="50" t="n"/>
      <c r="LAU379" s="50" t="n"/>
      <c r="LAV379" s="50" t="n"/>
      <c r="LAW379" s="50" t="n"/>
      <c r="LAX379" s="50" t="n"/>
      <c r="LAY379" s="50" t="n"/>
      <c r="LAZ379" s="50" t="n"/>
      <c r="LBA379" s="50" t="n"/>
      <c r="LBB379" s="50" t="n"/>
      <c r="LBC379" s="50" t="n"/>
      <c r="LBD379" s="50" t="n"/>
      <c r="LBE379" s="50" t="n"/>
      <c r="LBF379" s="50" t="n"/>
      <c r="LBG379" s="50" t="n"/>
      <c r="LBH379" s="50" t="n"/>
      <c r="LBI379" s="50" t="n"/>
      <c r="LBJ379" s="50" t="n"/>
      <c r="LBK379" s="50" t="n"/>
      <c r="LBL379" s="50" t="n"/>
      <c r="LBM379" s="50" t="n"/>
      <c r="LBN379" s="56" t="n"/>
      <c r="LBO379" s="50" t="n"/>
      <c r="LBP379" s="53" t="n"/>
      <c r="LBQ379" s="84" t="n"/>
      <c r="LBR379" s="85" t="n"/>
      <c r="LBS379" s="31" t="n"/>
      <c r="LBT379" s="50" t="n"/>
      <c r="LBU379" s="50" t="n"/>
      <c r="LBV379" s="50" t="n"/>
      <c r="LBW379" s="50" t="n"/>
      <c r="LBX379" s="50" t="n"/>
      <c r="LBY379" s="50" t="n"/>
      <c r="LBZ379" s="50" t="n"/>
      <c r="LCA379" s="50" t="n"/>
      <c r="LCB379" s="50" t="n"/>
      <c r="LCC379" s="50" t="n"/>
      <c r="LCD379" s="50" t="n"/>
      <c r="LCE379" s="50" t="n"/>
      <c r="LCF379" s="50" t="n"/>
      <c r="LCG379" s="50" t="n"/>
      <c r="LCH379" s="50" t="n"/>
      <c r="LCI379" s="50" t="n"/>
      <c r="LCJ379" s="50" t="n"/>
      <c r="LCK379" s="50" t="n"/>
      <c r="LCL379" s="50" t="n"/>
      <c r="LCM379" s="50" t="n"/>
      <c r="LCN379" s="50" t="n"/>
      <c r="LCO379" s="50" t="n"/>
      <c r="LCP379" s="50" t="n"/>
      <c r="LCQ379" s="50" t="n"/>
      <c r="LCR379" s="56" t="n"/>
      <c r="LCS379" s="50" t="n"/>
      <c r="LCT379" s="53" t="n"/>
      <c r="LCU379" s="84" t="n"/>
      <c r="LCV379" s="85" t="n"/>
      <c r="LCW379" s="31" t="n"/>
      <c r="LCX379" s="50" t="n"/>
      <c r="LCY379" s="50" t="n"/>
      <c r="LCZ379" s="50" t="n"/>
      <c r="LDA379" s="50" t="n"/>
      <c r="LDB379" s="50" t="n"/>
      <c r="LDC379" s="50" t="n"/>
      <c r="LDD379" s="50" t="n"/>
      <c r="LDE379" s="50" t="n"/>
      <c r="LDF379" s="50" t="n"/>
      <c r="LDG379" s="50" t="n"/>
      <c r="LDH379" s="50" t="n"/>
      <c r="LDI379" s="50" t="n"/>
      <c r="LDJ379" s="50" t="n"/>
      <c r="LDK379" s="50" t="n"/>
      <c r="LDL379" s="50" t="n"/>
      <c r="LDM379" s="50" t="n"/>
      <c r="LDN379" s="50" t="n"/>
      <c r="LDO379" s="50" t="n"/>
      <c r="LDP379" s="50" t="n"/>
      <c r="LDQ379" s="50" t="n"/>
      <c r="LDR379" s="50" t="n"/>
      <c r="LDS379" s="50" t="n"/>
      <c r="LDT379" s="50" t="n"/>
      <c r="LDU379" s="50" t="n"/>
      <c r="LDV379" s="56" t="n"/>
      <c r="LDW379" s="50" t="n"/>
      <c r="LDX379" s="53" t="n"/>
      <c r="LDY379" s="84" t="n"/>
      <c r="LDZ379" s="85" t="n"/>
      <c r="LEA379" s="31" t="n"/>
      <c r="LEB379" s="50" t="n"/>
      <c r="LEC379" s="50" t="n"/>
      <c r="LED379" s="50" t="n"/>
      <c r="LEE379" s="50" t="n"/>
      <c r="LEF379" s="50" t="n"/>
      <c r="LEG379" s="50" t="n"/>
      <c r="LEH379" s="50" t="n"/>
      <c r="LEI379" s="50" t="n"/>
      <c r="LEJ379" s="50" t="n"/>
      <c r="LEK379" s="50" t="n"/>
      <c r="LEL379" s="50" t="n"/>
      <c r="LEM379" s="50" t="n"/>
      <c r="LEN379" s="50" t="n"/>
      <c r="LEO379" s="50" t="n"/>
      <c r="LEP379" s="50" t="n"/>
      <c r="LEQ379" s="50" t="n"/>
      <c r="LER379" s="50" t="n"/>
      <c r="LES379" s="50" t="n"/>
      <c r="LET379" s="50" t="n"/>
      <c r="LEU379" s="50" t="n"/>
      <c r="LEV379" s="50" t="n"/>
      <c r="LEW379" s="50" t="n"/>
      <c r="LEX379" s="50" t="n"/>
      <c r="LEY379" s="50" t="n"/>
      <c r="LEZ379" s="56" t="n"/>
      <c r="LFA379" s="50" t="n"/>
      <c r="LFB379" s="53" t="n"/>
      <c r="LFC379" s="84" t="n"/>
      <c r="LFD379" s="85" t="n"/>
      <c r="LFE379" s="31" t="n"/>
      <c r="LFF379" s="50" t="n"/>
      <c r="LFG379" s="50" t="n"/>
      <c r="LFH379" s="50" t="n"/>
      <c r="LFI379" s="50" t="n"/>
      <c r="LFJ379" s="50" t="n"/>
      <c r="LFK379" s="50" t="n"/>
      <c r="LFL379" s="50" t="n"/>
      <c r="LFM379" s="50" t="n"/>
      <c r="LFN379" s="50" t="n"/>
      <c r="LFO379" s="50" t="n"/>
      <c r="LFP379" s="50" t="n"/>
      <c r="LFQ379" s="50" t="n"/>
      <c r="LFR379" s="50" t="n"/>
      <c r="LFS379" s="50" t="n"/>
      <c r="LFT379" s="50" t="n"/>
      <c r="LFU379" s="50" t="n"/>
      <c r="LFV379" s="50" t="n"/>
      <c r="LFW379" s="50" t="n"/>
      <c r="LFX379" s="50" t="n"/>
      <c r="LFY379" s="50" t="n"/>
      <c r="LFZ379" s="50" t="n"/>
      <c r="LGA379" s="50" t="n"/>
      <c r="LGB379" s="50" t="n"/>
      <c r="LGC379" s="50" t="n"/>
      <c r="LGD379" s="56" t="n"/>
      <c r="LGE379" s="50" t="n"/>
      <c r="LGF379" s="53" t="n"/>
      <c r="LGG379" s="84" t="n"/>
      <c r="LGH379" s="85" t="n"/>
      <c r="LGI379" s="31" t="n"/>
      <c r="LGJ379" s="50" t="n"/>
      <c r="LGK379" s="50" t="n"/>
      <c r="LGL379" s="50" t="n"/>
      <c r="LGM379" s="50" t="n"/>
      <c r="LGN379" s="50" t="n"/>
      <c r="LGO379" s="50" t="n"/>
      <c r="LGP379" s="50" t="n"/>
      <c r="LGQ379" s="50" t="n"/>
      <c r="LGR379" s="50" t="n"/>
      <c r="LGS379" s="50" t="n"/>
      <c r="LGT379" s="50" t="n"/>
      <c r="LGU379" s="50" t="n"/>
      <c r="LGV379" s="50" t="n"/>
      <c r="LGW379" s="50" t="n"/>
      <c r="LGX379" s="50" t="n"/>
      <c r="LGY379" s="50" t="n"/>
      <c r="LGZ379" s="50" t="n"/>
      <c r="LHA379" s="50" t="n"/>
      <c r="LHB379" s="50" t="n"/>
      <c r="LHC379" s="50" t="n"/>
      <c r="LHD379" s="50" t="n"/>
      <c r="LHE379" s="50" t="n"/>
      <c r="LHF379" s="50" t="n"/>
      <c r="LHG379" s="50" t="n"/>
      <c r="LHH379" s="56" t="n"/>
      <c r="LHI379" s="50" t="n"/>
      <c r="LHJ379" s="53" t="n"/>
      <c r="LHK379" s="84" t="n"/>
      <c r="LHL379" s="85" t="n"/>
      <c r="LHM379" s="31" t="n"/>
      <c r="LHN379" s="50" t="n"/>
      <c r="LHO379" s="50" t="n"/>
      <c r="LHP379" s="50" t="n"/>
      <c r="LHQ379" s="50" t="n"/>
      <c r="LHR379" s="50" t="n"/>
      <c r="LHS379" s="50" t="n"/>
      <c r="LHT379" s="50" t="n"/>
      <c r="LHU379" s="50" t="n"/>
      <c r="LHV379" s="50" t="n"/>
      <c r="LHW379" s="50" t="n"/>
      <c r="LHX379" s="50" t="n"/>
      <c r="LHY379" s="50" t="n"/>
      <c r="LHZ379" s="50" t="n"/>
      <c r="LIA379" s="50" t="n"/>
      <c r="LIB379" s="50" t="n"/>
      <c r="LIC379" s="50" t="n"/>
      <c r="LID379" s="50" t="n"/>
      <c r="LIE379" s="50" t="n"/>
      <c r="LIF379" s="50" t="n"/>
      <c r="LIG379" s="50" t="n"/>
      <c r="LIH379" s="50" t="n"/>
      <c r="LII379" s="50" t="n"/>
      <c r="LIJ379" s="50" t="n"/>
      <c r="LIK379" s="50" t="n"/>
      <c r="LIL379" s="56" t="n"/>
      <c r="LIM379" s="50" t="n"/>
      <c r="LIN379" s="53" t="n"/>
      <c r="LIO379" s="84" t="n"/>
      <c r="LIP379" s="85" t="n"/>
      <c r="LIQ379" s="31" t="n"/>
      <c r="LIR379" s="50" t="n"/>
      <c r="LIS379" s="50" t="n"/>
      <c r="LIT379" s="50" t="n"/>
      <c r="LIU379" s="50" t="n"/>
      <c r="LIV379" s="50" t="n"/>
      <c r="LIW379" s="50" t="n"/>
      <c r="LIX379" s="50" t="n"/>
      <c r="LIY379" s="50" t="n"/>
      <c r="LIZ379" s="50" t="n"/>
      <c r="LJA379" s="50" t="n"/>
      <c r="LJB379" s="50" t="n"/>
      <c r="LJC379" s="50" t="n"/>
      <c r="LJD379" s="50" t="n"/>
      <c r="LJE379" s="50" t="n"/>
      <c r="LJF379" s="50" t="n"/>
      <c r="LJG379" s="50" t="n"/>
      <c r="LJH379" s="50" t="n"/>
      <c r="LJI379" s="50" t="n"/>
      <c r="LJJ379" s="50" t="n"/>
      <c r="LJK379" s="50" t="n"/>
      <c r="LJL379" s="50" t="n"/>
      <c r="LJM379" s="50" t="n"/>
      <c r="LJN379" s="50" t="n"/>
      <c r="LJO379" s="50" t="n"/>
      <c r="LJP379" s="56" t="n"/>
      <c r="LJQ379" s="50" t="n"/>
      <c r="LJR379" s="53" t="n"/>
      <c r="LJS379" s="84" t="n"/>
      <c r="LJT379" s="85" t="n"/>
      <c r="LJU379" s="31" t="n"/>
      <c r="LJV379" s="50" t="n"/>
      <c r="LJW379" s="50" t="n"/>
      <c r="LJX379" s="50" t="n"/>
      <c r="LJY379" s="50" t="n"/>
      <c r="LJZ379" s="50" t="n"/>
      <c r="LKA379" s="50" t="n"/>
      <c r="LKB379" s="50" t="n"/>
      <c r="LKC379" s="50" t="n"/>
      <c r="LKD379" s="50" t="n"/>
      <c r="LKE379" s="50" t="n"/>
      <c r="LKF379" s="50" t="n"/>
      <c r="LKG379" s="50" t="n"/>
      <c r="LKH379" s="50" t="n"/>
      <c r="LKI379" s="50" t="n"/>
      <c r="LKJ379" s="50" t="n"/>
      <c r="LKK379" s="50" t="n"/>
      <c r="LKL379" s="50" t="n"/>
      <c r="LKM379" s="50" t="n"/>
      <c r="LKN379" s="50" t="n"/>
      <c r="LKO379" s="50" t="n"/>
      <c r="LKP379" s="50" t="n"/>
      <c r="LKQ379" s="50" t="n"/>
      <c r="LKR379" s="50" t="n"/>
      <c r="LKS379" s="50" t="n"/>
      <c r="LKT379" s="56" t="n"/>
      <c r="LKU379" s="50" t="n"/>
      <c r="LKV379" s="53" t="n"/>
      <c r="LKW379" s="84" t="n"/>
      <c r="LKX379" s="85" t="n"/>
      <c r="LKY379" s="31" t="n"/>
      <c r="LKZ379" s="50" t="n"/>
      <c r="LLA379" s="50" t="n"/>
      <c r="LLB379" s="50" t="n"/>
      <c r="LLC379" s="50" t="n"/>
      <c r="LLD379" s="50" t="n"/>
      <c r="LLE379" s="50" t="n"/>
      <c r="LLF379" s="50" t="n"/>
      <c r="LLG379" s="50" t="n"/>
      <c r="LLH379" s="50" t="n"/>
      <c r="LLI379" s="50" t="n"/>
      <c r="LLJ379" s="50" t="n"/>
      <c r="LLK379" s="50" t="n"/>
      <c r="LLL379" s="50" t="n"/>
      <c r="LLM379" s="50" t="n"/>
      <c r="LLN379" s="50" t="n"/>
      <c r="LLO379" s="50" t="n"/>
      <c r="LLP379" s="50" t="n"/>
      <c r="LLQ379" s="50" t="n"/>
      <c r="LLR379" s="50" t="n"/>
      <c r="LLS379" s="50" t="n"/>
      <c r="LLT379" s="50" t="n"/>
      <c r="LLU379" s="50" t="n"/>
      <c r="LLV379" s="50" t="n"/>
      <c r="LLW379" s="50" t="n"/>
      <c r="LLX379" s="56" t="n"/>
      <c r="LLY379" s="50" t="n"/>
      <c r="LLZ379" s="53" t="n"/>
      <c r="LMA379" s="84" t="n"/>
      <c r="LMB379" s="85" t="n"/>
      <c r="LMC379" s="31" t="n"/>
      <c r="LMD379" s="50" t="n"/>
      <c r="LME379" s="50" t="n"/>
      <c r="LMF379" s="50" t="n"/>
      <c r="LMG379" s="50" t="n"/>
      <c r="LMH379" s="50" t="n"/>
      <c r="LMI379" s="50" t="n"/>
      <c r="LMJ379" s="50" t="n"/>
      <c r="LMK379" s="50" t="n"/>
      <c r="LML379" s="50" t="n"/>
      <c r="LMM379" s="50" t="n"/>
      <c r="LMN379" s="50" t="n"/>
      <c r="LMO379" s="50" t="n"/>
      <c r="LMP379" s="50" t="n"/>
      <c r="LMQ379" s="50" t="n"/>
      <c r="LMR379" s="50" t="n"/>
      <c r="LMS379" s="50" t="n"/>
      <c r="LMT379" s="50" t="n"/>
      <c r="LMU379" s="50" t="n"/>
      <c r="LMV379" s="50" t="n"/>
      <c r="LMW379" s="50" t="n"/>
      <c r="LMX379" s="50" t="n"/>
      <c r="LMY379" s="50" t="n"/>
      <c r="LMZ379" s="50" t="n"/>
      <c r="LNA379" s="50" t="n"/>
      <c r="LNB379" s="56" t="n"/>
      <c r="LNC379" s="50" t="n"/>
      <c r="LND379" s="53" t="n"/>
      <c r="LNE379" s="84" t="n"/>
      <c r="LNF379" s="85" t="n"/>
      <c r="LNG379" s="31" t="n"/>
      <c r="LNH379" s="50" t="n"/>
      <c r="LNI379" s="50" t="n"/>
      <c r="LNJ379" s="50" t="n"/>
      <c r="LNK379" s="50" t="n"/>
      <c r="LNL379" s="50" t="n"/>
      <c r="LNM379" s="50" t="n"/>
      <c r="LNN379" s="50" t="n"/>
      <c r="LNO379" s="50" t="n"/>
      <c r="LNP379" s="50" t="n"/>
      <c r="LNQ379" s="50" t="n"/>
      <c r="LNR379" s="50" t="n"/>
      <c r="LNS379" s="50" t="n"/>
      <c r="LNT379" s="50" t="n"/>
      <c r="LNU379" s="50" t="n"/>
      <c r="LNV379" s="50" t="n"/>
      <c r="LNW379" s="50" t="n"/>
      <c r="LNX379" s="50" t="n"/>
      <c r="LNY379" s="50" t="n"/>
      <c r="LNZ379" s="50" t="n"/>
      <c r="LOA379" s="50" t="n"/>
      <c r="LOB379" s="50" t="n"/>
      <c r="LOC379" s="50" t="n"/>
      <c r="LOD379" s="50" t="n"/>
      <c r="LOE379" s="50" t="n"/>
      <c r="LOF379" s="56" t="n"/>
      <c r="LOG379" s="50" t="n"/>
      <c r="LOH379" s="53" t="n"/>
      <c r="LOI379" s="84" t="n"/>
      <c r="LOJ379" s="85" t="n"/>
      <c r="LOK379" s="31" t="n"/>
      <c r="LOL379" s="50" t="n"/>
      <c r="LOM379" s="50" t="n"/>
      <c r="LON379" s="50" t="n"/>
      <c r="LOO379" s="50" t="n"/>
      <c r="LOP379" s="50" t="n"/>
      <c r="LOQ379" s="50" t="n"/>
      <c r="LOR379" s="50" t="n"/>
      <c r="LOS379" s="50" t="n"/>
      <c r="LOT379" s="50" t="n"/>
      <c r="LOU379" s="50" t="n"/>
      <c r="LOV379" s="50" t="n"/>
      <c r="LOW379" s="50" t="n"/>
      <c r="LOX379" s="50" t="n"/>
      <c r="LOY379" s="50" t="n"/>
      <c r="LOZ379" s="50" t="n"/>
      <c r="LPA379" s="50" t="n"/>
      <c r="LPB379" s="50" t="n"/>
      <c r="LPC379" s="50" t="n"/>
      <c r="LPD379" s="50" t="n"/>
      <c r="LPE379" s="50" t="n"/>
      <c r="LPF379" s="50" t="n"/>
      <c r="LPG379" s="50" t="n"/>
      <c r="LPH379" s="50" t="n"/>
      <c r="LPI379" s="50" t="n"/>
      <c r="LPJ379" s="56" t="n"/>
      <c r="LPK379" s="50" t="n"/>
      <c r="LPL379" s="53" t="n"/>
      <c r="LPM379" s="84" t="n"/>
      <c r="LPN379" s="85" t="n"/>
      <c r="LPO379" s="31" t="n"/>
      <c r="LPP379" s="50" t="n"/>
      <c r="LPQ379" s="50" t="n"/>
      <c r="LPR379" s="50" t="n"/>
      <c r="LPS379" s="50" t="n"/>
      <c r="LPT379" s="50" t="n"/>
      <c r="LPU379" s="50" t="n"/>
      <c r="LPV379" s="50" t="n"/>
      <c r="LPW379" s="50" t="n"/>
      <c r="LPX379" s="50" t="n"/>
      <c r="LPY379" s="50" t="n"/>
      <c r="LPZ379" s="50" t="n"/>
      <c r="LQA379" s="50" t="n"/>
      <c r="LQB379" s="50" t="n"/>
      <c r="LQC379" s="50" t="n"/>
      <c r="LQD379" s="50" t="n"/>
      <c r="LQE379" s="50" t="n"/>
      <c r="LQF379" s="50" t="n"/>
      <c r="LQG379" s="50" t="n"/>
      <c r="LQH379" s="50" t="n"/>
      <c r="LQI379" s="50" t="n"/>
      <c r="LQJ379" s="50" t="n"/>
      <c r="LQK379" s="50" t="n"/>
      <c r="LQL379" s="50" t="n"/>
      <c r="LQM379" s="50" t="n"/>
      <c r="LQN379" s="56" t="n"/>
      <c r="LQO379" s="50" t="n"/>
      <c r="LQP379" s="53" t="n"/>
      <c r="LQQ379" s="84" t="n"/>
      <c r="LQR379" s="85" t="n"/>
      <c r="LQS379" s="31" t="n"/>
      <c r="LQT379" s="50" t="n"/>
      <c r="LQU379" s="50" t="n"/>
      <c r="LQV379" s="50" t="n"/>
      <c r="LQW379" s="50" t="n"/>
      <c r="LQX379" s="50" t="n"/>
      <c r="LQY379" s="50" t="n"/>
      <c r="LQZ379" s="50" t="n"/>
      <c r="LRA379" s="50" t="n"/>
      <c r="LRB379" s="50" t="n"/>
      <c r="LRC379" s="50" t="n"/>
      <c r="LRD379" s="50" t="n"/>
      <c r="LRE379" s="50" t="n"/>
      <c r="LRF379" s="50" t="n"/>
      <c r="LRG379" s="50" t="n"/>
      <c r="LRH379" s="50" t="n"/>
      <c r="LRI379" s="50" t="n"/>
      <c r="LRJ379" s="50" t="n"/>
      <c r="LRK379" s="50" t="n"/>
      <c r="LRL379" s="50" t="n"/>
      <c r="LRM379" s="50" t="n"/>
      <c r="LRN379" s="50" t="n"/>
      <c r="LRO379" s="50" t="n"/>
      <c r="LRP379" s="50" t="n"/>
      <c r="LRQ379" s="50" t="n"/>
      <c r="LRR379" s="56" t="n"/>
      <c r="LRS379" s="50" t="n"/>
      <c r="LRT379" s="53" t="n"/>
      <c r="LRU379" s="84" t="n"/>
      <c r="LRV379" s="85" t="n"/>
      <c r="LRW379" s="31" t="n"/>
      <c r="LRX379" s="50" t="n"/>
      <c r="LRY379" s="50" t="n"/>
      <c r="LRZ379" s="50" t="n"/>
      <c r="LSA379" s="50" t="n"/>
      <c r="LSB379" s="50" t="n"/>
      <c r="LSC379" s="50" t="n"/>
      <c r="LSD379" s="50" t="n"/>
      <c r="LSE379" s="50" t="n"/>
      <c r="LSF379" s="50" t="n"/>
      <c r="LSG379" s="50" t="n"/>
      <c r="LSH379" s="50" t="n"/>
      <c r="LSI379" s="50" t="n"/>
      <c r="LSJ379" s="50" t="n"/>
      <c r="LSK379" s="50" t="n"/>
      <c r="LSL379" s="50" t="n"/>
      <c r="LSM379" s="50" t="n"/>
      <c r="LSN379" s="50" t="n"/>
      <c r="LSO379" s="50" t="n"/>
      <c r="LSP379" s="50" t="n"/>
      <c r="LSQ379" s="50" t="n"/>
      <c r="LSR379" s="50" t="n"/>
      <c r="LSS379" s="50" t="n"/>
      <c r="LST379" s="50" t="n"/>
      <c r="LSU379" s="50" t="n"/>
      <c r="LSV379" s="56" t="n"/>
      <c r="LSW379" s="50" t="n"/>
      <c r="LSX379" s="53" t="n"/>
      <c r="LSY379" s="84" t="n"/>
      <c r="LSZ379" s="85" t="n"/>
      <c r="LTA379" s="31" t="n"/>
      <c r="LTB379" s="50" t="n"/>
      <c r="LTC379" s="50" t="n"/>
      <c r="LTD379" s="50" t="n"/>
      <c r="LTE379" s="50" t="n"/>
      <c r="LTF379" s="50" t="n"/>
      <c r="LTG379" s="50" t="n"/>
      <c r="LTH379" s="50" t="n"/>
      <c r="LTI379" s="50" t="n"/>
      <c r="LTJ379" s="50" t="n"/>
      <c r="LTK379" s="50" t="n"/>
      <c r="LTL379" s="50" t="n"/>
      <c r="LTM379" s="50" t="n"/>
      <c r="LTN379" s="50" t="n"/>
      <c r="LTO379" s="50" t="n"/>
      <c r="LTP379" s="50" t="n"/>
      <c r="LTQ379" s="50" t="n"/>
      <c r="LTR379" s="50" t="n"/>
      <c r="LTS379" s="50" t="n"/>
      <c r="LTT379" s="50" t="n"/>
      <c r="LTU379" s="50" t="n"/>
      <c r="LTV379" s="50" t="n"/>
      <c r="LTW379" s="50" t="n"/>
      <c r="LTX379" s="50" t="n"/>
      <c r="LTY379" s="50" t="n"/>
      <c r="LTZ379" s="56" t="n"/>
      <c r="LUA379" s="50" t="n"/>
      <c r="LUB379" s="53" t="n"/>
      <c r="LUC379" s="84" t="n"/>
      <c r="LUD379" s="85" t="n"/>
      <c r="LUE379" s="31" t="n"/>
      <c r="LUF379" s="50" t="n"/>
      <c r="LUG379" s="50" t="n"/>
      <c r="LUH379" s="50" t="n"/>
      <c r="LUI379" s="50" t="n"/>
      <c r="LUJ379" s="50" t="n"/>
      <c r="LUK379" s="50" t="n"/>
      <c r="LUL379" s="50" t="n"/>
      <c r="LUM379" s="50" t="n"/>
      <c r="LUN379" s="50" t="n"/>
      <c r="LUO379" s="50" t="n"/>
      <c r="LUP379" s="50" t="n"/>
      <c r="LUQ379" s="50" t="n"/>
      <c r="LUR379" s="50" t="n"/>
      <c r="LUS379" s="50" t="n"/>
      <c r="LUT379" s="50" t="n"/>
      <c r="LUU379" s="50" t="n"/>
      <c r="LUV379" s="50" t="n"/>
      <c r="LUW379" s="50" t="n"/>
      <c r="LUX379" s="50" t="n"/>
      <c r="LUY379" s="50" t="n"/>
      <c r="LUZ379" s="50" t="n"/>
      <c r="LVA379" s="50" t="n"/>
      <c r="LVB379" s="50" t="n"/>
      <c r="LVC379" s="50" t="n"/>
      <c r="LVD379" s="56" t="n"/>
      <c r="LVE379" s="50" t="n"/>
      <c r="LVF379" s="53" t="n"/>
      <c r="LVG379" s="84" t="n"/>
      <c r="LVH379" s="85" t="n"/>
      <c r="LVI379" s="31" t="n"/>
      <c r="LVJ379" s="50" t="n"/>
      <c r="LVK379" s="50" t="n"/>
      <c r="LVL379" s="50" t="n"/>
      <c r="LVM379" s="50" t="n"/>
      <c r="LVN379" s="50" t="n"/>
      <c r="LVO379" s="50" t="n"/>
      <c r="LVP379" s="50" t="n"/>
      <c r="LVQ379" s="50" t="n"/>
      <c r="LVR379" s="50" t="n"/>
      <c r="LVS379" s="50" t="n"/>
      <c r="LVT379" s="50" t="n"/>
      <c r="LVU379" s="50" t="n"/>
      <c r="LVV379" s="50" t="n"/>
      <c r="LVW379" s="50" t="n"/>
      <c r="LVX379" s="50" t="n"/>
      <c r="LVY379" s="50" t="n"/>
      <c r="LVZ379" s="50" t="n"/>
      <c r="LWA379" s="50" t="n"/>
      <c r="LWB379" s="50" t="n"/>
      <c r="LWC379" s="50" t="n"/>
      <c r="LWD379" s="50" t="n"/>
      <c r="LWE379" s="50" t="n"/>
      <c r="LWF379" s="50" t="n"/>
      <c r="LWG379" s="50" t="n"/>
      <c r="LWH379" s="56" t="n"/>
      <c r="LWI379" s="50" t="n"/>
      <c r="LWJ379" s="53" t="n"/>
      <c r="LWK379" s="84" t="n"/>
      <c r="LWL379" s="85" t="n"/>
      <c r="LWM379" s="31" t="n"/>
      <c r="LWN379" s="50" t="n"/>
      <c r="LWO379" s="50" t="n"/>
      <c r="LWP379" s="50" t="n"/>
      <c r="LWQ379" s="50" t="n"/>
      <c r="LWR379" s="50" t="n"/>
      <c r="LWS379" s="50" t="n"/>
      <c r="LWT379" s="50" t="n"/>
      <c r="LWU379" s="50" t="n"/>
      <c r="LWV379" s="50" t="n"/>
      <c r="LWW379" s="50" t="n"/>
      <c r="LWX379" s="50" t="n"/>
      <c r="LWY379" s="50" t="n"/>
      <c r="LWZ379" s="50" t="n"/>
      <c r="LXA379" s="50" t="n"/>
      <c r="LXB379" s="50" t="n"/>
      <c r="LXC379" s="50" t="n"/>
      <c r="LXD379" s="50" t="n"/>
      <c r="LXE379" s="50" t="n"/>
      <c r="LXF379" s="50" t="n"/>
      <c r="LXG379" s="50" t="n"/>
      <c r="LXH379" s="50" t="n"/>
      <c r="LXI379" s="50" t="n"/>
      <c r="LXJ379" s="50" t="n"/>
      <c r="LXK379" s="50" t="n"/>
      <c r="LXL379" s="56" t="n"/>
      <c r="LXM379" s="50" t="n"/>
      <c r="LXN379" s="53" t="n"/>
      <c r="LXO379" s="84" t="n"/>
      <c r="LXP379" s="85" t="n"/>
      <c r="LXQ379" s="31" t="n"/>
      <c r="LXR379" s="50" t="n"/>
      <c r="LXS379" s="50" t="n"/>
      <c r="LXT379" s="50" t="n"/>
      <c r="LXU379" s="50" t="n"/>
      <c r="LXV379" s="50" t="n"/>
      <c r="LXW379" s="50" t="n"/>
      <c r="LXX379" s="50" t="n"/>
      <c r="LXY379" s="50" t="n"/>
      <c r="LXZ379" s="50" t="n"/>
      <c r="LYA379" s="50" t="n"/>
      <c r="LYB379" s="50" t="n"/>
      <c r="LYC379" s="50" t="n"/>
      <c r="LYD379" s="50" t="n"/>
      <c r="LYE379" s="50" t="n"/>
      <c r="LYF379" s="50" t="n"/>
      <c r="LYG379" s="50" t="n"/>
      <c r="LYH379" s="50" t="n"/>
      <c r="LYI379" s="50" t="n"/>
      <c r="LYJ379" s="50" t="n"/>
      <c r="LYK379" s="50" t="n"/>
      <c r="LYL379" s="50" t="n"/>
      <c r="LYM379" s="50" t="n"/>
      <c r="LYN379" s="50" t="n"/>
      <c r="LYO379" s="50" t="n"/>
      <c r="LYP379" s="56" t="n"/>
      <c r="LYQ379" s="50" t="n"/>
      <c r="LYR379" s="53" t="n"/>
      <c r="LYS379" s="84" t="n"/>
      <c r="LYT379" s="85" t="n"/>
      <c r="LYU379" s="31" t="n"/>
      <c r="LYV379" s="50" t="n"/>
      <c r="LYW379" s="50" t="n"/>
      <c r="LYX379" s="50" t="n"/>
      <c r="LYY379" s="50" t="n"/>
      <c r="LYZ379" s="50" t="n"/>
      <c r="LZA379" s="50" t="n"/>
      <c r="LZB379" s="50" t="n"/>
      <c r="LZC379" s="50" t="n"/>
      <c r="LZD379" s="50" t="n"/>
      <c r="LZE379" s="50" t="n"/>
      <c r="LZF379" s="50" t="n"/>
      <c r="LZG379" s="50" t="n"/>
      <c r="LZH379" s="50" t="n"/>
      <c r="LZI379" s="50" t="n"/>
      <c r="LZJ379" s="50" t="n"/>
      <c r="LZK379" s="50" t="n"/>
      <c r="LZL379" s="50" t="n"/>
      <c r="LZM379" s="50" t="n"/>
      <c r="LZN379" s="50" t="n"/>
      <c r="LZO379" s="50" t="n"/>
      <c r="LZP379" s="50" t="n"/>
      <c r="LZQ379" s="50" t="n"/>
      <c r="LZR379" s="50" t="n"/>
      <c r="LZS379" s="50" t="n"/>
      <c r="LZT379" s="56" t="n"/>
      <c r="LZU379" s="50" t="n"/>
      <c r="LZV379" s="53" t="n"/>
      <c r="LZW379" s="84" t="n"/>
      <c r="LZX379" s="85" t="n"/>
      <c r="LZY379" s="31" t="n"/>
      <c r="LZZ379" s="50" t="n"/>
      <c r="MAA379" s="50" t="n"/>
      <c r="MAB379" s="50" t="n"/>
      <c r="MAC379" s="50" t="n"/>
      <c r="MAD379" s="50" t="n"/>
      <c r="MAE379" s="50" t="n"/>
      <c r="MAF379" s="50" t="n"/>
      <c r="MAG379" s="50" t="n"/>
      <c r="MAH379" s="50" t="n"/>
      <c r="MAI379" s="50" t="n"/>
      <c r="MAJ379" s="50" t="n"/>
      <c r="MAK379" s="50" t="n"/>
      <c r="MAL379" s="50" t="n"/>
      <c r="MAM379" s="50" t="n"/>
      <c r="MAN379" s="50" t="n"/>
      <c r="MAO379" s="50" t="n"/>
      <c r="MAP379" s="50" t="n"/>
      <c r="MAQ379" s="50" t="n"/>
      <c r="MAR379" s="50" t="n"/>
      <c r="MAS379" s="50" t="n"/>
      <c r="MAT379" s="50" t="n"/>
      <c r="MAU379" s="50" t="n"/>
      <c r="MAV379" s="50" t="n"/>
      <c r="MAW379" s="50" t="n"/>
      <c r="MAX379" s="56" t="n"/>
      <c r="MAY379" s="50" t="n"/>
      <c r="MAZ379" s="53" t="n"/>
      <c r="MBA379" s="84" t="n"/>
      <c r="MBB379" s="85" t="n"/>
      <c r="MBC379" s="31" t="n"/>
      <c r="MBD379" s="50" t="n"/>
      <c r="MBE379" s="50" t="n"/>
      <c r="MBF379" s="50" t="n"/>
      <c r="MBG379" s="50" t="n"/>
      <c r="MBH379" s="50" t="n"/>
      <c r="MBI379" s="50" t="n"/>
      <c r="MBJ379" s="50" t="n"/>
      <c r="MBK379" s="50" t="n"/>
      <c r="MBL379" s="50" t="n"/>
      <c r="MBM379" s="50" t="n"/>
      <c r="MBN379" s="50" t="n"/>
      <c r="MBO379" s="50" t="n"/>
      <c r="MBP379" s="50" t="n"/>
      <c r="MBQ379" s="50" t="n"/>
      <c r="MBR379" s="50" t="n"/>
      <c r="MBS379" s="50" t="n"/>
      <c r="MBT379" s="50" t="n"/>
      <c r="MBU379" s="50" t="n"/>
      <c r="MBV379" s="50" t="n"/>
      <c r="MBW379" s="50" t="n"/>
      <c r="MBX379" s="50" t="n"/>
      <c r="MBY379" s="50" t="n"/>
      <c r="MBZ379" s="50" t="n"/>
      <c r="MCA379" s="50" t="n"/>
      <c r="MCB379" s="56" t="n"/>
      <c r="MCC379" s="50" t="n"/>
      <c r="MCD379" s="53" t="n"/>
      <c r="MCE379" s="84" t="n"/>
      <c r="MCF379" s="85" t="n"/>
      <c r="MCG379" s="31" t="n"/>
      <c r="MCH379" s="50" t="n"/>
      <c r="MCI379" s="50" t="n"/>
      <c r="MCJ379" s="50" t="n"/>
      <c r="MCK379" s="50" t="n"/>
      <c r="MCL379" s="50" t="n"/>
      <c r="MCM379" s="50" t="n"/>
      <c r="MCN379" s="50" t="n"/>
      <c r="MCO379" s="50" t="n"/>
      <c r="MCP379" s="50" t="n"/>
      <c r="MCQ379" s="50" t="n"/>
      <c r="MCR379" s="50" t="n"/>
      <c r="MCS379" s="50" t="n"/>
      <c r="MCT379" s="50" t="n"/>
      <c r="MCU379" s="50" t="n"/>
      <c r="MCV379" s="50" t="n"/>
      <c r="MCW379" s="50" t="n"/>
      <c r="MCX379" s="50" t="n"/>
      <c r="MCY379" s="50" t="n"/>
      <c r="MCZ379" s="50" t="n"/>
      <c r="MDA379" s="50" t="n"/>
      <c r="MDB379" s="50" t="n"/>
      <c r="MDC379" s="50" t="n"/>
      <c r="MDD379" s="50" t="n"/>
      <c r="MDE379" s="50" t="n"/>
      <c r="MDF379" s="56" t="n"/>
      <c r="MDG379" s="50" t="n"/>
      <c r="MDH379" s="53" t="n"/>
      <c r="MDI379" s="84" t="n"/>
      <c r="MDJ379" s="85" t="n"/>
      <c r="MDK379" s="31" t="n"/>
      <c r="MDL379" s="50" t="n"/>
      <c r="MDM379" s="50" t="n"/>
      <c r="MDN379" s="50" t="n"/>
      <c r="MDO379" s="50" t="n"/>
      <c r="MDP379" s="50" t="n"/>
      <c r="MDQ379" s="50" t="n"/>
      <c r="MDR379" s="50" t="n"/>
      <c r="MDS379" s="50" t="n"/>
      <c r="MDT379" s="50" t="n"/>
      <c r="MDU379" s="50" t="n"/>
      <c r="MDV379" s="50" t="n"/>
      <c r="MDW379" s="50" t="n"/>
      <c r="MDX379" s="50" t="n"/>
      <c r="MDY379" s="50" t="n"/>
      <c r="MDZ379" s="50" t="n"/>
      <c r="MEA379" s="50" t="n"/>
      <c r="MEB379" s="50" t="n"/>
      <c r="MEC379" s="50" t="n"/>
      <c r="MED379" s="50" t="n"/>
      <c r="MEE379" s="50" t="n"/>
      <c r="MEF379" s="50" t="n"/>
      <c r="MEG379" s="50" t="n"/>
      <c r="MEH379" s="50" t="n"/>
      <c r="MEI379" s="50" t="n"/>
      <c r="MEJ379" s="56" t="n"/>
      <c r="MEK379" s="50" t="n"/>
      <c r="MEL379" s="53" t="n"/>
      <c r="MEM379" s="84" t="n"/>
      <c r="MEN379" s="85" t="n"/>
      <c r="MEO379" s="31" t="n"/>
      <c r="MEP379" s="50" t="n"/>
      <c r="MEQ379" s="50" t="n"/>
      <c r="MER379" s="50" t="n"/>
      <c r="MES379" s="50" t="n"/>
      <c r="MET379" s="50" t="n"/>
      <c r="MEU379" s="50" t="n"/>
      <c r="MEV379" s="50" t="n"/>
      <c r="MEW379" s="50" t="n"/>
      <c r="MEX379" s="50" t="n"/>
      <c r="MEY379" s="50" t="n"/>
      <c r="MEZ379" s="50" t="n"/>
      <c r="MFA379" s="50" t="n"/>
      <c r="MFB379" s="50" t="n"/>
      <c r="MFC379" s="50" t="n"/>
      <c r="MFD379" s="50" t="n"/>
      <c r="MFE379" s="50" t="n"/>
      <c r="MFF379" s="50" t="n"/>
      <c r="MFG379" s="50" t="n"/>
      <c r="MFH379" s="50" t="n"/>
      <c r="MFI379" s="50" t="n"/>
      <c r="MFJ379" s="50" t="n"/>
      <c r="MFK379" s="50" t="n"/>
      <c r="MFL379" s="50" t="n"/>
      <c r="MFM379" s="50" t="n"/>
      <c r="MFN379" s="56" t="n"/>
      <c r="MFO379" s="50" t="n"/>
      <c r="MFP379" s="53" t="n"/>
      <c r="MFQ379" s="84" t="n"/>
      <c r="MFR379" s="85" t="n"/>
      <c r="MFS379" s="31" t="n"/>
      <c r="MFT379" s="50" t="n"/>
      <c r="MFU379" s="50" t="n"/>
      <c r="MFV379" s="50" t="n"/>
      <c r="MFW379" s="50" t="n"/>
      <c r="MFX379" s="50" t="n"/>
      <c r="MFY379" s="50" t="n"/>
      <c r="MFZ379" s="50" t="n"/>
      <c r="MGA379" s="50" t="n"/>
      <c r="MGB379" s="50" t="n"/>
      <c r="MGC379" s="50" t="n"/>
      <c r="MGD379" s="50" t="n"/>
      <c r="MGE379" s="50" t="n"/>
      <c r="MGF379" s="50" t="n"/>
      <c r="MGG379" s="50" t="n"/>
      <c r="MGH379" s="50" t="n"/>
      <c r="MGI379" s="50" t="n"/>
      <c r="MGJ379" s="50" t="n"/>
      <c r="MGK379" s="50" t="n"/>
      <c r="MGL379" s="50" t="n"/>
      <c r="MGM379" s="50" t="n"/>
      <c r="MGN379" s="50" t="n"/>
      <c r="MGO379" s="50" t="n"/>
      <c r="MGP379" s="50" t="n"/>
      <c r="MGQ379" s="50" t="n"/>
      <c r="MGR379" s="56" t="n"/>
      <c r="MGS379" s="50" t="n"/>
      <c r="MGT379" s="53" t="n"/>
      <c r="MGU379" s="84" t="n"/>
      <c r="MGV379" s="85" t="n"/>
      <c r="MGW379" s="31" t="n"/>
      <c r="MGX379" s="50" t="n"/>
      <c r="MGY379" s="50" t="n"/>
      <c r="MGZ379" s="50" t="n"/>
      <c r="MHA379" s="50" t="n"/>
      <c r="MHB379" s="50" t="n"/>
      <c r="MHC379" s="50" t="n"/>
      <c r="MHD379" s="50" t="n"/>
      <c r="MHE379" s="50" t="n"/>
      <c r="MHF379" s="50" t="n"/>
      <c r="MHG379" s="50" t="n"/>
      <c r="MHH379" s="50" t="n"/>
      <c r="MHI379" s="50" t="n"/>
      <c r="MHJ379" s="50" t="n"/>
      <c r="MHK379" s="50" t="n"/>
      <c r="MHL379" s="50" t="n"/>
      <c r="MHM379" s="50" t="n"/>
      <c r="MHN379" s="50" t="n"/>
      <c r="MHO379" s="50" t="n"/>
      <c r="MHP379" s="50" t="n"/>
      <c r="MHQ379" s="50" t="n"/>
      <c r="MHR379" s="50" t="n"/>
      <c r="MHS379" s="50" t="n"/>
      <c r="MHT379" s="50" t="n"/>
      <c r="MHU379" s="50" t="n"/>
      <c r="MHV379" s="56" t="n"/>
      <c r="MHW379" s="50" t="n"/>
      <c r="MHX379" s="53" t="n"/>
      <c r="MHY379" s="84" t="n"/>
      <c r="MHZ379" s="85" t="n"/>
      <c r="MIA379" s="31" t="n"/>
      <c r="MIB379" s="50" t="n"/>
      <c r="MIC379" s="50" t="n"/>
      <c r="MID379" s="50" t="n"/>
      <c r="MIE379" s="50" t="n"/>
      <c r="MIF379" s="50" t="n"/>
      <c r="MIG379" s="50" t="n"/>
      <c r="MIH379" s="50" t="n"/>
      <c r="MII379" s="50" t="n"/>
      <c r="MIJ379" s="50" t="n"/>
      <c r="MIK379" s="50" t="n"/>
      <c r="MIL379" s="50" t="n"/>
      <c r="MIM379" s="50" t="n"/>
      <c r="MIN379" s="50" t="n"/>
      <c r="MIO379" s="50" t="n"/>
      <c r="MIP379" s="50" t="n"/>
      <c r="MIQ379" s="50" t="n"/>
      <c r="MIR379" s="50" t="n"/>
      <c r="MIS379" s="50" t="n"/>
      <c r="MIT379" s="50" t="n"/>
      <c r="MIU379" s="50" t="n"/>
      <c r="MIV379" s="50" t="n"/>
      <c r="MIW379" s="50" t="n"/>
      <c r="MIX379" s="50" t="n"/>
      <c r="MIY379" s="50" t="n"/>
      <c r="MIZ379" s="56" t="n"/>
      <c r="MJA379" s="50" t="n"/>
      <c r="MJB379" s="53" t="n"/>
      <c r="MJC379" s="84" t="n"/>
      <c r="MJD379" s="85" t="n"/>
      <c r="MJE379" s="31" t="n"/>
      <c r="MJF379" s="50" t="n"/>
      <c r="MJG379" s="50" t="n"/>
      <c r="MJH379" s="50" t="n"/>
      <c r="MJI379" s="50" t="n"/>
      <c r="MJJ379" s="50" t="n"/>
      <c r="MJK379" s="50" t="n"/>
      <c r="MJL379" s="50" t="n"/>
      <c r="MJM379" s="50" t="n"/>
      <c r="MJN379" s="50" t="n"/>
      <c r="MJO379" s="50" t="n"/>
      <c r="MJP379" s="50" t="n"/>
      <c r="MJQ379" s="50" t="n"/>
      <c r="MJR379" s="50" t="n"/>
      <c r="MJS379" s="50" t="n"/>
      <c r="MJT379" s="50" t="n"/>
      <c r="MJU379" s="50" t="n"/>
      <c r="MJV379" s="50" t="n"/>
      <c r="MJW379" s="50" t="n"/>
      <c r="MJX379" s="50" t="n"/>
      <c r="MJY379" s="50" t="n"/>
      <c r="MJZ379" s="50" t="n"/>
      <c r="MKA379" s="50" t="n"/>
      <c r="MKB379" s="50" t="n"/>
      <c r="MKC379" s="50" t="n"/>
      <c r="MKD379" s="56" t="n"/>
      <c r="MKE379" s="50" t="n"/>
      <c r="MKF379" s="53" t="n"/>
      <c r="MKG379" s="84" t="n"/>
      <c r="MKH379" s="85" t="n"/>
      <c r="MKI379" s="31" t="n"/>
      <c r="MKJ379" s="50" t="n"/>
      <c r="MKK379" s="50" t="n"/>
      <c r="MKL379" s="50" t="n"/>
      <c r="MKM379" s="50" t="n"/>
      <c r="MKN379" s="50" t="n"/>
      <c r="MKO379" s="50" t="n"/>
      <c r="MKP379" s="50" t="n"/>
      <c r="MKQ379" s="50" t="n"/>
      <c r="MKR379" s="50" t="n"/>
      <c r="MKS379" s="50" t="n"/>
      <c r="MKT379" s="50" t="n"/>
      <c r="MKU379" s="50" t="n"/>
      <c r="MKV379" s="50" t="n"/>
      <c r="MKW379" s="50" t="n"/>
      <c r="MKX379" s="50" t="n"/>
      <c r="MKY379" s="50" t="n"/>
      <c r="MKZ379" s="50" t="n"/>
      <c r="MLA379" s="50" t="n"/>
      <c r="MLB379" s="50" t="n"/>
      <c r="MLC379" s="50" t="n"/>
      <c r="MLD379" s="50" t="n"/>
      <c r="MLE379" s="50" t="n"/>
      <c r="MLF379" s="50" t="n"/>
      <c r="MLG379" s="50" t="n"/>
      <c r="MLH379" s="56" t="n"/>
      <c r="MLI379" s="50" t="n"/>
      <c r="MLJ379" s="53" t="n"/>
      <c r="MLK379" s="84" t="n"/>
      <c r="MLL379" s="85" t="n"/>
      <c r="MLM379" s="31" t="n"/>
      <c r="MLN379" s="50" t="n"/>
      <c r="MLO379" s="50" t="n"/>
      <c r="MLP379" s="50" t="n"/>
      <c r="MLQ379" s="50" t="n"/>
      <c r="MLR379" s="50" t="n"/>
      <c r="MLS379" s="50" t="n"/>
      <c r="MLT379" s="50" t="n"/>
      <c r="MLU379" s="50" t="n"/>
      <c r="MLV379" s="50" t="n"/>
      <c r="MLW379" s="50" t="n"/>
      <c r="MLX379" s="50" t="n"/>
      <c r="MLY379" s="50" t="n"/>
      <c r="MLZ379" s="50" t="n"/>
      <c r="MMA379" s="50" t="n"/>
      <c r="MMB379" s="50" t="n"/>
      <c r="MMC379" s="50" t="n"/>
      <c r="MMD379" s="50" t="n"/>
      <c r="MME379" s="50" t="n"/>
      <c r="MMF379" s="50" t="n"/>
      <c r="MMG379" s="50" t="n"/>
      <c r="MMH379" s="50" t="n"/>
      <c r="MMI379" s="50" t="n"/>
      <c r="MMJ379" s="50" t="n"/>
      <c r="MMK379" s="50" t="n"/>
      <c r="MML379" s="56" t="n"/>
      <c r="MMM379" s="50" t="n"/>
      <c r="MMN379" s="53" t="n"/>
      <c r="MMO379" s="84" t="n"/>
      <c r="MMP379" s="85" t="n"/>
      <c r="MMQ379" s="31" t="n"/>
      <c r="MMR379" s="50" t="n"/>
      <c r="MMS379" s="50" t="n"/>
      <c r="MMT379" s="50" t="n"/>
      <c r="MMU379" s="50" t="n"/>
      <c r="MMV379" s="50" t="n"/>
      <c r="MMW379" s="50" t="n"/>
      <c r="MMX379" s="50" t="n"/>
      <c r="MMY379" s="50" t="n"/>
      <c r="MMZ379" s="50" t="n"/>
      <c r="MNA379" s="50" t="n"/>
      <c r="MNB379" s="50" t="n"/>
      <c r="MNC379" s="50" t="n"/>
      <c r="MND379" s="50" t="n"/>
      <c r="MNE379" s="50" t="n"/>
      <c r="MNF379" s="50" t="n"/>
      <c r="MNG379" s="50" t="n"/>
      <c r="MNH379" s="50" t="n"/>
      <c r="MNI379" s="50" t="n"/>
      <c r="MNJ379" s="50" t="n"/>
      <c r="MNK379" s="50" t="n"/>
      <c r="MNL379" s="50" t="n"/>
      <c r="MNM379" s="50" t="n"/>
      <c r="MNN379" s="50" t="n"/>
      <c r="MNO379" s="50" t="n"/>
      <c r="MNP379" s="56" t="n"/>
      <c r="MNQ379" s="50" t="n"/>
      <c r="MNR379" s="53" t="n"/>
      <c r="MNS379" s="84" t="n"/>
      <c r="MNT379" s="85" t="n"/>
      <c r="MNU379" s="31" t="n"/>
      <c r="MNV379" s="50" t="n"/>
      <c r="MNW379" s="50" t="n"/>
      <c r="MNX379" s="50" t="n"/>
      <c r="MNY379" s="50" t="n"/>
      <c r="MNZ379" s="50" t="n"/>
      <c r="MOA379" s="50" t="n"/>
      <c r="MOB379" s="50" t="n"/>
      <c r="MOC379" s="50" t="n"/>
      <c r="MOD379" s="50" t="n"/>
      <c r="MOE379" s="50" t="n"/>
      <c r="MOF379" s="50" t="n"/>
      <c r="MOG379" s="50" t="n"/>
      <c r="MOH379" s="50" t="n"/>
      <c r="MOI379" s="50" t="n"/>
      <c r="MOJ379" s="50" t="n"/>
      <c r="MOK379" s="50" t="n"/>
      <c r="MOL379" s="50" t="n"/>
      <c r="MOM379" s="50" t="n"/>
      <c r="MON379" s="50" t="n"/>
      <c r="MOO379" s="50" t="n"/>
      <c r="MOP379" s="50" t="n"/>
      <c r="MOQ379" s="50" t="n"/>
      <c r="MOR379" s="50" t="n"/>
      <c r="MOS379" s="50" t="n"/>
      <c r="MOT379" s="56" t="n"/>
      <c r="MOU379" s="50" t="n"/>
      <c r="MOV379" s="53" t="n"/>
      <c r="MOW379" s="84" t="n"/>
      <c r="MOX379" s="85" t="n"/>
      <c r="MOY379" s="31" t="n"/>
      <c r="MOZ379" s="50" t="n"/>
      <c r="MPA379" s="50" t="n"/>
      <c r="MPB379" s="50" t="n"/>
      <c r="MPC379" s="50" t="n"/>
      <c r="MPD379" s="50" t="n"/>
      <c r="MPE379" s="50" t="n"/>
      <c r="MPF379" s="50" t="n"/>
      <c r="MPG379" s="50" t="n"/>
      <c r="MPH379" s="50" t="n"/>
      <c r="MPI379" s="50" t="n"/>
      <c r="MPJ379" s="50" t="n"/>
      <c r="MPK379" s="50" t="n"/>
      <c r="MPL379" s="50" t="n"/>
      <c r="MPM379" s="50" t="n"/>
      <c r="MPN379" s="50" t="n"/>
      <c r="MPO379" s="50" t="n"/>
      <c r="MPP379" s="50" t="n"/>
      <c r="MPQ379" s="50" t="n"/>
      <c r="MPR379" s="50" t="n"/>
      <c r="MPS379" s="50" t="n"/>
      <c r="MPT379" s="50" t="n"/>
      <c r="MPU379" s="50" t="n"/>
      <c r="MPV379" s="50" t="n"/>
      <c r="MPW379" s="50" t="n"/>
      <c r="MPX379" s="56" t="n"/>
      <c r="MPY379" s="50" t="n"/>
      <c r="MPZ379" s="53" t="n"/>
      <c r="MQA379" s="84" t="n"/>
      <c r="MQB379" s="85" t="n"/>
      <c r="MQC379" s="31" t="n"/>
      <c r="MQD379" s="50" t="n"/>
      <c r="MQE379" s="50" t="n"/>
      <c r="MQF379" s="50" t="n"/>
      <c r="MQG379" s="50" t="n"/>
      <c r="MQH379" s="50" t="n"/>
      <c r="MQI379" s="50" t="n"/>
      <c r="MQJ379" s="50" t="n"/>
      <c r="MQK379" s="50" t="n"/>
      <c r="MQL379" s="50" t="n"/>
      <c r="MQM379" s="50" t="n"/>
      <c r="MQN379" s="50" t="n"/>
      <c r="MQO379" s="50" t="n"/>
      <c r="MQP379" s="50" t="n"/>
      <c r="MQQ379" s="50" t="n"/>
      <c r="MQR379" s="50" t="n"/>
      <c r="MQS379" s="50" t="n"/>
      <c r="MQT379" s="50" t="n"/>
      <c r="MQU379" s="50" t="n"/>
      <c r="MQV379" s="50" t="n"/>
      <c r="MQW379" s="50" t="n"/>
      <c r="MQX379" s="50" t="n"/>
      <c r="MQY379" s="50" t="n"/>
      <c r="MQZ379" s="50" t="n"/>
      <c r="MRA379" s="50" t="n"/>
      <c r="MRB379" s="56" t="n"/>
      <c r="MRC379" s="50" t="n"/>
      <c r="MRD379" s="53" t="n"/>
      <c r="MRE379" s="84" t="n"/>
      <c r="MRF379" s="85" t="n"/>
      <c r="MRG379" s="31" t="n"/>
      <c r="MRH379" s="50" t="n"/>
      <c r="MRI379" s="50" t="n"/>
      <c r="MRJ379" s="50" t="n"/>
      <c r="MRK379" s="50" t="n"/>
      <c r="MRL379" s="50" t="n"/>
      <c r="MRM379" s="50" t="n"/>
      <c r="MRN379" s="50" t="n"/>
      <c r="MRO379" s="50" t="n"/>
      <c r="MRP379" s="50" t="n"/>
      <c r="MRQ379" s="50" t="n"/>
      <c r="MRR379" s="50" t="n"/>
      <c r="MRS379" s="50" t="n"/>
      <c r="MRT379" s="50" t="n"/>
      <c r="MRU379" s="50" t="n"/>
      <c r="MRV379" s="50" t="n"/>
      <c r="MRW379" s="50" t="n"/>
      <c r="MRX379" s="50" t="n"/>
      <c r="MRY379" s="50" t="n"/>
      <c r="MRZ379" s="50" t="n"/>
      <c r="MSA379" s="50" t="n"/>
      <c r="MSB379" s="50" t="n"/>
      <c r="MSC379" s="50" t="n"/>
      <c r="MSD379" s="50" t="n"/>
      <c r="MSE379" s="50" t="n"/>
      <c r="MSF379" s="56" t="n"/>
      <c r="MSG379" s="50" t="n"/>
      <c r="MSH379" s="53" t="n"/>
      <c r="MSI379" s="84" t="n"/>
      <c r="MSJ379" s="85" t="n"/>
      <c r="MSK379" s="31" t="n"/>
      <c r="MSL379" s="50" t="n"/>
      <c r="MSM379" s="50" t="n"/>
      <c r="MSN379" s="50" t="n"/>
      <c r="MSO379" s="50" t="n"/>
      <c r="MSP379" s="50" t="n"/>
      <c r="MSQ379" s="50" t="n"/>
      <c r="MSR379" s="50" t="n"/>
      <c r="MSS379" s="50" t="n"/>
      <c r="MST379" s="50" t="n"/>
      <c r="MSU379" s="50" t="n"/>
      <c r="MSV379" s="50" t="n"/>
      <c r="MSW379" s="50" t="n"/>
      <c r="MSX379" s="50" t="n"/>
      <c r="MSY379" s="50" t="n"/>
      <c r="MSZ379" s="50" t="n"/>
      <c r="MTA379" s="50" t="n"/>
      <c r="MTB379" s="50" t="n"/>
      <c r="MTC379" s="50" t="n"/>
      <c r="MTD379" s="50" t="n"/>
      <c r="MTE379" s="50" t="n"/>
      <c r="MTF379" s="50" t="n"/>
      <c r="MTG379" s="50" t="n"/>
      <c r="MTH379" s="50" t="n"/>
      <c r="MTI379" s="50" t="n"/>
      <c r="MTJ379" s="56" t="n"/>
      <c r="MTK379" s="50" t="n"/>
      <c r="MTL379" s="53" t="n"/>
      <c r="MTM379" s="84" t="n"/>
      <c r="MTN379" s="85" t="n"/>
      <c r="MTO379" s="31" t="n"/>
      <c r="MTP379" s="50" t="n"/>
      <c r="MTQ379" s="50" t="n"/>
      <c r="MTR379" s="50" t="n"/>
      <c r="MTS379" s="50" t="n"/>
      <c r="MTT379" s="50" t="n"/>
      <c r="MTU379" s="50" t="n"/>
      <c r="MTV379" s="50" t="n"/>
      <c r="MTW379" s="50" t="n"/>
      <c r="MTX379" s="50" t="n"/>
      <c r="MTY379" s="50" t="n"/>
      <c r="MTZ379" s="50" t="n"/>
      <c r="MUA379" s="50" t="n"/>
      <c r="MUB379" s="50" t="n"/>
      <c r="MUC379" s="50" t="n"/>
      <c r="MUD379" s="50" t="n"/>
      <c r="MUE379" s="50" t="n"/>
      <c r="MUF379" s="50" t="n"/>
      <c r="MUG379" s="50" t="n"/>
      <c r="MUH379" s="50" t="n"/>
      <c r="MUI379" s="50" t="n"/>
      <c r="MUJ379" s="50" t="n"/>
      <c r="MUK379" s="50" t="n"/>
      <c r="MUL379" s="50" t="n"/>
      <c r="MUM379" s="50" t="n"/>
      <c r="MUN379" s="56" t="n"/>
      <c r="MUO379" s="50" t="n"/>
      <c r="MUP379" s="53" t="n"/>
      <c r="MUQ379" s="84" t="n"/>
      <c r="MUR379" s="85" t="n"/>
      <c r="MUS379" s="31" t="n"/>
      <c r="MUT379" s="50" t="n"/>
      <c r="MUU379" s="50" t="n"/>
      <c r="MUV379" s="50" t="n"/>
      <c r="MUW379" s="50" t="n"/>
      <c r="MUX379" s="50" t="n"/>
      <c r="MUY379" s="50" t="n"/>
      <c r="MUZ379" s="50" t="n"/>
      <c r="MVA379" s="50" t="n"/>
      <c r="MVB379" s="50" t="n"/>
      <c r="MVC379" s="50" t="n"/>
      <c r="MVD379" s="50" t="n"/>
      <c r="MVE379" s="50" t="n"/>
      <c r="MVF379" s="50" t="n"/>
      <c r="MVG379" s="50" t="n"/>
      <c r="MVH379" s="50" t="n"/>
      <c r="MVI379" s="50" t="n"/>
      <c r="MVJ379" s="50" t="n"/>
      <c r="MVK379" s="50" t="n"/>
      <c r="MVL379" s="50" t="n"/>
      <c r="MVM379" s="50" t="n"/>
      <c r="MVN379" s="50" t="n"/>
      <c r="MVO379" s="50" t="n"/>
      <c r="MVP379" s="50" t="n"/>
      <c r="MVQ379" s="50" t="n"/>
      <c r="MVR379" s="56" t="n"/>
      <c r="MVS379" s="50" t="n"/>
      <c r="MVT379" s="53" t="n"/>
      <c r="MVU379" s="84" t="n"/>
      <c r="MVV379" s="85" t="n"/>
      <c r="MVW379" s="31" t="n"/>
      <c r="MVX379" s="50" t="n"/>
      <c r="MVY379" s="50" t="n"/>
      <c r="MVZ379" s="50" t="n"/>
      <c r="MWA379" s="50" t="n"/>
      <c r="MWB379" s="50" t="n"/>
      <c r="MWC379" s="50" t="n"/>
      <c r="MWD379" s="50" t="n"/>
      <c r="MWE379" s="50" t="n"/>
      <c r="MWF379" s="50" t="n"/>
      <c r="MWG379" s="50" t="n"/>
      <c r="MWH379" s="50" t="n"/>
      <c r="MWI379" s="50" t="n"/>
      <c r="MWJ379" s="50" t="n"/>
      <c r="MWK379" s="50" t="n"/>
      <c r="MWL379" s="50" t="n"/>
      <c r="MWM379" s="50" t="n"/>
      <c r="MWN379" s="50" t="n"/>
      <c r="MWO379" s="50" t="n"/>
      <c r="MWP379" s="50" t="n"/>
      <c r="MWQ379" s="50" t="n"/>
      <c r="MWR379" s="50" t="n"/>
      <c r="MWS379" s="50" t="n"/>
      <c r="MWT379" s="50" t="n"/>
      <c r="MWU379" s="50" t="n"/>
      <c r="MWV379" s="56" t="n"/>
      <c r="MWW379" s="50" t="n"/>
      <c r="MWX379" s="53" t="n"/>
      <c r="MWY379" s="84" t="n"/>
      <c r="MWZ379" s="85" t="n"/>
      <c r="MXA379" s="31" t="n"/>
      <c r="MXB379" s="50" t="n"/>
      <c r="MXC379" s="50" t="n"/>
      <c r="MXD379" s="50" t="n"/>
      <c r="MXE379" s="50" t="n"/>
      <c r="MXF379" s="50" t="n"/>
      <c r="MXG379" s="50" t="n"/>
      <c r="MXH379" s="50" t="n"/>
      <c r="MXI379" s="50" t="n"/>
      <c r="MXJ379" s="50" t="n"/>
      <c r="MXK379" s="50" t="n"/>
      <c r="MXL379" s="50" t="n"/>
      <c r="MXM379" s="50" t="n"/>
      <c r="MXN379" s="50" t="n"/>
      <c r="MXO379" s="50" t="n"/>
      <c r="MXP379" s="50" t="n"/>
      <c r="MXQ379" s="50" t="n"/>
      <c r="MXR379" s="50" t="n"/>
      <c r="MXS379" s="50" t="n"/>
      <c r="MXT379" s="50" t="n"/>
      <c r="MXU379" s="50" t="n"/>
      <c r="MXV379" s="50" t="n"/>
      <c r="MXW379" s="50" t="n"/>
      <c r="MXX379" s="50" t="n"/>
      <c r="MXY379" s="50" t="n"/>
      <c r="MXZ379" s="56" t="n"/>
      <c r="MYA379" s="50" t="n"/>
      <c r="MYB379" s="53" t="n"/>
      <c r="MYC379" s="84" t="n"/>
      <c r="MYD379" s="85" t="n"/>
      <c r="MYE379" s="31" t="n"/>
      <c r="MYF379" s="50" t="n"/>
      <c r="MYG379" s="50" t="n"/>
      <c r="MYH379" s="50" t="n"/>
      <c r="MYI379" s="50" t="n"/>
      <c r="MYJ379" s="50" t="n"/>
      <c r="MYK379" s="50" t="n"/>
      <c r="MYL379" s="50" t="n"/>
      <c r="MYM379" s="50" t="n"/>
      <c r="MYN379" s="50" t="n"/>
      <c r="MYO379" s="50" t="n"/>
      <c r="MYP379" s="50" t="n"/>
      <c r="MYQ379" s="50" t="n"/>
      <c r="MYR379" s="50" t="n"/>
      <c r="MYS379" s="50" t="n"/>
      <c r="MYT379" s="50" t="n"/>
      <c r="MYU379" s="50" t="n"/>
      <c r="MYV379" s="50" t="n"/>
      <c r="MYW379" s="50" t="n"/>
      <c r="MYX379" s="50" t="n"/>
      <c r="MYY379" s="50" t="n"/>
      <c r="MYZ379" s="50" t="n"/>
      <c r="MZA379" s="50" t="n"/>
      <c r="MZB379" s="50" t="n"/>
      <c r="MZC379" s="50" t="n"/>
      <c r="MZD379" s="56" t="n"/>
      <c r="MZE379" s="50" t="n"/>
      <c r="MZF379" s="53" t="n"/>
      <c r="MZG379" s="84" t="n"/>
      <c r="MZH379" s="85" t="n"/>
      <c r="MZI379" s="31" t="n"/>
      <c r="MZJ379" s="50" t="n"/>
      <c r="MZK379" s="50" t="n"/>
      <c r="MZL379" s="50" t="n"/>
      <c r="MZM379" s="50" t="n"/>
      <c r="MZN379" s="50" t="n"/>
      <c r="MZO379" s="50" t="n"/>
      <c r="MZP379" s="50" t="n"/>
      <c r="MZQ379" s="50" t="n"/>
      <c r="MZR379" s="50" t="n"/>
      <c r="MZS379" s="50" t="n"/>
      <c r="MZT379" s="50" t="n"/>
      <c r="MZU379" s="50" t="n"/>
      <c r="MZV379" s="50" t="n"/>
      <c r="MZW379" s="50" t="n"/>
      <c r="MZX379" s="50" t="n"/>
      <c r="MZY379" s="50" t="n"/>
      <c r="MZZ379" s="50" t="n"/>
      <c r="NAA379" s="50" t="n"/>
      <c r="NAB379" s="50" t="n"/>
      <c r="NAC379" s="50" t="n"/>
      <c r="NAD379" s="50" t="n"/>
      <c r="NAE379" s="50" t="n"/>
      <c r="NAF379" s="50" t="n"/>
      <c r="NAG379" s="50" t="n"/>
      <c r="NAH379" s="56" t="n"/>
      <c r="NAI379" s="50" t="n"/>
      <c r="NAJ379" s="53" t="n"/>
      <c r="NAK379" s="84" t="n"/>
      <c r="NAL379" s="85" t="n"/>
      <c r="NAM379" s="31" t="n"/>
      <c r="NAN379" s="50" t="n"/>
      <c r="NAO379" s="50" t="n"/>
      <c r="NAP379" s="50" t="n"/>
      <c r="NAQ379" s="50" t="n"/>
      <c r="NAR379" s="50" t="n"/>
      <c r="NAS379" s="50" t="n"/>
      <c r="NAT379" s="50" t="n"/>
      <c r="NAU379" s="50" t="n"/>
      <c r="NAV379" s="50" t="n"/>
      <c r="NAW379" s="50" t="n"/>
      <c r="NAX379" s="50" t="n"/>
      <c r="NAY379" s="50" t="n"/>
      <c r="NAZ379" s="50" t="n"/>
      <c r="NBA379" s="50" t="n"/>
      <c r="NBB379" s="50" t="n"/>
      <c r="NBC379" s="50" t="n"/>
      <c r="NBD379" s="50" t="n"/>
      <c r="NBE379" s="50" t="n"/>
      <c r="NBF379" s="50" t="n"/>
      <c r="NBG379" s="50" t="n"/>
      <c r="NBH379" s="50" t="n"/>
      <c r="NBI379" s="50" t="n"/>
      <c r="NBJ379" s="50" t="n"/>
      <c r="NBK379" s="50" t="n"/>
      <c r="NBL379" s="56" t="n"/>
      <c r="NBM379" s="50" t="n"/>
      <c r="NBN379" s="53" t="n"/>
      <c r="NBO379" s="84" t="n"/>
      <c r="NBP379" s="85" t="n"/>
      <c r="NBQ379" s="31" t="n"/>
      <c r="NBR379" s="50" t="n"/>
      <c r="NBS379" s="50" t="n"/>
      <c r="NBT379" s="50" t="n"/>
      <c r="NBU379" s="50" t="n"/>
      <c r="NBV379" s="50" t="n"/>
      <c r="NBW379" s="50" t="n"/>
      <c r="NBX379" s="50" t="n"/>
      <c r="NBY379" s="50" t="n"/>
      <c r="NBZ379" s="50" t="n"/>
      <c r="NCA379" s="50" t="n"/>
      <c r="NCB379" s="50" t="n"/>
      <c r="NCC379" s="50" t="n"/>
      <c r="NCD379" s="50" t="n"/>
      <c r="NCE379" s="50" t="n"/>
      <c r="NCF379" s="50" t="n"/>
      <c r="NCG379" s="50" t="n"/>
      <c r="NCH379" s="50" t="n"/>
      <c r="NCI379" s="50" t="n"/>
      <c r="NCJ379" s="50" t="n"/>
      <c r="NCK379" s="50" t="n"/>
      <c r="NCL379" s="50" t="n"/>
      <c r="NCM379" s="50" t="n"/>
      <c r="NCN379" s="50" t="n"/>
      <c r="NCO379" s="50" t="n"/>
      <c r="NCP379" s="56" t="n"/>
      <c r="NCQ379" s="50" t="n"/>
      <c r="NCR379" s="53" t="n"/>
      <c r="NCS379" s="84" t="n"/>
      <c r="NCT379" s="85" t="n"/>
      <c r="NCU379" s="31" t="n"/>
      <c r="NCV379" s="50" t="n"/>
      <c r="NCW379" s="50" t="n"/>
      <c r="NCX379" s="50" t="n"/>
      <c r="NCY379" s="50" t="n"/>
      <c r="NCZ379" s="50" t="n"/>
      <c r="NDA379" s="50" t="n"/>
      <c r="NDB379" s="50" t="n"/>
      <c r="NDC379" s="50" t="n"/>
      <c r="NDD379" s="50" t="n"/>
      <c r="NDE379" s="50" t="n"/>
      <c r="NDF379" s="50" t="n"/>
      <c r="NDG379" s="50" t="n"/>
      <c r="NDH379" s="50" t="n"/>
      <c r="NDI379" s="50" t="n"/>
      <c r="NDJ379" s="50" t="n"/>
      <c r="NDK379" s="50" t="n"/>
      <c r="NDL379" s="50" t="n"/>
      <c r="NDM379" s="50" t="n"/>
      <c r="NDN379" s="50" t="n"/>
      <c r="NDO379" s="50" t="n"/>
      <c r="NDP379" s="50" t="n"/>
      <c r="NDQ379" s="50" t="n"/>
      <c r="NDR379" s="50" t="n"/>
      <c r="NDS379" s="50" t="n"/>
      <c r="NDT379" s="56" t="n"/>
      <c r="NDU379" s="50" t="n"/>
      <c r="NDV379" s="53" t="n"/>
      <c r="NDW379" s="84" t="n"/>
      <c r="NDX379" s="85" t="n"/>
      <c r="NDY379" s="31" t="n"/>
      <c r="NDZ379" s="50" t="n"/>
      <c r="NEA379" s="50" t="n"/>
      <c r="NEB379" s="50" t="n"/>
      <c r="NEC379" s="50" t="n"/>
      <c r="NED379" s="50" t="n"/>
      <c r="NEE379" s="50" t="n"/>
      <c r="NEF379" s="50" t="n"/>
      <c r="NEG379" s="50" t="n"/>
      <c r="NEH379" s="50" t="n"/>
      <c r="NEI379" s="50" t="n"/>
      <c r="NEJ379" s="50" t="n"/>
      <c r="NEK379" s="50" t="n"/>
      <c r="NEL379" s="50" t="n"/>
      <c r="NEM379" s="50" t="n"/>
      <c r="NEN379" s="50" t="n"/>
      <c r="NEO379" s="50" t="n"/>
      <c r="NEP379" s="50" t="n"/>
      <c r="NEQ379" s="50" t="n"/>
      <c r="NER379" s="50" t="n"/>
      <c r="NES379" s="50" t="n"/>
      <c r="NET379" s="50" t="n"/>
      <c r="NEU379" s="50" t="n"/>
      <c r="NEV379" s="50" t="n"/>
      <c r="NEW379" s="50" t="n"/>
      <c r="NEX379" s="56" t="n"/>
      <c r="NEY379" s="50" t="n"/>
      <c r="NEZ379" s="53" t="n"/>
      <c r="NFA379" s="84" t="n"/>
      <c r="NFB379" s="85" t="n"/>
      <c r="NFC379" s="31" t="n"/>
      <c r="NFD379" s="50" t="n"/>
      <c r="NFE379" s="50" t="n"/>
      <c r="NFF379" s="50" t="n"/>
      <c r="NFG379" s="50" t="n"/>
      <c r="NFH379" s="50" t="n"/>
      <c r="NFI379" s="50" t="n"/>
      <c r="NFJ379" s="50" t="n"/>
      <c r="NFK379" s="50" t="n"/>
      <c r="NFL379" s="50" t="n"/>
      <c r="NFM379" s="50" t="n"/>
      <c r="NFN379" s="50" t="n"/>
      <c r="NFO379" s="50" t="n"/>
      <c r="NFP379" s="50" t="n"/>
      <c r="NFQ379" s="50" t="n"/>
      <c r="NFR379" s="50" t="n"/>
      <c r="NFS379" s="50" t="n"/>
      <c r="NFT379" s="50" t="n"/>
      <c r="NFU379" s="50" t="n"/>
      <c r="NFV379" s="50" t="n"/>
      <c r="NFW379" s="50" t="n"/>
      <c r="NFX379" s="50" t="n"/>
      <c r="NFY379" s="50" t="n"/>
      <c r="NFZ379" s="50" t="n"/>
      <c r="NGA379" s="50" t="n"/>
      <c r="NGB379" s="56" t="n"/>
      <c r="NGC379" s="50" t="n"/>
      <c r="NGD379" s="53" t="n"/>
      <c r="NGE379" s="84" t="n"/>
      <c r="NGF379" s="85" t="n"/>
      <c r="NGG379" s="31" t="n"/>
      <c r="NGH379" s="50" t="n"/>
      <c r="NGI379" s="50" t="n"/>
      <c r="NGJ379" s="50" t="n"/>
      <c r="NGK379" s="50" t="n"/>
      <c r="NGL379" s="50" t="n"/>
      <c r="NGM379" s="50" t="n"/>
      <c r="NGN379" s="50" t="n"/>
      <c r="NGO379" s="50" t="n"/>
      <c r="NGP379" s="50" t="n"/>
      <c r="NGQ379" s="50" t="n"/>
      <c r="NGR379" s="50" t="n"/>
      <c r="NGS379" s="50" t="n"/>
      <c r="NGT379" s="50" t="n"/>
      <c r="NGU379" s="50" t="n"/>
      <c r="NGV379" s="50" t="n"/>
      <c r="NGW379" s="50" t="n"/>
      <c r="NGX379" s="50" t="n"/>
      <c r="NGY379" s="50" t="n"/>
      <c r="NGZ379" s="50" t="n"/>
      <c r="NHA379" s="50" t="n"/>
      <c r="NHB379" s="50" t="n"/>
      <c r="NHC379" s="50" t="n"/>
      <c r="NHD379" s="50" t="n"/>
      <c r="NHE379" s="50" t="n"/>
      <c r="NHF379" s="56" t="n"/>
      <c r="NHG379" s="50" t="n"/>
      <c r="NHH379" s="53" t="n"/>
      <c r="NHI379" s="84" t="n"/>
      <c r="NHJ379" s="85" t="n"/>
      <c r="NHK379" s="31" t="n"/>
      <c r="NHL379" s="50" t="n"/>
      <c r="NHM379" s="50" t="n"/>
      <c r="NHN379" s="50" t="n"/>
      <c r="NHO379" s="50" t="n"/>
      <c r="NHP379" s="50" t="n"/>
      <c r="NHQ379" s="50" t="n"/>
      <c r="NHR379" s="50" t="n"/>
      <c r="NHS379" s="50" t="n"/>
      <c r="NHT379" s="50" t="n"/>
      <c r="NHU379" s="50" t="n"/>
      <c r="NHV379" s="50" t="n"/>
      <c r="NHW379" s="50" t="n"/>
      <c r="NHX379" s="50" t="n"/>
      <c r="NHY379" s="50" t="n"/>
      <c r="NHZ379" s="50" t="n"/>
      <c r="NIA379" s="50" t="n"/>
      <c r="NIB379" s="50" t="n"/>
      <c r="NIC379" s="50" t="n"/>
      <c r="NID379" s="50" t="n"/>
      <c r="NIE379" s="50" t="n"/>
      <c r="NIF379" s="50" t="n"/>
      <c r="NIG379" s="50" t="n"/>
      <c r="NIH379" s="50" t="n"/>
      <c r="NII379" s="50" t="n"/>
      <c r="NIJ379" s="56" t="n"/>
      <c r="NIK379" s="50" t="n"/>
      <c r="NIL379" s="53" t="n"/>
      <c r="NIM379" s="84" t="n"/>
      <c r="NIN379" s="85" t="n"/>
      <c r="NIO379" s="31" t="n"/>
      <c r="NIP379" s="50" t="n"/>
      <c r="NIQ379" s="50" t="n"/>
      <c r="NIR379" s="50" t="n"/>
      <c r="NIS379" s="50" t="n"/>
      <c r="NIT379" s="50" t="n"/>
      <c r="NIU379" s="50" t="n"/>
      <c r="NIV379" s="50" t="n"/>
      <c r="NIW379" s="50" t="n"/>
      <c r="NIX379" s="50" t="n"/>
      <c r="NIY379" s="50" t="n"/>
      <c r="NIZ379" s="50" t="n"/>
      <c r="NJA379" s="50" t="n"/>
      <c r="NJB379" s="50" t="n"/>
      <c r="NJC379" s="50" t="n"/>
      <c r="NJD379" s="50" t="n"/>
      <c r="NJE379" s="50" t="n"/>
      <c r="NJF379" s="50" t="n"/>
      <c r="NJG379" s="50" t="n"/>
      <c r="NJH379" s="50" t="n"/>
      <c r="NJI379" s="50" t="n"/>
      <c r="NJJ379" s="50" t="n"/>
      <c r="NJK379" s="50" t="n"/>
      <c r="NJL379" s="50" t="n"/>
      <c r="NJM379" s="50" t="n"/>
      <c r="NJN379" s="56" t="n"/>
      <c r="NJO379" s="50" t="n"/>
      <c r="NJP379" s="53" t="n"/>
      <c r="NJQ379" s="84" t="n"/>
      <c r="NJR379" s="85" t="n"/>
      <c r="NJS379" s="31" t="n"/>
      <c r="NJT379" s="50" t="n"/>
      <c r="NJU379" s="50" t="n"/>
      <c r="NJV379" s="50" t="n"/>
      <c r="NJW379" s="50" t="n"/>
      <c r="NJX379" s="50" t="n"/>
      <c r="NJY379" s="50" t="n"/>
      <c r="NJZ379" s="50" t="n"/>
      <c r="NKA379" s="50" t="n"/>
      <c r="NKB379" s="50" t="n"/>
      <c r="NKC379" s="50" t="n"/>
      <c r="NKD379" s="50" t="n"/>
      <c r="NKE379" s="50" t="n"/>
      <c r="NKF379" s="50" t="n"/>
      <c r="NKG379" s="50" t="n"/>
      <c r="NKH379" s="50" t="n"/>
      <c r="NKI379" s="50" t="n"/>
      <c r="NKJ379" s="50" t="n"/>
      <c r="NKK379" s="50" t="n"/>
      <c r="NKL379" s="50" t="n"/>
      <c r="NKM379" s="50" t="n"/>
      <c r="NKN379" s="50" t="n"/>
      <c r="NKO379" s="50" t="n"/>
      <c r="NKP379" s="50" t="n"/>
      <c r="NKQ379" s="50" t="n"/>
      <c r="NKR379" s="56" t="n"/>
      <c r="NKS379" s="50" t="n"/>
      <c r="NKT379" s="53" t="n"/>
      <c r="NKU379" s="84" t="n"/>
      <c r="NKV379" s="85" t="n"/>
      <c r="NKW379" s="31" t="n"/>
      <c r="NKX379" s="50" t="n"/>
      <c r="NKY379" s="50" t="n"/>
      <c r="NKZ379" s="50" t="n"/>
      <c r="NLA379" s="50" t="n"/>
      <c r="NLB379" s="50" t="n"/>
      <c r="NLC379" s="50" t="n"/>
      <c r="NLD379" s="50" t="n"/>
      <c r="NLE379" s="50" t="n"/>
      <c r="NLF379" s="50" t="n"/>
      <c r="NLG379" s="50" t="n"/>
      <c r="NLH379" s="50" t="n"/>
      <c r="NLI379" s="50" t="n"/>
      <c r="NLJ379" s="50" t="n"/>
      <c r="NLK379" s="50" t="n"/>
      <c r="NLL379" s="50" t="n"/>
      <c r="NLM379" s="50" t="n"/>
      <c r="NLN379" s="50" t="n"/>
      <c r="NLO379" s="50" t="n"/>
      <c r="NLP379" s="50" t="n"/>
      <c r="NLQ379" s="50" t="n"/>
      <c r="NLR379" s="50" t="n"/>
      <c r="NLS379" s="50" t="n"/>
      <c r="NLT379" s="50" t="n"/>
      <c r="NLU379" s="50" t="n"/>
      <c r="NLV379" s="56" t="n"/>
      <c r="NLW379" s="50" t="n"/>
      <c r="NLX379" s="53" t="n"/>
      <c r="NLY379" s="84" t="n"/>
      <c r="NLZ379" s="85" t="n"/>
      <c r="NMA379" s="31" t="n"/>
      <c r="NMB379" s="50" t="n"/>
      <c r="NMC379" s="50" t="n"/>
      <c r="NMD379" s="50" t="n"/>
      <c r="NME379" s="50" t="n"/>
      <c r="NMF379" s="50" t="n"/>
      <c r="NMG379" s="50" t="n"/>
      <c r="NMH379" s="50" t="n"/>
      <c r="NMI379" s="50" t="n"/>
      <c r="NMJ379" s="50" t="n"/>
      <c r="NMK379" s="50" t="n"/>
      <c r="NML379" s="50" t="n"/>
      <c r="NMM379" s="50" t="n"/>
      <c r="NMN379" s="50" t="n"/>
      <c r="NMO379" s="50" t="n"/>
      <c r="NMP379" s="50" t="n"/>
      <c r="NMQ379" s="50" t="n"/>
      <c r="NMR379" s="50" t="n"/>
      <c r="NMS379" s="50" t="n"/>
      <c r="NMT379" s="50" t="n"/>
      <c r="NMU379" s="50" t="n"/>
      <c r="NMV379" s="50" t="n"/>
      <c r="NMW379" s="50" t="n"/>
      <c r="NMX379" s="50" t="n"/>
      <c r="NMY379" s="50" t="n"/>
      <c r="NMZ379" s="56" t="n"/>
      <c r="NNA379" s="50" t="n"/>
      <c r="NNB379" s="53" t="n"/>
      <c r="NNC379" s="84" t="n"/>
      <c r="NND379" s="85" t="n"/>
      <c r="NNE379" s="31" t="n"/>
      <c r="NNF379" s="50" t="n"/>
      <c r="NNG379" s="50" t="n"/>
      <c r="NNH379" s="50" t="n"/>
      <c r="NNI379" s="50" t="n"/>
      <c r="NNJ379" s="50" t="n"/>
      <c r="NNK379" s="50" t="n"/>
      <c r="NNL379" s="50" t="n"/>
      <c r="NNM379" s="50" t="n"/>
      <c r="NNN379" s="50" t="n"/>
      <c r="NNO379" s="50" t="n"/>
      <c r="NNP379" s="50" t="n"/>
      <c r="NNQ379" s="50" t="n"/>
      <c r="NNR379" s="50" t="n"/>
      <c r="NNS379" s="50" t="n"/>
      <c r="NNT379" s="50" t="n"/>
      <c r="NNU379" s="50" t="n"/>
      <c r="NNV379" s="50" t="n"/>
      <c r="NNW379" s="50" t="n"/>
      <c r="NNX379" s="50" t="n"/>
      <c r="NNY379" s="50" t="n"/>
      <c r="NNZ379" s="50" t="n"/>
      <c r="NOA379" s="50" t="n"/>
      <c r="NOB379" s="50" t="n"/>
      <c r="NOC379" s="50" t="n"/>
      <c r="NOD379" s="56" t="n"/>
      <c r="NOE379" s="50" t="n"/>
      <c r="NOF379" s="53" t="n"/>
      <c r="NOG379" s="84" t="n"/>
      <c r="NOH379" s="85" t="n"/>
      <c r="NOI379" s="31" t="n"/>
      <c r="NOJ379" s="50" t="n"/>
      <c r="NOK379" s="50" t="n"/>
      <c r="NOL379" s="50" t="n"/>
      <c r="NOM379" s="50" t="n"/>
      <c r="NON379" s="50" t="n"/>
      <c r="NOO379" s="50" t="n"/>
      <c r="NOP379" s="50" t="n"/>
      <c r="NOQ379" s="50" t="n"/>
      <c r="NOR379" s="50" t="n"/>
      <c r="NOS379" s="50" t="n"/>
      <c r="NOT379" s="50" t="n"/>
      <c r="NOU379" s="50" t="n"/>
      <c r="NOV379" s="50" t="n"/>
      <c r="NOW379" s="50" t="n"/>
      <c r="NOX379" s="50" t="n"/>
      <c r="NOY379" s="50" t="n"/>
      <c r="NOZ379" s="50" t="n"/>
      <c r="NPA379" s="50" t="n"/>
      <c r="NPB379" s="50" t="n"/>
      <c r="NPC379" s="50" t="n"/>
      <c r="NPD379" s="50" t="n"/>
      <c r="NPE379" s="50" t="n"/>
      <c r="NPF379" s="50" t="n"/>
      <c r="NPG379" s="50" t="n"/>
      <c r="NPH379" s="56" t="n"/>
      <c r="NPI379" s="50" t="n"/>
      <c r="NPJ379" s="53" t="n"/>
      <c r="NPK379" s="84" t="n"/>
      <c r="NPL379" s="85" t="n"/>
      <c r="NPM379" s="31" t="n"/>
      <c r="NPN379" s="50" t="n"/>
      <c r="NPO379" s="50" t="n"/>
      <c r="NPP379" s="50" t="n"/>
      <c r="NPQ379" s="50" t="n"/>
      <c r="NPR379" s="50" t="n"/>
      <c r="NPS379" s="50" t="n"/>
      <c r="NPT379" s="50" t="n"/>
      <c r="NPU379" s="50" t="n"/>
      <c r="NPV379" s="50" t="n"/>
      <c r="NPW379" s="50" t="n"/>
      <c r="NPX379" s="50" t="n"/>
      <c r="NPY379" s="50" t="n"/>
      <c r="NPZ379" s="50" t="n"/>
      <c r="NQA379" s="50" t="n"/>
      <c r="NQB379" s="50" t="n"/>
      <c r="NQC379" s="50" t="n"/>
      <c r="NQD379" s="50" t="n"/>
      <c r="NQE379" s="50" t="n"/>
      <c r="NQF379" s="50" t="n"/>
      <c r="NQG379" s="50" t="n"/>
      <c r="NQH379" s="50" t="n"/>
      <c r="NQI379" s="50" t="n"/>
      <c r="NQJ379" s="50" t="n"/>
      <c r="NQK379" s="50" t="n"/>
      <c r="NQL379" s="56" t="n"/>
      <c r="NQM379" s="50" t="n"/>
      <c r="NQN379" s="53" t="n"/>
      <c r="NQO379" s="84" t="n"/>
      <c r="NQP379" s="85" t="n"/>
      <c r="NQQ379" s="31" t="n"/>
      <c r="NQR379" s="50" t="n"/>
      <c r="NQS379" s="50" t="n"/>
      <c r="NQT379" s="50" t="n"/>
      <c r="NQU379" s="50" t="n"/>
      <c r="NQV379" s="50" t="n"/>
      <c r="NQW379" s="50" t="n"/>
      <c r="NQX379" s="50" t="n"/>
      <c r="NQY379" s="50" t="n"/>
      <c r="NQZ379" s="50" t="n"/>
      <c r="NRA379" s="50" t="n"/>
      <c r="NRB379" s="50" t="n"/>
      <c r="NRC379" s="50" t="n"/>
      <c r="NRD379" s="50" t="n"/>
      <c r="NRE379" s="50" t="n"/>
      <c r="NRF379" s="50" t="n"/>
      <c r="NRG379" s="50" t="n"/>
      <c r="NRH379" s="50" t="n"/>
      <c r="NRI379" s="50" t="n"/>
      <c r="NRJ379" s="50" t="n"/>
      <c r="NRK379" s="50" t="n"/>
      <c r="NRL379" s="50" t="n"/>
      <c r="NRM379" s="50" t="n"/>
      <c r="NRN379" s="50" t="n"/>
      <c r="NRO379" s="50" t="n"/>
      <c r="NRP379" s="56" t="n"/>
      <c r="NRQ379" s="50" t="n"/>
      <c r="NRR379" s="53" t="n"/>
      <c r="NRS379" s="84" t="n"/>
      <c r="NRT379" s="85" t="n"/>
      <c r="NRU379" s="31" t="n"/>
      <c r="NRV379" s="50" t="n"/>
      <c r="NRW379" s="50" t="n"/>
      <c r="NRX379" s="50" t="n"/>
      <c r="NRY379" s="50" t="n"/>
      <c r="NRZ379" s="50" t="n"/>
      <c r="NSA379" s="50" t="n"/>
      <c r="NSB379" s="50" t="n"/>
      <c r="NSC379" s="50" t="n"/>
      <c r="NSD379" s="50" t="n"/>
      <c r="NSE379" s="50" t="n"/>
      <c r="NSF379" s="50" t="n"/>
      <c r="NSG379" s="50" t="n"/>
      <c r="NSH379" s="50" t="n"/>
      <c r="NSI379" s="50" t="n"/>
      <c r="NSJ379" s="50" t="n"/>
      <c r="NSK379" s="50" t="n"/>
      <c r="NSL379" s="50" t="n"/>
      <c r="NSM379" s="50" t="n"/>
      <c r="NSN379" s="50" t="n"/>
      <c r="NSO379" s="50" t="n"/>
      <c r="NSP379" s="50" t="n"/>
      <c r="NSQ379" s="50" t="n"/>
      <c r="NSR379" s="50" t="n"/>
      <c r="NSS379" s="50" t="n"/>
      <c r="NST379" s="56" t="n"/>
      <c r="NSU379" s="50" t="n"/>
      <c r="NSV379" s="53" t="n"/>
      <c r="NSW379" s="84" t="n"/>
      <c r="NSX379" s="85" t="n"/>
      <c r="NSY379" s="31" t="n"/>
      <c r="NSZ379" s="50" t="n"/>
      <c r="NTA379" s="50" t="n"/>
      <c r="NTB379" s="50" t="n"/>
      <c r="NTC379" s="50" t="n"/>
      <c r="NTD379" s="50" t="n"/>
      <c r="NTE379" s="50" t="n"/>
      <c r="NTF379" s="50" t="n"/>
      <c r="NTG379" s="50" t="n"/>
      <c r="NTH379" s="50" t="n"/>
      <c r="NTI379" s="50" t="n"/>
      <c r="NTJ379" s="50" t="n"/>
      <c r="NTK379" s="50" t="n"/>
      <c r="NTL379" s="50" t="n"/>
      <c r="NTM379" s="50" t="n"/>
      <c r="NTN379" s="50" t="n"/>
      <c r="NTO379" s="50" t="n"/>
      <c r="NTP379" s="50" t="n"/>
      <c r="NTQ379" s="50" t="n"/>
      <c r="NTR379" s="50" t="n"/>
      <c r="NTS379" s="50" t="n"/>
      <c r="NTT379" s="50" t="n"/>
      <c r="NTU379" s="50" t="n"/>
      <c r="NTV379" s="50" t="n"/>
      <c r="NTW379" s="50" t="n"/>
      <c r="NTX379" s="56" t="n"/>
      <c r="NTY379" s="50" t="n"/>
      <c r="NTZ379" s="53" t="n"/>
      <c r="NUA379" s="84" t="n"/>
      <c r="NUB379" s="85" t="n"/>
      <c r="NUC379" s="31" t="n"/>
      <c r="NUD379" s="50" t="n"/>
      <c r="NUE379" s="50" t="n"/>
      <c r="NUF379" s="50" t="n"/>
      <c r="NUG379" s="50" t="n"/>
      <c r="NUH379" s="50" t="n"/>
      <c r="NUI379" s="50" t="n"/>
      <c r="NUJ379" s="50" t="n"/>
      <c r="NUK379" s="50" t="n"/>
      <c r="NUL379" s="50" t="n"/>
      <c r="NUM379" s="50" t="n"/>
      <c r="NUN379" s="50" t="n"/>
      <c r="NUO379" s="50" t="n"/>
      <c r="NUP379" s="50" t="n"/>
      <c r="NUQ379" s="50" t="n"/>
      <c r="NUR379" s="50" t="n"/>
      <c r="NUS379" s="50" t="n"/>
      <c r="NUT379" s="50" t="n"/>
      <c r="NUU379" s="50" t="n"/>
      <c r="NUV379" s="50" t="n"/>
      <c r="NUW379" s="50" t="n"/>
      <c r="NUX379" s="50" t="n"/>
      <c r="NUY379" s="50" t="n"/>
      <c r="NUZ379" s="50" t="n"/>
      <c r="NVA379" s="50" t="n"/>
      <c r="NVB379" s="56" t="n"/>
      <c r="NVC379" s="50" t="n"/>
      <c r="NVD379" s="53" t="n"/>
      <c r="NVE379" s="84" t="n"/>
      <c r="NVF379" s="85" t="n"/>
      <c r="NVG379" s="31" t="n"/>
      <c r="NVH379" s="50" t="n"/>
      <c r="NVI379" s="50" t="n"/>
      <c r="NVJ379" s="50" t="n"/>
      <c r="NVK379" s="50" t="n"/>
      <c r="NVL379" s="50" t="n"/>
      <c r="NVM379" s="50" t="n"/>
      <c r="NVN379" s="50" t="n"/>
      <c r="NVO379" s="50" t="n"/>
      <c r="NVP379" s="50" t="n"/>
      <c r="NVQ379" s="50" t="n"/>
      <c r="NVR379" s="50" t="n"/>
      <c r="NVS379" s="50" t="n"/>
      <c r="NVT379" s="50" t="n"/>
      <c r="NVU379" s="50" t="n"/>
      <c r="NVV379" s="50" t="n"/>
      <c r="NVW379" s="50" t="n"/>
      <c r="NVX379" s="50" t="n"/>
      <c r="NVY379" s="50" t="n"/>
      <c r="NVZ379" s="50" t="n"/>
      <c r="NWA379" s="50" t="n"/>
      <c r="NWB379" s="50" t="n"/>
      <c r="NWC379" s="50" t="n"/>
      <c r="NWD379" s="50" t="n"/>
      <c r="NWE379" s="50" t="n"/>
      <c r="NWF379" s="56" t="n"/>
      <c r="NWG379" s="50" t="n"/>
      <c r="NWH379" s="53" t="n"/>
      <c r="NWI379" s="84" t="n"/>
      <c r="NWJ379" s="85" t="n"/>
      <c r="NWK379" s="31" t="n"/>
      <c r="NWL379" s="50" t="n"/>
      <c r="NWM379" s="50" t="n"/>
      <c r="NWN379" s="50" t="n"/>
      <c r="NWO379" s="50" t="n"/>
      <c r="NWP379" s="50" t="n"/>
      <c r="NWQ379" s="50" t="n"/>
      <c r="NWR379" s="50" t="n"/>
      <c r="NWS379" s="50" t="n"/>
      <c r="NWT379" s="50" t="n"/>
      <c r="NWU379" s="50" t="n"/>
      <c r="NWV379" s="50" t="n"/>
      <c r="NWW379" s="50" t="n"/>
      <c r="NWX379" s="50" t="n"/>
      <c r="NWY379" s="50" t="n"/>
      <c r="NWZ379" s="50" t="n"/>
      <c r="NXA379" s="50" t="n"/>
      <c r="NXB379" s="50" t="n"/>
      <c r="NXC379" s="50" t="n"/>
      <c r="NXD379" s="50" t="n"/>
      <c r="NXE379" s="50" t="n"/>
      <c r="NXF379" s="50" t="n"/>
      <c r="NXG379" s="50" t="n"/>
      <c r="NXH379" s="50" t="n"/>
      <c r="NXI379" s="50" t="n"/>
      <c r="NXJ379" s="56" t="n"/>
      <c r="NXK379" s="50" t="n"/>
      <c r="NXL379" s="53" t="n"/>
      <c r="NXM379" s="84" t="n"/>
      <c r="NXN379" s="85" t="n"/>
      <c r="NXO379" s="31" t="n"/>
      <c r="NXP379" s="50" t="n"/>
      <c r="NXQ379" s="50" t="n"/>
      <c r="NXR379" s="50" t="n"/>
      <c r="NXS379" s="50" t="n"/>
      <c r="NXT379" s="50" t="n"/>
      <c r="NXU379" s="50" t="n"/>
      <c r="NXV379" s="50" t="n"/>
      <c r="NXW379" s="50" t="n"/>
      <c r="NXX379" s="50" t="n"/>
      <c r="NXY379" s="50" t="n"/>
      <c r="NXZ379" s="50" t="n"/>
      <c r="NYA379" s="50" t="n"/>
      <c r="NYB379" s="50" t="n"/>
      <c r="NYC379" s="50" t="n"/>
      <c r="NYD379" s="50" t="n"/>
      <c r="NYE379" s="50" t="n"/>
      <c r="NYF379" s="50" t="n"/>
      <c r="NYG379" s="50" t="n"/>
      <c r="NYH379" s="50" t="n"/>
      <c r="NYI379" s="50" t="n"/>
      <c r="NYJ379" s="50" t="n"/>
      <c r="NYK379" s="50" t="n"/>
      <c r="NYL379" s="50" t="n"/>
      <c r="NYM379" s="50" t="n"/>
      <c r="NYN379" s="56" t="n"/>
      <c r="NYO379" s="50" t="n"/>
      <c r="NYP379" s="53" t="n"/>
      <c r="NYQ379" s="84" t="n"/>
      <c r="NYR379" s="85" t="n"/>
      <c r="NYS379" s="31" t="n"/>
      <c r="NYT379" s="50" t="n"/>
      <c r="NYU379" s="50" t="n"/>
      <c r="NYV379" s="50" t="n"/>
      <c r="NYW379" s="50" t="n"/>
      <c r="NYX379" s="50" t="n"/>
      <c r="NYY379" s="50" t="n"/>
      <c r="NYZ379" s="50" t="n"/>
      <c r="NZA379" s="50" t="n"/>
      <c r="NZB379" s="50" t="n"/>
      <c r="NZC379" s="50" t="n"/>
      <c r="NZD379" s="50" t="n"/>
      <c r="NZE379" s="50" t="n"/>
      <c r="NZF379" s="50" t="n"/>
      <c r="NZG379" s="50" t="n"/>
      <c r="NZH379" s="50" t="n"/>
      <c r="NZI379" s="50" t="n"/>
      <c r="NZJ379" s="50" t="n"/>
      <c r="NZK379" s="50" t="n"/>
      <c r="NZL379" s="50" t="n"/>
      <c r="NZM379" s="50" t="n"/>
      <c r="NZN379" s="50" t="n"/>
      <c r="NZO379" s="50" t="n"/>
      <c r="NZP379" s="50" t="n"/>
      <c r="NZQ379" s="50" t="n"/>
      <c r="NZR379" s="56" t="n"/>
      <c r="NZS379" s="50" t="n"/>
      <c r="NZT379" s="53" t="n"/>
      <c r="NZU379" s="84" t="n"/>
      <c r="NZV379" s="85" t="n"/>
      <c r="NZW379" s="31" t="n"/>
      <c r="NZX379" s="50" t="n"/>
      <c r="NZY379" s="50" t="n"/>
      <c r="NZZ379" s="50" t="n"/>
      <c r="OAA379" s="50" t="n"/>
      <c r="OAB379" s="50" t="n"/>
      <c r="OAC379" s="50" t="n"/>
      <c r="OAD379" s="50" t="n"/>
      <c r="OAE379" s="50" t="n"/>
      <c r="OAF379" s="50" t="n"/>
      <c r="OAG379" s="50" t="n"/>
      <c r="OAH379" s="50" t="n"/>
      <c r="OAI379" s="50" t="n"/>
      <c r="OAJ379" s="50" t="n"/>
      <c r="OAK379" s="50" t="n"/>
      <c r="OAL379" s="50" t="n"/>
      <c r="OAM379" s="50" t="n"/>
      <c r="OAN379" s="50" t="n"/>
      <c r="OAO379" s="50" t="n"/>
      <c r="OAP379" s="50" t="n"/>
      <c r="OAQ379" s="50" t="n"/>
      <c r="OAR379" s="50" t="n"/>
      <c r="OAS379" s="50" t="n"/>
      <c r="OAT379" s="50" t="n"/>
      <c r="OAU379" s="50" t="n"/>
      <c r="OAV379" s="56" t="n"/>
      <c r="OAW379" s="50" t="n"/>
      <c r="OAX379" s="53" t="n"/>
      <c r="OAY379" s="84" t="n"/>
      <c r="OAZ379" s="85" t="n"/>
      <c r="OBA379" s="31" t="n"/>
      <c r="OBB379" s="50" t="n"/>
      <c r="OBC379" s="50" t="n"/>
      <c r="OBD379" s="50" t="n"/>
      <c r="OBE379" s="50" t="n"/>
      <c r="OBF379" s="50" t="n"/>
      <c r="OBG379" s="50" t="n"/>
      <c r="OBH379" s="50" t="n"/>
      <c r="OBI379" s="50" t="n"/>
      <c r="OBJ379" s="50" t="n"/>
      <c r="OBK379" s="50" t="n"/>
      <c r="OBL379" s="50" t="n"/>
      <c r="OBM379" s="50" t="n"/>
      <c r="OBN379" s="50" t="n"/>
      <c r="OBO379" s="50" t="n"/>
      <c r="OBP379" s="50" t="n"/>
      <c r="OBQ379" s="50" t="n"/>
      <c r="OBR379" s="50" t="n"/>
      <c r="OBS379" s="50" t="n"/>
      <c r="OBT379" s="50" t="n"/>
      <c r="OBU379" s="50" t="n"/>
      <c r="OBV379" s="50" t="n"/>
      <c r="OBW379" s="50" t="n"/>
      <c r="OBX379" s="50" t="n"/>
      <c r="OBY379" s="50" t="n"/>
      <c r="OBZ379" s="56" t="n"/>
      <c r="OCA379" s="50" t="n"/>
      <c r="OCB379" s="53" t="n"/>
      <c r="OCC379" s="84" t="n"/>
      <c r="OCD379" s="85" t="n"/>
      <c r="OCE379" s="31" t="n"/>
      <c r="OCF379" s="50" t="n"/>
      <c r="OCG379" s="50" t="n"/>
      <c r="OCH379" s="50" t="n"/>
      <c r="OCI379" s="50" t="n"/>
      <c r="OCJ379" s="50" t="n"/>
      <c r="OCK379" s="50" t="n"/>
      <c r="OCL379" s="50" t="n"/>
      <c r="OCM379" s="50" t="n"/>
      <c r="OCN379" s="50" t="n"/>
      <c r="OCO379" s="50" t="n"/>
      <c r="OCP379" s="50" t="n"/>
      <c r="OCQ379" s="50" t="n"/>
      <c r="OCR379" s="50" t="n"/>
      <c r="OCS379" s="50" t="n"/>
      <c r="OCT379" s="50" t="n"/>
      <c r="OCU379" s="50" t="n"/>
      <c r="OCV379" s="50" t="n"/>
      <c r="OCW379" s="50" t="n"/>
      <c r="OCX379" s="50" t="n"/>
      <c r="OCY379" s="50" t="n"/>
      <c r="OCZ379" s="50" t="n"/>
      <c r="ODA379" s="50" t="n"/>
      <c r="ODB379" s="50" t="n"/>
      <c r="ODC379" s="50" t="n"/>
      <c r="ODD379" s="56" t="n"/>
      <c r="ODE379" s="50" t="n"/>
      <c r="ODF379" s="53" t="n"/>
      <c r="ODG379" s="84" t="n"/>
      <c r="ODH379" s="85" t="n"/>
      <c r="ODI379" s="31" t="n"/>
      <c r="ODJ379" s="50" t="n"/>
      <c r="ODK379" s="50" t="n"/>
      <c r="ODL379" s="50" t="n"/>
      <c r="ODM379" s="50" t="n"/>
      <c r="ODN379" s="50" t="n"/>
      <c r="ODO379" s="50" t="n"/>
      <c r="ODP379" s="50" t="n"/>
      <c r="ODQ379" s="50" t="n"/>
      <c r="ODR379" s="50" t="n"/>
      <c r="ODS379" s="50" t="n"/>
      <c r="ODT379" s="50" t="n"/>
      <c r="ODU379" s="50" t="n"/>
      <c r="ODV379" s="50" t="n"/>
      <c r="ODW379" s="50" t="n"/>
      <c r="ODX379" s="50" t="n"/>
      <c r="ODY379" s="50" t="n"/>
      <c r="ODZ379" s="50" t="n"/>
      <c r="OEA379" s="50" t="n"/>
      <c r="OEB379" s="50" t="n"/>
      <c r="OEC379" s="50" t="n"/>
      <c r="OED379" s="50" t="n"/>
      <c r="OEE379" s="50" t="n"/>
      <c r="OEF379" s="50" t="n"/>
      <c r="OEG379" s="50" t="n"/>
      <c r="OEH379" s="56" t="n"/>
      <c r="OEI379" s="50" t="n"/>
      <c r="OEJ379" s="53" t="n"/>
      <c r="OEK379" s="84" t="n"/>
      <c r="OEL379" s="85" t="n"/>
      <c r="OEM379" s="31" t="n"/>
      <c r="OEN379" s="50" t="n"/>
      <c r="OEO379" s="50" t="n"/>
      <c r="OEP379" s="50" t="n"/>
      <c r="OEQ379" s="50" t="n"/>
      <c r="OER379" s="50" t="n"/>
      <c r="OES379" s="50" t="n"/>
      <c r="OET379" s="50" t="n"/>
      <c r="OEU379" s="50" t="n"/>
      <c r="OEV379" s="50" t="n"/>
      <c r="OEW379" s="50" t="n"/>
      <c r="OEX379" s="50" t="n"/>
      <c r="OEY379" s="50" t="n"/>
      <c r="OEZ379" s="50" t="n"/>
      <c r="OFA379" s="50" t="n"/>
      <c r="OFB379" s="50" t="n"/>
      <c r="OFC379" s="50" t="n"/>
      <c r="OFD379" s="50" t="n"/>
      <c r="OFE379" s="50" t="n"/>
      <c r="OFF379" s="50" t="n"/>
      <c r="OFG379" s="50" t="n"/>
      <c r="OFH379" s="50" t="n"/>
      <c r="OFI379" s="50" t="n"/>
      <c r="OFJ379" s="50" t="n"/>
      <c r="OFK379" s="50" t="n"/>
      <c r="OFL379" s="56" t="n"/>
      <c r="OFM379" s="50" t="n"/>
      <c r="OFN379" s="53" t="n"/>
      <c r="OFO379" s="84" t="n"/>
      <c r="OFP379" s="85" t="n"/>
      <c r="OFQ379" s="31" t="n"/>
      <c r="OFR379" s="50" t="n"/>
      <c r="OFS379" s="50" t="n"/>
      <c r="OFT379" s="50" t="n"/>
      <c r="OFU379" s="50" t="n"/>
      <c r="OFV379" s="50" t="n"/>
      <c r="OFW379" s="50" t="n"/>
      <c r="OFX379" s="50" t="n"/>
      <c r="OFY379" s="50" t="n"/>
      <c r="OFZ379" s="50" t="n"/>
      <c r="OGA379" s="50" t="n"/>
      <c r="OGB379" s="50" t="n"/>
      <c r="OGC379" s="50" t="n"/>
      <c r="OGD379" s="50" t="n"/>
      <c r="OGE379" s="50" t="n"/>
      <c r="OGF379" s="50" t="n"/>
      <c r="OGG379" s="50" t="n"/>
      <c r="OGH379" s="50" t="n"/>
      <c r="OGI379" s="50" t="n"/>
      <c r="OGJ379" s="50" t="n"/>
      <c r="OGK379" s="50" t="n"/>
      <c r="OGL379" s="50" t="n"/>
      <c r="OGM379" s="50" t="n"/>
      <c r="OGN379" s="50" t="n"/>
      <c r="OGO379" s="50" t="n"/>
      <c r="OGP379" s="56" t="n"/>
      <c r="OGQ379" s="50" t="n"/>
      <c r="OGR379" s="53" t="n"/>
      <c r="OGS379" s="84" t="n"/>
      <c r="OGT379" s="85" t="n"/>
      <c r="OGU379" s="31" t="n"/>
      <c r="OGV379" s="50" t="n"/>
      <c r="OGW379" s="50" t="n"/>
      <c r="OGX379" s="50" t="n"/>
      <c r="OGY379" s="50" t="n"/>
      <c r="OGZ379" s="50" t="n"/>
      <c r="OHA379" s="50" t="n"/>
      <c r="OHB379" s="50" t="n"/>
      <c r="OHC379" s="50" t="n"/>
      <c r="OHD379" s="50" t="n"/>
      <c r="OHE379" s="50" t="n"/>
      <c r="OHF379" s="50" t="n"/>
      <c r="OHG379" s="50" t="n"/>
      <c r="OHH379" s="50" t="n"/>
      <c r="OHI379" s="50" t="n"/>
      <c r="OHJ379" s="50" t="n"/>
      <c r="OHK379" s="50" t="n"/>
      <c r="OHL379" s="50" t="n"/>
      <c r="OHM379" s="50" t="n"/>
      <c r="OHN379" s="50" t="n"/>
      <c r="OHO379" s="50" t="n"/>
      <c r="OHP379" s="50" t="n"/>
      <c r="OHQ379" s="50" t="n"/>
      <c r="OHR379" s="50" t="n"/>
      <c r="OHS379" s="50" t="n"/>
      <c r="OHT379" s="56" t="n"/>
      <c r="OHU379" s="50" t="n"/>
      <c r="OHV379" s="53" t="n"/>
      <c r="OHW379" s="84" t="n"/>
      <c r="OHX379" s="85" t="n"/>
      <c r="OHY379" s="31" t="n"/>
      <c r="OHZ379" s="50" t="n"/>
      <c r="OIA379" s="50" t="n"/>
      <c r="OIB379" s="50" t="n"/>
      <c r="OIC379" s="50" t="n"/>
      <c r="OID379" s="50" t="n"/>
      <c r="OIE379" s="50" t="n"/>
      <c r="OIF379" s="50" t="n"/>
      <c r="OIG379" s="50" t="n"/>
      <c r="OIH379" s="50" t="n"/>
      <c r="OII379" s="50" t="n"/>
      <c r="OIJ379" s="50" t="n"/>
      <c r="OIK379" s="50" t="n"/>
      <c r="OIL379" s="50" t="n"/>
      <c r="OIM379" s="50" t="n"/>
      <c r="OIN379" s="50" t="n"/>
      <c r="OIO379" s="50" t="n"/>
      <c r="OIP379" s="50" t="n"/>
      <c r="OIQ379" s="50" t="n"/>
      <c r="OIR379" s="50" t="n"/>
      <c r="OIS379" s="50" t="n"/>
      <c r="OIT379" s="50" t="n"/>
      <c r="OIU379" s="50" t="n"/>
      <c r="OIV379" s="50" t="n"/>
      <c r="OIW379" s="50" t="n"/>
      <c r="OIX379" s="56" t="n"/>
      <c r="OIY379" s="50" t="n"/>
      <c r="OIZ379" s="53" t="n"/>
      <c r="OJA379" s="84" t="n"/>
      <c r="OJB379" s="85" t="n"/>
      <c r="OJC379" s="31" t="n"/>
      <c r="OJD379" s="50" t="n"/>
      <c r="OJE379" s="50" t="n"/>
      <c r="OJF379" s="50" t="n"/>
      <c r="OJG379" s="50" t="n"/>
      <c r="OJH379" s="50" t="n"/>
      <c r="OJI379" s="50" t="n"/>
      <c r="OJJ379" s="50" t="n"/>
      <c r="OJK379" s="50" t="n"/>
      <c r="OJL379" s="50" t="n"/>
      <c r="OJM379" s="50" t="n"/>
      <c r="OJN379" s="50" t="n"/>
      <c r="OJO379" s="50" t="n"/>
      <c r="OJP379" s="50" t="n"/>
      <c r="OJQ379" s="50" t="n"/>
      <c r="OJR379" s="50" t="n"/>
      <c r="OJS379" s="50" t="n"/>
      <c r="OJT379" s="50" t="n"/>
      <c r="OJU379" s="50" t="n"/>
      <c r="OJV379" s="50" t="n"/>
      <c r="OJW379" s="50" t="n"/>
      <c r="OJX379" s="50" t="n"/>
      <c r="OJY379" s="50" t="n"/>
      <c r="OJZ379" s="50" t="n"/>
      <c r="OKA379" s="50" t="n"/>
      <c r="OKB379" s="56" t="n"/>
      <c r="OKC379" s="50" t="n"/>
      <c r="OKD379" s="53" t="n"/>
      <c r="OKE379" s="84" t="n"/>
      <c r="OKF379" s="85" t="n"/>
      <c r="OKG379" s="31" t="n"/>
      <c r="OKH379" s="50" t="n"/>
      <c r="OKI379" s="50" t="n"/>
      <c r="OKJ379" s="50" t="n"/>
      <c r="OKK379" s="50" t="n"/>
      <c r="OKL379" s="50" t="n"/>
      <c r="OKM379" s="50" t="n"/>
      <c r="OKN379" s="50" t="n"/>
      <c r="OKO379" s="50" t="n"/>
      <c r="OKP379" s="50" t="n"/>
      <c r="OKQ379" s="50" t="n"/>
      <c r="OKR379" s="50" t="n"/>
      <c r="OKS379" s="50" t="n"/>
      <c r="OKT379" s="50" t="n"/>
      <c r="OKU379" s="50" t="n"/>
      <c r="OKV379" s="50" t="n"/>
      <c r="OKW379" s="50" t="n"/>
      <c r="OKX379" s="50" t="n"/>
      <c r="OKY379" s="50" t="n"/>
      <c r="OKZ379" s="50" t="n"/>
      <c r="OLA379" s="50" t="n"/>
      <c r="OLB379" s="50" t="n"/>
      <c r="OLC379" s="50" t="n"/>
      <c r="OLD379" s="50" t="n"/>
      <c r="OLE379" s="50" t="n"/>
      <c r="OLF379" s="56" t="n"/>
      <c r="OLG379" s="50" t="n"/>
      <c r="OLH379" s="53" t="n"/>
      <c r="OLI379" s="84" t="n"/>
      <c r="OLJ379" s="85" t="n"/>
      <c r="OLK379" s="31" t="n"/>
      <c r="OLL379" s="50" t="n"/>
      <c r="OLM379" s="50" t="n"/>
      <c r="OLN379" s="50" t="n"/>
      <c r="OLO379" s="50" t="n"/>
      <c r="OLP379" s="50" t="n"/>
      <c r="OLQ379" s="50" t="n"/>
      <c r="OLR379" s="50" t="n"/>
      <c r="OLS379" s="50" t="n"/>
      <c r="OLT379" s="50" t="n"/>
      <c r="OLU379" s="50" t="n"/>
      <c r="OLV379" s="50" t="n"/>
      <c r="OLW379" s="50" t="n"/>
      <c r="OLX379" s="50" t="n"/>
      <c r="OLY379" s="50" t="n"/>
      <c r="OLZ379" s="50" t="n"/>
      <c r="OMA379" s="50" t="n"/>
      <c r="OMB379" s="50" t="n"/>
      <c r="OMC379" s="50" t="n"/>
      <c r="OMD379" s="50" t="n"/>
      <c r="OME379" s="50" t="n"/>
      <c r="OMF379" s="50" t="n"/>
      <c r="OMG379" s="50" t="n"/>
      <c r="OMH379" s="50" t="n"/>
      <c r="OMI379" s="50" t="n"/>
      <c r="OMJ379" s="56" t="n"/>
      <c r="OMK379" s="50" t="n"/>
      <c r="OML379" s="53" t="n"/>
      <c r="OMM379" s="84" t="n"/>
      <c r="OMN379" s="85" t="n"/>
      <c r="OMO379" s="31" t="n"/>
      <c r="OMP379" s="50" t="n"/>
      <c r="OMQ379" s="50" t="n"/>
      <c r="OMR379" s="50" t="n"/>
      <c r="OMS379" s="50" t="n"/>
      <c r="OMT379" s="50" t="n"/>
      <c r="OMU379" s="50" t="n"/>
      <c r="OMV379" s="50" t="n"/>
      <c r="OMW379" s="50" t="n"/>
      <c r="OMX379" s="50" t="n"/>
      <c r="OMY379" s="50" t="n"/>
      <c r="OMZ379" s="50" t="n"/>
      <c r="ONA379" s="50" t="n"/>
      <c r="ONB379" s="50" t="n"/>
      <c r="ONC379" s="50" t="n"/>
      <c r="OND379" s="50" t="n"/>
      <c r="ONE379" s="50" t="n"/>
      <c r="ONF379" s="50" t="n"/>
      <c r="ONG379" s="50" t="n"/>
      <c r="ONH379" s="50" t="n"/>
      <c r="ONI379" s="50" t="n"/>
      <c r="ONJ379" s="50" t="n"/>
      <c r="ONK379" s="50" t="n"/>
      <c r="ONL379" s="50" t="n"/>
      <c r="ONM379" s="50" t="n"/>
      <c r="ONN379" s="56" t="n"/>
      <c r="ONO379" s="50" t="n"/>
      <c r="ONP379" s="53" t="n"/>
      <c r="ONQ379" s="84" t="n"/>
      <c r="ONR379" s="85" t="n"/>
      <c r="ONS379" s="31" t="n"/>
      <c r="ONT379" s="50" t="n"/>
      <c r="ONU379" s="50" t="n"/>
      <c r="ONV379" s="50" t="n"/>
      <c r="ONW379" s="50" t="n"/>
      <c r="ONX379" s="50" t="n"/>
      <c r="ONY379" s="50" t="n"/>
      <c r="ONZ379" s="50" t="n"/>
      <c r="OOA379" s="50" t="n"/>
      <c r="OOB379" s="50" t="n"/>
      <c r="OOC379" s="50" t="n"/>
      <c r="OOD379" s="50" t="n"/>
      <c r="OOE379" s="50" t="n"/>
      <c r="OOF379" s="50" t="n"/>
      <c r="OOG379" s="50" t="n"/>
      <c r="OOH379" s="50" t="n"/>
      <c r="OOI379" s="50" t="n"/>
      <c r="OOJ379" s="50" t="n"/>
      <c r="OOK379" s="50" t="n"/>
      <c r="OOL379" s="50" t="n"/>
      <c r="OOM379" s="50" t="n"/>
      <c r="OON379" s="50" t="n"/>
      <c r="OOO379" s="50" t="n"/>
      <c r="OOP379" s="50" t="n"/>
      <c r="OOQ379" s="50" t="n"/>
      <c r="OOR379" s="56" t="n"/>
      <c r="OOS379" s="50" t="n"/>
      <c r="OOT379" s="53" t="n"/>
      <c r="OOU379" s="84" t="n"/>
      <c r="OOV379" s="85" t="n"/>
      <c r="OOW379" s="31" t="n"/>
      <c r="OOX379" s="50" t="n"/>
      <c r="OOY379" s="50" t="n"/>
      <c r="OOZ379" s="50" t="n"/>
      <c r="OPA379" s="50" t="n"/>
      <c r="OPB379" s="50" t="n"/>
      <c r="OPC379" s="50" t="n"/>
      <c r="OPD379" s="50" t="n"/>
      <c r="OPE379" s="50" t="n"/>
      <c r="OPF379" s="50" t="n"/>
      <c r="OPG379" s="50" t="n"/>
      <c r="OPH379" s="50" t="n"/>
      <c r="OPI379" s="50" t="n"/>
      <c r="OPJ379" s="50" t="n"/>
      <c r="OPK379" s="50" t="n"/>
      <c r="OPL379" s="50" t="n"/>
      <c r="OPM379" s="50" t="n"/>
      <c r="OPN379" s="50" t="n"/>
      <c r="OPO379" s="50" t="n"/>
      <c r="OPP379" s="50" t="n"/>
      <c r="OPQ379" s="50" t="n"/>
      <c r="OPR379" s="50" t="n"/>
      <c r="OPS379" s="50" t="n"/>
      <c r="OPT379" s="50" t="n"/>
      <c r="OPU379" s="50" t="n"/>
      <c r="OPV379" s="56" t="n"/>
      <c r="OPW379" s="50" t="n"/>
      <c r="OPX379" s="53" t="n"/>
      <c r="OPY379" s="84" t="n"/>
      <c r="OPZ379" s="85" t="n"/>
      <c r="OQA379" s="31" t="n"/>
      <c r="OQB379" s="50" t="n"/>
      <c r="OQC379" s="50" t="n"/>
      <c r="OQD379" s="50" t="n"/>
      <c r="OQE379" s="50" t="n"/>
      <c r="OQF379" s="50" t="n"/>
      <c r="OQG379" s="50" t="n"/>
      <c r="OQH379" s="50" t="n"/>
      <c r="OQI379" s="50" t="n"/>
      <c r="OQJ379" s="50" t="n"/>
      <c r="OQK379" s="50" t="n"/>
      <c r="OQL379" s="50" t="n"/>
      <c r="OQM379" s="50" t="n"/>
      <c r="OQN379" s="50" t="n"/>
      <c r="OQO379" s="50" t="n"/>
      <c r="OQP379" s="50" t="n"/>
      <c r="OQQ379" s="50" t="n"/>
      <c r="OQR379" s="50" t="n"/>
      <c r="OQS379" s="50" t="n"/>
      <c r="OQT379" s="50" t="n"/>
      <c r="OQU379" s="50" t="n"/>
      <c r="OQV379" s="50" t="n"/>
      <c r="OQW379" s="50" t="n"/>
      <c r="OQX379" s="50" t="n"/>
      <c r="OQY379" s="50" t="n"/>
      <c r="OQZ379" s="56" t="n"/>
      <c r="ORA379" s="50" t="n"/>
      <c r="ORB379" s="53" t="n"/>
      <c r="ORC379" s="84" t="n"/>
      <c r="ORD379" s="85" t="n"/>
      <c r="ORE379" s="31" t="n"/>
      <c r="ORF379" s="50" t="n"/>
      <c r="ORG379" s="50" t="n"/>
      <c r="ORH379" s="50" t="n"/>
      <c r="ORI379" s="50" t="n"/>
      <c r="ORJ379" s="50" t="n"/>
      <c r="ORK379" s="50" t="n"/>
      <c r="ORL379" s="50" t="n"/>
      <c r="ORM379" s="50" t="n"/>
      <c r="ORN379" s="50" t="n"/>
      <c r="ORO379" s="50" t="n"/>
      <c r="ORP379" s="50" t="n"/>
      <c r="ORQ379" s="50" t="n"/>
      <c r="ORR379" s="50" t="n"/>
      <c r="ORS379" s="50" t="n"/>
      <c r="ORT379" s="50" t="n"/>
      <c r="ORU379" s="50" t="n"/>
      <c r="ORV379" s="50" t="n"/>
      <c r="ORW379" s="50" t="n"/>
      <c r="ORX379" s="50" t="n"/>
      <c r="ORY379" s="50" t="n"/>
      <c r="ORZ379" s="50" t="n"/>
      <c r="OSA379" s="50" t="n"/>
      <c r="OSB379" s="50" t="n"/>
      <c r="OSC379" s="50" t="n"/>
      <c r="OSD379" s="56" t="n"/>
      <c r="OSE379" s="50" t="n"/>
      <c r="OSF379" s="53" t="n"/>
      <c r="OSG379" s="84" t="n"/>
      <c r="OSH379" s="85" t="n"/>
      <c r="OSI379" s="31" t="n"/>
      <c r="OSJ379" s="50" t="n"/>
      <c r="OSK379" s="50" t="n"/>
      <c r="OSL379" s="50" t="n"/>
      <c r="OSM379" s="50" t="n"/>
      <c r="OSN379" s="50" t="n"/>
      <c r="OSO379" s="50" t="n"/>
      <c r="OSP379" s="50" t="n"/>
      <c r="OSQ379" s="50" t="n"/>
      <c r="OSR379" s="50" t="n"/>
      <c r="OSS379" s="50" t="n"/>
      <c r="OST379" s="50" t="n"/>
      <c r="OSU379" s="50" t="n"/>
      <c r="OSV379" s="50" t="n"/>
      <c r="OSW379" s="50" t="n"/>
      <c r="OSX379" s="50" t="n"/>
      <c r="OSY379" s="50" t="n"/>
      <c r="OSZ379" s="50" t="n"/>
      <c r="OTA379" s="50" t="n"/>
      <c r="OTB379" s="50" t="n"/>
      <c r="OTC379" s="50" t="n"/>
      <c r="OTD379" s="50" t="n"/>
      <c r="OTE379" s="50" t="n"/>
      <c r="OTF379" s="50" t="n"/>
      <c r="OTG379" s="50" t="n"/>
      <c r="OTH379" s="56" t="n"/>
      <c r="OTI379" s="50" t="n"/>
      <c r="OTJ379" s="53" t="n"/>
      <c r="OTK379" s="84" t="n"/>
      <c r="OTL379" s="85" t="n"/>
      <c r="OTM379" s="31" t="n"/>
      <c r="OTN379" s="50" t="n"/>
      <c r="OTO379" s="50" t="n"/>
      <c r="OTP379" s="50" t="n"/>
      <c r="OTQ379" s="50" t="n"/>
      <c r="OTR379" s="50" t="n"/>
      <c r="OTS379" s="50" t="n"/>
      <c r="OTT379" s="50" t="n"/>
      <c r="OTU379" s="50" t="n"/>
      <c r="OTV379" s="50" t="n"/>
      <c r="OTW379" s="50" t="n"/>
      <c r="OTX379" s="50" t="n"/>
      <c r="OTY379" s="50" t="n"/>
      <c r="OTZ379" s="50" t="n"/>
      <c r="OUA379" s="50" t="n"/>
      <c r="OUB379" s="50" t="n"/>
      <c r="OUC379" s="50" t="n"/>
      <c r="OUD379" s="50" t="n"/>
      <c r="OUE379" s="50" t="n"/>
      <c r="OUF379" s="50" t="n"/>
      <c r="OUG379" s="50" t="n"/>
      <c r="OUH379" s="50" t="n"/>
      <c r="OUI379" s="50" t="n"/>
      <c r="OUJ379" s="50" t="n"/>
      <c r="OUK379" s="50" t="n"/>
      <c r="OUL379" s="56" t="n"/>
      <c r="OUM379" s="50" t="n"/>
      <c r="OUN379" s="53" t="n"/>
      <c r="OUO379" s="84" t="n"/>
      <c r="OUP379" s="85" t="n"/>
      <c r="OUQ379" s="31" t="n"/>
      <c r="OUR379" s="50" t="n"/>
      <c r="OUS379" s="50" t="n"/>
      <c r="OUT379" s="50" t="n"/>
      <c r="OUU379" s="50" t="n"/>
      <c r="OUV379" s="50" t="n"/>
      <c r="OUW379" s="50" t="n"/>
      <c r="OUX379" s="50" t="n"/>
      <c r="OUY379" s="50" t="n"/>
      <c r="OUZ379" s="50" t="n"/>
      <c r="OVA379" s="50" t="n"/>
      <c r="OVB379" s="50" t="n"/>
      <c r="OVC379" s="50" t="n"/>
      <c r="OVD379" s="50" t="n"/>
      <c r="OVE379" s="50" t="n"/>
      <c r="OVF379" s="50" t="n"/>
      <c r="OVG379" s="50" t="n"/>
      <c r="OVH379" s="50" t="n"/>
      <c r="OVI379" s="50" t="n"/>
      <c r="OVJ379" s="50" t="n"/>
      <c r="OVK379" s="50" t="n"/>
      <c r="OVL379" s="50" t="n"/>
      <c r="OVM379" s="50" t="n"/>
      <c r="OVN379" s="50" t="n"/>
      <c r="OVO379" s="50" t="n"/>
      <c r="OVP379" s="56" t="n"/>
      <c r="OVQ379" s="50" t="n"/>
      <c r="OVR379" s="53" t="n"/>
      <c r="OVS379" s="84" t="n"/>
      <c r="OVT379" s="85" t="n"/>
      <c r="OVU379" s="31" t="n"/>
      <c r="OVV379" s="50" t="n"/>
      <c r="OVW379" s="50" t="n"/>
      <c r="OVX379" s="50" t="n"/>
      <c r="OVY379" s="50" t="n"/>
      <c r="OVZ379" s="50" t="n"/>
      <c r="OWA379" s="50" t="n"/>
      <c r="OWB379" s="50" t="n"/>
      <c r="OWC379" s="50" t="n"/>
      <c r="OWD379" s="50" t="n"/>
      <c r="OWE379" s="50" t="n"/>
      <c r="OWF379" s="50" t="n"/>
      <c r="OWG379" s="50" t="n"/>
      <c r="OWH379" s="50" t="n"/>
      <c r="OWI379" s="50" t="n"/>
      <c r="OWJ379" s="50" t="n"/>
      <c r="OWK379" s="50" t="n"/>
      <c r="OWL379" s="50" t="n"/>
      <c r="OWM379" s="50" t="n"/>
      <c r="OWN379" s="50" t="n"/>
      <c r="OWO379" s="50" t="n"/>
      <c r="OWP379" s="50" t="n"/>
      <c r="OWQ379" s="50" t="n"/>
      <c r="OWR379" s="50" t="n"/>
      <c r="OWS379" s="50" t="n"/>
      <c r="OWT379" s="56" t="n"/>
      <c r="OWU379" s="50" t="n"/>
      <c r="OWV379" s="53" t="n"/>
      <c r="OWW379" s="84" t="n"/>
      <c r="OWX379" s="85" t="n"/>
      <c r="OWY379" s="31" t="n"/>
      <c r="OWZ379" s="50" t="n"/>
      <c r="OXA379" s="50" t="n"/>
      <c r="OXB379" s="50" t="n"/>
      <c r="OXC379" s="50" t="n"/>
      <c r="OXD379" s="50" t="n"/>
      <c r="OXE379" s="50" t="n"/>
      <c r="OXF379" s="50" t="n"/>
      <c r="OXG379" s="50" t="n"/>
      <c r="OXH379" s="50" t="n"/>
      <c r="OXI379" s="50" t="n"/>
      <c r="OXJ379" s="50" t="n"/>
      <c r="OXK379" s="50" t="n"/>
      <c r="OXL379" s="50" t="n"/>
      <c r="OXM379" s="50" t="n"/>
      <c r="OXN379" s="50" t="n"/>
      <c r="OXO379" s="50" t="n"/>
      <c r="OXP379" s="50" t="n"/>
      <c r="OXQ379" s="50" t="n"/>
      <c r="OXR379" s="50" t="n"/>
      <c r="OXS379" s="50" t="n"/>
      <c r="OXT379" s="50" t="n"/>
      <c r="OXU379" s="50" t="n"/>
      <c r="OXV379" s="50" t="n"/>
      <c r="OXW379" s="50" t="n"/>
      <c r="OXX379" s="56" t="n"/>
      <c r="OXY379" s="50" t="n"/>
      <c r="OXZ379" s="53" t="n"/>
      <c r="OYA379" s="84" t="n"/>
      <c r="OYB379" s="85" t="n"/>
      <c r="OYC379" s="31" t="n"/>
      <c r="OYD379" s="50" t="n"/>
      <c r="OYE379" s="50" t="n"/>
      <c r="OYF379" s="50" t="n"/>
      <c r="OYG379" s="50" t="n"/>
      <c r="OYH379" s="50" t="n"/>
      <c r="OYI379" s="50" t="n"/>
      <c r="OYJ379" s="50" t="n"/>
      <c r="OYK379" s="50" t="n"/>
      <c r="OYL379" s="50" t="n"/>
      <c r="OYM379" s="50" t="n"/>
      <c r="OYN379" s="50" t="n"/>
      <c r="OYO379" s="50" t="n"/>
      <c r="OYP379" s="50" t="n"/>
      <c r="OYQ379" s="50" t="n"/>
      <c r="OYR379" s="50" t="n"/>
      <c r="OYS379" s="50" t="n"/>
      <c r="OYT379" s="50" t="n"/>
      <c r="OYU379" s="50" t="n"/>
      <c r="OYV379" s="50" t="n"/>
      <c r="OYW379" s="50" t="n"/>
      <c r="OYX379" s="50" t="n"/>
      <c r="OYY379" s="50" t="n"/>
      <c r="OYZ379" s="50" t="n"/>
      <c r="OZA379" s="50" t="n"/>
      <c r="OZB379" s="56" t="n"/>
      <c r="OZC379" s="50" t="n"/>
      <c r="OZD379" s="53" t="n"/>
      <c r="OZE379" s="84" t="n"/>
      <c r="OZF379" s="85" t="n"/>
      <c r="OZG379" s="31" t="n"/>
      <c r="OZH379" s="50" t="n"/>
      <c r="OZI379" s="50" t="n"/>
      <c r="OZJ379" s="50" t="n"/>
      <c r="OZK379" s="50" t="n"/>
      <c r="OZL379" s="50" t="n"/>
      <c r="OZM379" s="50" t="n"/>
      <c r="OZN379" s="50" t="n"/>
      <c r="OZO379" s="50" t="n"/>
      <c r="OZP379" s="50" t="n"/>
      <c r="OZQ379" s="50" t="n"/>
      <c r="OZR379" s="50" t="n"/>
      <c r="OZS379" s="50" t="n"/>
      <c r="OZT379" s="50" t="n"/>
      <c r="OZU379" s="50" t="n"/>
      <c r="OZV379" s="50" t="n"/>
      <c r="OZW379" s="50" t="n"/>
      <c r="OZX379" s="50" t="n"/>
      <c r="OZY379" s="50" t="n"/>
      <c r="OZZ379" s="50" t="n"/>
      <c r="PAA379" s="50" t="n"/>
      <c r="PAB379" s="50" t="n"/>
      <c r="PAC379" s="50" t="n"/>
      <c r="PAD379" s="50" t="n"/>
      <c r="PAE379" s="50" t="n"/>
      <c r="PAF379" s="56" t="n"/>
      <c r="PAG379" s="50" t="n"/>
      <c r="PAH379" s="53" t="n"/>
      <c r="PAI379" s="84" t="n"/>
      <c r="PAJ379" s="85" t="n"/>
      <c r="PAK379" s="31" t="n"/>
      <c r="PAL379" s="50" t="n"/>
      <c r="PAM379" s="50" t="n"/>
      <c r="PAN379" s="50" t="n"/>
      <c r="PAO379" s="50" t="n"/>
      <c r="PAP379" s="50" t="n"/>
      <c r="PAQ379" s="50" t="n"/>
      <c r="PAR379" s="50" t="n"/>
      <c r="PAS379" s="50" t="n"/>
      <c r="PAT379" s="50" t="n"/>
      <c r="PAU379" s="50" t="n"/>
      <c r="PAV379" s="50" t="n"/>
      <c r="PAW379" s="50" t="n"/>
      <c r="PAX379" s="50" t="n"/>
      <c r="PAY379" s="50" t="n"/>
      <c r="PAZ379" s="50" t="n"/>
      <c r="PBA379" s="50" t="n"/>
      <c r="PBB379" s="50" t="n"/>
      <c r="PBC379" s="50" t="n"/>
      <c r="PBD379" s="50" t="n"/>
      <c r="PBE379" s="50" t="n"/>
      <c r="PBF379" s="50" t="n"/>
      <c r="PBG379" s="50" t="n"/>
      <c r="PBH379" s="50" t="n"/>
      <c r="PBI379" s="50" t="n"/>
      <c r="PBJ379" s="56" t="n"/>
      <c r="PBK379" s="50" t="n"/>
      <c r="PBL379" s="53" t="n"/>
      <c r="PBM379" s="84" t="n"/>
      <c r="PBN379" s="85" t="n"/>
      <c r="PBO379" s="31" t="n"/>
      <c r="PBP379" s="50" t="n"/>
      <c r="PBQ379" s="50" t="n"/>
      <c r="PBR379" s="50" t="n"/>
      <c r="PBS379" s="50" t="n"/>
      <c r="PBT379" s="50" t="n"/>
      <c r="PBU379" s="50" t="n"/>
      <c r="PBV379" s="50" t="n"/>
      <c r="PBW379" s="50" t="n"/>
      <c r="PBX379" s="50" t="n"/>
      <c r="PBY379" s="50" t="n"/>
      <c r="PBZ379" s="50" t="n"/>
      <c r="PCA379" s="50" t="n"/>
      <c r="PCB379" s="50" t="n"/>
      <c r="PCC379" s="50" t="n"/>
      <c r="PCD379" s="50" t="n"/>
      <c r="PCE379" s="50" t="n"/>
      <c r="PCF379" s="50" t="n"/>
      <c r="PCG379" s="50" t="n"/>
      <c r="PCH379" s="50" t="n"/>
      <c r="PCI379" s="50" t="n"/>
      <c r="PCJ379" s="50" t="n"/>
      <c r="PCK379" s="50" t="n"/>
      <c r="PCL379" s="50" t="n"/>
      <c r="PCM379" s="50" t="n"/>
      <c r="PCN379" s="56" t="n"/>
      <c r="PCO379" s="50" t="n"/>
      <c r="PCP379" s="53" t="n"/>
      <c r="PCQ379" s="84" t="n"/>
      <c r="PCR379" s="85" t="n"/>
      <c r="PCS379" s="31" t="n"/>
      <c r="PCT379" s="50" t="n"/>
      <c r="PCU379" s="50" t="n"/>
      <c r="PCV379" s="50" t="n"/>
      <c r="PCW379" s="50" t="n"/>
      <c r="PCX379" s="50" t="n"/>
      <c r="PCY379" s="50" t="n"/>
      <c r="PCZ379" s="50" t="n"/>
      <c r="PDA379" s="50" t="n"/>
      <c r="PDB379" s="50" t="n"/>
      <c r="PDC379" s="50" t="n"/>
      <c r="PDD379" s="50" t="n"/>
      <c r="PDE379" s="50" t="n"/>
      <c r="PDF379" s="50" t="n"/>
      <c r="PDG379" s="50" t="n"/>
      <c r="PDH379" s="50" t="n"/>
      <c r="PDI379" s="50" t="n"/>
      <c r="PDJ379" s="50" t="n"/>
      <c r="PDK379" s="50" t="n"/>
      <c r="PDL379" s="50" t="n"/>
      <c r="PDM379" s="50" t="n"/>
      <c r="PDN379" s="50" t="n"/>
      <c r="PDO379" s="50" t="n"/>
      <c r="PDP379" s="50" t="n"/>
      <c r="PDQ379" s="50" t="n"/>
      <c r="PDR379" s="56" t="n"/>
      <c r="PDS379" s="50" t="n"/>
      <c r="PDT379" s="53" t="n"/>
      <c r="PDU379" s="84" t="n"/>
      <c r="PDV379" s="85" t="n"/>
      <c r="PDW379" s="31" t="n"/>
      <c r="PDX379" s="50" t="n"/>
      <c r="PDY379" s="50" t="n"/>
      <c r="PDZ379" s="50" t="n"/>
      <c r="PEA379" s="50" t="n"/>
      <c r="PEB379" s="50" t="n"/>
      <c r="PEC379" s="50" t="n"/>
      <c r="PED379" s="50" t="n"/>
      <c r="PEE379" s="50" t="n"/>
      <c r="PEF379" s="50" t="n"/>
      <c r="PEG379" s="50" t="n"/>
      <c r="PEH379" s="50" t="n"/>
      <c r="PEI379" s="50" t="n"/>
      <c r="PEJ379" s="50" t="n"/>
      <c r="PEK379" s="50" t="n"/>
      <c r="PEL379" s="50" t="n"/>
      <c r="PEM379" s="50" t="n"/>
      <c r="PEN379" s="50" t="n"/>
      <c r="PEO379" s="50" t="n"/>
      <c r="PEP379" s="50" t="n"/>
      <c r="PEQ379" s="50" t="n"/>
      <c r="PER379" s="50" t="n"/>
      <c r="PES379" s="50" t="n"/>
      <c r="PET379" s="50" t="n"/>
      <c r="PEU379" s="50" t="n"/>
      <c r="PEV379" s="56" t="n"/>
      <c r="PEW379" s="50" t="n"/>
      <c r="PEX379" s="53" t="n"/>
      <c r="PEY379" s="84" t="n"/>
      <c r="PEZ379" s="85" t="n"/>
      <c r="PFA379" s="31" t="n"/>
      <c r="PFB379" s="50" t="n"/>
      <c r="PFC379" s="50" t="n"/>
      <c r="PFD379" s="50" t="n"/>
      <c r="PFE379" s="50" t="n"/>
      <c r="PFF379" s="50" t="n"/>
      <c r="PFG379" s="50" t="n"/>
      <c r="PFH379" s="50" t="n"/>
      <c r="PFI379" s="50" t="n"/>
      <c r="PFJ379" s="50" t="n"/>
      <c r="PFK379" s="50" t="n"/>
      <c r="PFL379" s="50" t="n"/>
      <c r="PFM379" s="50" t="n"/>
      <c r="PFN379" s="50" t="n"/>
      <c r="PFO379" s="50" t="n"/>
      <c r="PFP379" s="50" t="n"/>
      <c r="PFQ379" s="50" t="n"/>
      <c r="PFR379" s="50" t="n"/>
      <c r="PFS379" s="50" t="n"/>
      <c r="PFT379" s="50" t="n"/>
      <c r="PFU379" s="50" t="n"/>
      <c r="PFV379" s="50" t="n"/>
      <c r="PFW379" s="50" t="n"/>
      <c r="PFX379" s="50" t="n"/>
      <c r="PFY379" s="50" t="n"/>
      <c r="PFZ379" s="56" t="n"/>
      <c r="PGA379" s="50" t="n"/>
      <c r="PGB379" s="53" t="n"/>
      <c r="PGC379" s="84" t="n"/>
      <c r="PGD379" s="85" t="n"/>
      <c r="PGE379" s="31" t="n"/>
      <c r="PGF379" s="50" t="n"/>
      <c r="PGG379" s="50" t="n"/>
      <c r="PGH379" s="50" t="n"/>
      <c r="PGI379" s="50" t="n"/>
      <c r="PGJ379" s="50" t="n"/>
      <c r="PGK379" s="50" t="n"/>
      <c r="PGL379" s="50" t="n"/>
      <c r="PGM379" s="50" t="n"/>
      <c r="PGN379" s="50" t="n"/>
      <c r="PGO379" s="50" t="n"/>
      <c r="PGP379" s="50" t="n"/>
      <c r="PGQ379" s="50" t="n"/>
      <c r="PGR379" s="50" t="n"/>
      <c r="PGS379" s="50" t="n"/>
      <c r="PGT379" s="50" t="n"/>
      <c r="PGU379" s="50" t="n"/>
      <c r="PGV379" s="50" t="n"/>
      <c r="PGW379" s="50" t="n"/>
      <c r="PGX379" s="50" t="n"/>
      <c r="PGY379" s="50" t="n"/>
      <c r="PGZ379" s="50" t="n"/>
      <c r="PHA379" s="50" t="n"/>
      <c r="PHB379" s="50" t="n"/>
      <c r="PHC379" s="50" t="n"/>
      <c r="PHD379" s="56" t="n"/>
      <c r="PHE379" s="50" t="n"/>
      <c r="PHF379" s="53" t="n"/>
      <c r="PHG379" s="84" t="n"/>
      <c r="PHH379" s="85" t="n"/>
      <c r="PHI379" s="31" t="n"/>
      <c r="PHJ379" s="50" t="n"/>
      <c r="PHK379" s="50" t="n"/>
      <c r="PHL379" s="50" t="n"/>
      <c r="PHM379" s="50" t="n"/>
      <c r="PHN379" s="50" t="n"/>
      <c r="PHO379" s="50" t="n"/>
      <c r="PHP379" s="50" t="n"/>
      <c r="PHQ379" s="50" t="n"/>
      <c r="PHR379" s="50" t="n"/>
      <c r="PHS379" s="50" t="n"/>
      <c r="PHT379" s="50" t="n"/>
      <c r="PHU379" s="50" t="n"/>
      <c r="PHV379" s="50" t="n"/>
      <c r="PHW379" s="50" t="n"/>
      <c r="PHX379" s="50" t="n"/>
      <c r="PHY379" s="50" t="n"/>
      <c r="PHZ379" s="50" t="n"/>
      <c r="PIA379" s="50" t="n"/>
      <c r="PIB379" s="50" t="n"/>
      <c r="PIC379" s="50" t="n"/>
      <c r="PID379" s="50" t="n"/>
      <c r="PIE379" s="50" t="n"/>
      <c r="PIF379" s="50" t="n"/>
      <c r="PIG379" s="50" t="n"/>
      <c r="PIH379" s="56" t="n"/>
      <c r="PII379" s="50" t="n"/>
      <c r="PIJ379" s="53" t="n"/>
      <c r="PIK379" s="84" t="n"/>
      <c r="PIL379" s="85" t="n"/>
      <c r="PIM379" s="31" t="n"/>
      <c r="PIN379" s="50" t="n"/>
      <c r="PIO379" s="50" t="n"/>
      <c r="PIP379" s="50" t="n"/>
      <c r="PIQ379" s="50" t="n"/>
      <c r="PIR379" s="50" t="n"/>
      <c r="PIS379" s="50" t="n"/>
      <c r="PIT379" s="50" t="n"/>
      <c r="PIU379" s="50" t="n"/>
      <c r="PIV379" s="50" t="n"/>
      <c r="PIW379" s="50" t="n"/>
      <c r="PIX379" s="50" t="n"/>
      <c r="PIY379" s="50" t="n"/>
      <c r="PIZ379" s="50" t="n"/>
      <c r="PJA379" s="50" t="n"/>
      <c r="PJB379" s="50" t="n"/>
      <c r="PJC379" s="50" t="n"/>
      <c r="PJD379" s="50" t="n"/>
      <c r="PJE379" s="50" t="n"/>
      <c r="PJF379" s="50" t="n"/>
      <c r="PJG379" s="50" t="n"/>
      <c r="PJH379" s="50" t="n"/>
      <c r="PJI379" s="50" t="n"/>
      <c r="PJJ379" s="50" t="n"/>
      <c r="PJK379" s="50" t="n"/>
      <c r="PJL379" s="56" t="n"/>
      <c r="PJM379" s="50" t="n"/>
      <c r="PJN379" s="53" t="n"/>
      <c r="PJO379" s="84" t="n"/>
      <c r="PJP379" s="85" t="n"/>
      <c r="PJQ379" s="31" t="n"/>
      <c r="PJR379" s="50" t="n"/>
      <c r="PJS379" s="50" t="n"/>
      <c r="PJT379" s="50" t="n"/>
      <c r="PJU379" s="50" t="n"/>
      <c r="PJV379" s="50" t="n"/>
      <c r="PJW379" s="50" t="n"/>
      <c r="PJX379" s="50" t="n"/>
      <c r="PJY379" s="50" t="n"/>
      <c r="PJZ379" s="50" t="n"/>
      <c r="PKA379" s="50" t="n"/>
      <c r="PKB379" s="50" t="n"/>
      <c r="PKC379" s="50" t="n"/>
      <c r="PKD379" s="50" t="n"/>
      <c r="PKE379" s="50" t="n"/>
      <c r="PKF379" s="50" t="n"/>
      <c r="PKG379" s="50" t="n"/>
      <c r="PKH379" s="50" t="n"/>
      <c r="PKI379" s="50" t="n"/>
      <c r="PKJ379" s="50" t="n"/>
      <c r="PKK379" s="50" t="n"/>
      <c r="PKL379" s="50" t="n"/>
      <c r="PKM379" s="50" t="n"/>
      <c r="PKN379" s="50" t="n"/>
      <c r="PKO379" s="50" t="n"/>
      <c r="PKP379" s="56" t="n"/>
      <c r="PKQ379" s="50" t="n"/>
      <c r="PKR379" s="53" t="n"/>
      <c r="PKS379" s="84" t="n"/>
      <c r="PKT379" s="85" t="n"/>
      <c r="PKU379" s="31" t="n"/>
      <c r="PKV379" s="50" t="n"/>
      <c r="PKW379" s="50" t="n"/>
      <c r="PKX379" s="50" t="n"/>
      <c r="PKY379" s="50" t="n"/>
      <c r="PKZ379" s="50" t="n"/>
      <c r="PLA379" s="50" t="n"/>
      <c r="PLB379" s="50" t="n"/>
      <c r="PLC379" s="50" t="n"/>
      <c r="PLD379" s="50" t="n"/>
      <c r="PLE379" s="50" t="n"/>
      <c r="PLF379" s="50" t="n"/>
      <c r="PLG379" s="50" t="n"/>
      <c r="PLH379" s="50" t="n"/>
      <c r="PLI379" s="50" t="n"/>
      <c r="PLJ379" s="50" t="n"/>
      <c r="PLK379" s="50" t="n"/>
      <c r="PLL379" s="50" t="n"/>
      <c r="PLM379" s="50" t="n"/>
      <c r="PLN379" s="50" t="n"/>
      <c r="PLO379" s="50" t="n"/>
      <c r="PLP379" s="50" t="n"/>
      <c r="PLQ379" s="50" t="n"/>
      <c r="PLR379" s="50" t="n"/>
      <c r="PLS379" s="50" t="n"/>
      <c r="PLT379" s="56" t="n"/>
      <c r="PLU379" s="50" t="n"/>
      <c r="PLV379" s="53" t="n"/>
      <c r="PLW379" s="84" t="n"/>
      <c r="PLX379" s="85" t="n"/>
      <c r="PLY379" s="31" t="n"/>
      <c r="PLZ379" s="50" t="n"/>
      <c r="PMA379" s="50" t="n"/>
      <c r="PMB379" s="50" t="n"/>
      <c r="PMC379" s="50" t="n"/>
      <c r="PMD379" s="50" t="n"/>
      <c r="PME379" s="50" t="n"/>
      <c r="PMF379" s="50" t="n"/>
      <c r="PMG379" s="50" t="n"/>
      <c r="PMH379" s="50" t="n"/>
      <c r="PMI379" s="50" t="n"/>
      <c r="PMJ379" s="50" t="n"/>
      <c r="PMK379" s="50" t="n"/>
      <c r="PML379" s="50" t="n"/>
      <c r="PMM379" s="50" t="n"/>
      <c r="PMN379" s="50" t="n"/>
      <c r="PMO379" s="50" t="n"/>
      <c r="PMP379" s="50" t="n"/>
      <c r="PMQ379" s="50" t="n"/>
      <c r="PMR379" s="50" t="n"/>
      <c r="PMS379" s="50" t="n"/>
      <c r="PMT379" s="50" t="n"/>
      <c r="PMU379" s="50" t="n"/>
      <c r="PMV379" s="50" t="n"/>
      <c r="PMW379" s="50" t="n"/>
      <c r="PMX379" s="56" t="n"/>
      <c r="PMY379" s="50" t="n"/>
      <c r="PMZ379" s="53" t="n"/>
      <c r="PNA379" s="84" t="n"/>
      <c r="PNB379" s="85" t="n"/>
      <c r="PNC379" s="31" t="n"/>
      <c r="PND379" s="50" t="n"/>
      <c r="PNE379" s="50" t="n"/>
      <c r="PNF379" s="50" t="n"/>
      <c r="PNG379" s="50" t="n"/>
      <c r="PNH379" s="50" t="n"/>
      <c r="PNI379" s="50" t="n"/>
      <c r="PNJ379" s="50" t="n"/>
      <c r="PNK379" s="50" t="n"/>
      <c r="PNL379" s="50" t="n"/>
      <c r="PNM379" s="50" t="n"/>
      <c r="PNN379" s="50" t="n"/>
      <c r="PNO379" s="50" t="n"/>
      <c r="PNP379" s="50" t="n"/>
      <c r="PNQ379" s="50" t="n"/>
      <c r="PNR379" s="50" t="n"/>
      <c r="PNS379" s="50" t="n"/>
      <c r="PNT379" s="50" t="n"/>
      <c r="PNU379" s="50" t="n"/>
      <c r="PNV379" s="50" t="n"/>
      <c r="PNW379" s="50" t="n"/>
      <c r="PNX379" s="50" t="n"/>
      <c r="PNY379" s="50" t="n"/>
      <c r="PNZ379" s="50" t="n"/>
      <c r="POA379" s="50" t="n"/>
      <c r="POB379" s="56" t="n"/>
      <c r="POC379" s="50" t="n"/>
      <c r="POD379" s="53" t="n"/>
      <c r="POE379" s="84" t="n"/>
      <c r="POF379" s="85" t="n"/>
      <c r="POG379" s="31" t="n"/>
      <c r="POH379" s="50" t="n"/>
      <c r="POI379" s="50" t="n"/>
      <c r="POJ379" s="50" t="n"/>
      <c r="POK379" s="50" t="n"/>
      <c r="POL379" s="50" t="n"/>
      <c r="POM379" s="50" t="n"/>
      <c r="PON379" s="50" t="n"/>
      <c r="POO379" s="50" t="n"/>
      <c r="POP379" s="50" t="n"/>
      <c r="POQ379" s="50" t="n"/>
      <c r="POR379" s="50" t="n"/>
      <c r="POS379" s="50" t="n"/>
      <c r="POT379" s="50" t="n"/>
      <c r="POU379" s="50" t="n"/>
      <c r="POV379" s="50" t="n"/>
      <c r="POW379" s="50" t="n"/>
      <c r="POX379" s="50" t="n"/>
      <c r="POY379" s="50" t="n"/>
      <c r="POZ379" s="50" t="n"/>
      <c r="PPA379" s="50" t="n"/>
      <c r="PPB379" s="50" t="n"/>
      <c r="PPC379" s="50" t="n"/>
      <c r="PPD379" s="50" t="n"/>
      <c r="PPE379" s="50" t="n"/>
      <c r="PPF379" s="56" t="n"/>
      <c r="PPG379" s="50" t="n"/>
      <c r="PPH379" s="53" t="n"/>
      <c r="PPI379" s="84" t="n"/>
      <c r="PPJ379" s="85" t="n"/>
      <c r="PPK379" s="31" t="n"/>
      <c r="PPL379" s="50" t="n"/>
      <c r="PPM379" s="50" t="n"/>
      <c r="PPN379" s="50" t="n"/>
      <c r="PPO379" s="50" t="n"/>
      <c r="PPP379" s="50" t="n"/>
      <c r="PPQ379" s="50" t="n"/>
      <c r="PPR379" s="50" t="n"/>
      <c r="PPS379" s="50" t="n"/>
      <c r="PPT379" s="50" t="n"/>
      <c r="PPU379" s="50" t="n"/>
      <c r="PPV379" s="50" t="n"/>
      <c r="PPW379" s="50" t="n"/>
      <c r="PPX379" s="50" t="n"/>
      <c r="PPY379" s="50" t="n"/>
      <c r="PPZ379" s="50" t="n"/>
      <c r="PQA379" s="50" t="n"/>
      <c r="PQB379" s="50" t="n"/>
      <c r="PQC379" s="50" t="n"/>
      <c r="PQD379" s="50" t="n"/>
      <c r="PQE379" s="50" t="n"/>
      <c r="PQF379" s="50" t="n"/>
      <c r="PQG379" s="50" t="n"/>
      <c r="PQH379" s="50" t="n"/>
      <c r="PQI379" s="50" t="n"/>
      <c r="PQJ379" s="56" t="n"/>
      <c r="PQK379" s="50" t="n"/>
      <c r="PQL379" s="53" t="n"/>
      <c r="PQM379" s="84" t="n"/>
      <c r="PQN379" s="85" t="n"/>
      <c r="PQO379" s="31" t="n"/>
      <c r="PQP379" s="50" t="n"/>
      <c r="PQQ379" s="50" t="n"/>
      <c r="PQR379" s="50" t="n"/>
      <c r="PQS379" s="50" t="n"/>
      <c r="PQT379" s="50" t="n"/>
      <c r="PQU379" s="50" t="n"/>
      <c r="PQV379" s="50" t="n"/>
      <c r="PQW379" s="50" t="n"/>
      <c r="PQX379" s="50" t="n"/>
      <c r="PQY379" s="50" t="n"/>
      <c r="PQZ379" s="50" t="n"/>
      <c r="PRA379" s="50" t="n"/>
      <c r="PRB379" s="50" t="n"/>
      <c r="PRC379" s="50" t="n"/>
      <c r="PRD379" s="50" t="n"/>
      <c r="PRE379" s="50" t="n"/>
      <c r="PRF379" s="50" t="n"/>
      <c r="PRG379" s="50" t="n"/>
      <c r="PRH379" s="50" t="n"/>
      <c r="PRI379" s="50" t="n"/>
      <c r="PRJ379" s="50" t="n"/>
      <c r="PRK379" s="50" t="n"/>
      <c r="PRL379" s="50" t="n"/>
      <c r="PRM379" s="50" t="n"/>
      <c r="PRN379" s="56" t="n"/>
      <c r="PRO379" s="50" t="n"/>
      <c r="PRP379" s="53" t="n"/>
      <c r="PRQ379" s="84" t="n"/>
      <c r="PRR379" s="85" t="n"/>
      <c r="PRS379" s="31" t="n"/>
      <c r="PRT379" s="50" t="n"/>
      <c r="PRU379" s="50" t="n"/>
      <c r="PRV379" s="50" t="n"/>
      <c r="PRW379" s="50" t="n"/>
      <c r="PRX379" s="50" t="n"/>
      <c r="PRY379" s="50" t="n"/>
      <c r="PRZ379" s="50" t="n"/>
      <c r="PSA379" s="50" t="n"/>
      <c r="PSB379" s="50" t="n"/>
      <c r="PSC379" s="50" t="n"/>
      <c r="PSD379" s="50" t="n"/>
      <c r="PSE379" s="50" t="n"/>
      <c r="PSF379" s="50" t="n"/>
      <c r="PSG379" s="50" t="n"/>
      <c r="PSH379" s="50" t="n"/>
      <c r="PSI379" s="50" t="n"/>
      <c r="PSJ379" s="50" t="n"/>
      <c r="PSK379" s="50" t="n"/>
      <c r="PSL379" s="50" t="n"/>
      <c r="PSM379" s="50" t="n"/>
      <c r="PSN379" s="50" t="n"/>
      <c r="PSO379" s="50" t="n"/>
      <c r="PSP379" s="50" t="n"/>
      <c r="PSQ379" s="50" t="n"/>
      <c r="PSR379" s="56" t="n"/>
      <c r="PSS379" s="50" t="n"/>
      <c r="PST379" s="53" t="n"/>
      <c r="PSU379" s="84" t="n"/>
      <c r="PSV379" s="85" t="n"/>
      <c r="PSW379" s="31" t="n"/>
      <c r="PSX379" s="50" t="n"/>
      <c r="PSY379" s="50" t="n"/>
      <c r="PSZ379" s="50" t="n"/>
      <c r="PTA379" s="50" t="n"/>
      <c r="PTB379" s="50" t="n"/>
      <c r="PTC379" s="50" t="n"/>
      <c r="PTD379" s="50" t="n"/>
      <c r="PTE379" s="50" t="n"/>
      <c r="PTF379" s="50" t="n"/>
      <c r="PTG379" s="50" t="n"/>
      <c r="PTH379" s="50" t="n"/>
      <c r="PTI379" s="50" t="n"/>
      <c r="PTJ379" s="50" t="n"/>
      <c r="PTK379" s="50" t="n"/>
      <c r="PTL379" s="50" t="n"/>
      <c r="PTM379" s="50" t="n"/>
      <c r="PTN379" s="50" t="n"/>
      <c r="PTO379" s="50" t="n"/>
      <c r="PTP379" s="50" t="n"/>
      <c r="PTQ379" s="50" t="n"/>
      <c r="PTR379" s="50" t="n"/>
      <c r="PTS379" s="50" t="n"/>
      <c r="PTT379" s="50" t="n"/>
      <c r="PTU379" s="50" t="n"/>
      <c r="PTV379" s="56" t="n"/>
      <c r="PTW379" s="50" t="n"/>
      <c r="PTX379" s="53" t="n"/>
      <c r="PTY379" s="84" t="n"/>
      <c r="PTZ379" s="85" t="n"/>
      <c r="PUA379" s="31" t="n"/>
      <c r="PUB379" s="50" t="n"/>
      <c r="PUC379" s="50" t="n"/>
      <c r="PUD379" s="50" t="n"/>
      <c r="PUE379" s="50" t="n"/>
      <c r="PUF379" s="50" t="n"/>
      <c r="PUG379" s="50" t="n"/>
      <c r="PUH379" s="50" t="n"/>
      <c r="PUI379" s="50" t="n"/>
      <c r="PUJ379" s="50" t="n"/>
      <c r="PUK379" s="50" t="n"/>
      <c r="PUL379" s="50" t="n"/>
      <c r="PUM379" s="50" t="n"/>
      <c r="PUN379" s="50" t="n"/>
      <c r="PUO379" s="50" t="n"/>
      <c r="PUP379" s="50" t="n"/>
      <c r="PUQ379" s="50" t="n"/>
      <c r="PUR379" s="50" t="n"/>
      <c r="PUS379" s="50" t="n"/>
      <c r="PUT379" s="50" t="n"/>
      <c r="PUU379" s="50" t="n"/>
      <c r="PUV379" s="50" t="n"/>
      <c r="PUW379" s="50" t="n"/>
      <c r="PUX379" s="50" t="n"/>
      <c r="PUY379" s="50" t="n"/>
      <c r="PUZ379" s="56" t="n"/>
      <c r="PVA379" s="50" t="n"/>
      <c r="PVB379" s="53" t="n"/>
      <c r="PVC379" s="84" t="n"/>
      <c r="PVD379" s="85" t="n"/>
      <c r="PVE379" s="31" t="n"/>
      <c r="PVF379" s="50" t="n"/>
      <c r="PVG379" s="50" t="n"/>
      <c r="PVH379" s="50" t="n"/>
      <c r="PVI379" s="50" t="n"/>
      <c r="PVJ379" s="50" t="n"/>
      <c r="PVK379" s="50" t="n"/>
      <c r="PVL379" s="50" t="n"/>
      <c r="PVM379" s="50" t="n"/>
      <c r="PVN379" s="50" t="n"/>
      <c r="PVO379" s="50" t="n"/>
      <c r="PVP379" s="50" t="n"/>
      <c r="PVQ379" s="50" t="n"/>
      <c r="PVR379" s="50" t="n"/>
      <c r="PVS379" s="50" t="n"/>
      <c r="PVT379" s="50" t="n"/>
      <c r="PVU379" s="50" t="n"/>
      <c r="PVV379" s="50" t="n"/>
      <c r="PVW379" s="50" t="n"/>
      <c r="PVX379" s="50" t="n"/>
      <c r="PVY379" s="50" t="n"/>
      <c r="PVZ379" s="50" t="n"/>
      <c r="PWA379" s="50" t="n"/>
      <c r="PWB379" s="50" t="n"/>
      <c r="PWC379" s="50" t="n"/>
      <c r="PWD379" s="56" t="n"/>
      <c r="PWE379" s="50" t="n"/>
      <c r="PWF379" s="53" t="n"/>
      <c r="PWG379" s="84" t="n"/>
      <c r="PWH379" s="85" t="n"/>
      <c r="PWI379" s="31" t="n"/>
      <c r="PWJ379" s="50" t="n"/>
      <c r="PWK379" s="50" t="n"/>
      <c r="PWL379" s="50" t="n"/>
      <c r="PWM379" s="50" t="n"/>
      <c r="PWN379" s="50" t="n"/>
      <c r="PWO379" s="50" t="n"/>
      <c r="PWP379" s="50" t="n"/>
      <c r="PWQ379" s="50" t="n"/>
      <c r="PWR379" s="50" t="n"/>
      <c r="PWS379" s="50" t="n"/>
      <c r="PWT379" s="50" t="n"/>
      <c r="PWU379" s="50" t="n"/>
      <c r="PWV379" s="50" t="n"/>
      <c r="PWW379" s="50" t="n"/>
      <c r="PWX379" s="50" t="n"/>
      <c r="PWY379" s="50" t="n"/>
      <c r="PWZ379" s="50" t="n"/>
      <c r="PXA379" s="50" t="n"/>
      <c r="PXB379" s="50" t="n"/>
      <c r="PXC379" s="50" t="n"/>
      <c r="PXD379" s="50" t="n"/>
      <c r="PXE379" s="50" t="n"/>
      <c r="PXF379" s="50" t="n"/>
      <c r="PXG379" s="50" t="n"/>
      <c r="PXH379" s="56" t="n"/>
      <c r="PXI379" s="50" t="n"/>
      <c r="PXJ379" s="53" t="n"/>
      <c r="PXK379" s="84" t="n"/>
      <c r="PXL379" s="85" t="n"/>
      <c r="PXM379" s="31" t="n"/>
      <c r="PXN379" s="50" t="n"/>
      <c r="PXO379" s="50" t="n"/>
      <c r="PXP379" s="50" t="n"/>
      <c r="PXQ379" s="50" t="n"/>
      <c r="PXR379" s="50" t="n"/>
      <c r="PXS379" s="50" t="n"/>
      <c r="PXT379" s="50" t="n"/>
      <c r="PXU379" s="50" t="n"/>
      <c r="PXV379" s="50" t="n"/>
      <c r="PXW379" s="50" t="n"/>
      <c r="PXX379" s="50" t="n"/>
      <c r="PXY379" s="50" t="n"/>
      <c r="PXZ379" s="50" t="n"/>
      <c r="PYA379" s="50" t="n"/>
      <c r="PYB379" s="50" t="n"/>
      <c r="PYC379" s="50" t="n"/>
      <c r="PYD379" s="50" t="n"/>
      <c r="PYE379" s="50" t="n"/>
      <c r="PYF379" s="50" t="n"/>
      <c r="PYG379" s="50" t="n"/>
      <c r="PYH379" s="50" t="n"/>
      <c r="PYI379" s="50" t="n"/>
      <c r="PYJ379" s="50" t="n"/>
      <c r="PYK379" s="50" t="n"/>
      <c r="PYL379" s="56" t="n"/>
      <c r="PYM379" s="50" t="n"/>
      <c r="PYN379" s="53" t="n"/>
      <c r="PYO379" s="84" t="n"/>
      <c r="PYP379" s="85" t="n"/>
      <c r="PYQ379" s="31" t="n"/>
      <c r="PYR379" s="50" t="n"/>
      <c r="PYS379" s="50" t="n"/>
      <c r="PYT379" s="50" t="n"/>
      <c r="PYU379" s="50" t="n"/>
      <c r="PYV379" s="50" t="n"/>
      <c r="PYW379" s="50" t="n"/>
      <c r="PYX379" s="50" t="n"/>
      <c r="PYY379" s="50" t="n"/>
      <c r="PYZ379" s="50" t="n"/>
      <c r="PZA379" s="50" t="n"/>
      <c r="PZB379" s="50" t="n"/>
      <c r="PZC379" s="50" t="n"/>
      <c r="PZD379" s="50" t="n"/>
      <c r="PZE379" s="50" t="n"/>
      <c r="PZF379" s="50" t="n"/>
      <c r="PZG379" s="50" t="n"/>
      <c r="PZH379" s="50" t="n"/>
      <c r="PZI379" s="50" t="n"/>
      <c r="PZJ379" s="50" t="n"/>
      <c r="PZK379" s="50" t="n"/>
      <c r="PZL379" s="50" t="n"/>
      <c r="PZM379" s="50" t="n"/>
      <c r="PZN379" s="50" t="n"/>
      <c r="PZO379" s="50" t="n"/>
      <c r="PZP379" s="56" t="n"/>
      <c r="PZQ379" s="50" t="n"/>
      <c r="PZR379" s="53" t="n"/>
      <c r="PZS379" s="84" t="n"/>
      <c r="PZT379" s="85" t="n"/>
      <c r="PZU379" s="31" t="n"/>
      <c r="PZV379" s="50" t="n"/>
      <c r="PZW379" s="50" t="n"/>
      <c r="PZX379" s="50" t="n"/>
      <c r="PZY379" s="50" t="n"/>
      <c r="PZZ379" s="50" t="n"/>
      <c r="QAA379" s="50" t="n"/>
      <c r="QAB379" s="50" t="n"/>
      <c r="QAC379" s="50" t="n"/>
      <c r="QAD379" s="50" t="n"/>
      <c r="QAE379" s="50" t="n"/>
      <c r="QAF379" s="50" t="n"/>
      <c r="QAG379" s="50" t="n"/>
      <c r="QAH379" s="50" t="n"/>
      <c r="QAI379" s="50" t="n"/>
      <c r="QAJ379" s="50" t="n"/>
      <c r="QAK379" s="50" t="n"/>
      <c r="QAL379" s="50" t="n"/>
      <c r="QAM379" s="50" t="n"/>
      <c r="QAN379" s="50" t="n"/>
      <c r="QAO379" s="50" t="n"/>
      <c r="QAP379" s="50" t="n"/>
      <c r="QAQ379" s="50" t="n"/>
      <c r="QAR379" s="50" t="n"/>
      <c r="QAS379" s="50" t="n"/>
      <c r="QAT379" s="56" t="n"/>
      <c r="QAU379" s="50" t="n"/>
      <c r="QAV379" s="53" t="n"/>
      <c r="QAW379" s="84" t="n"/>
      <c r="QAX379" s="85" t="n"/>
      <c r="QAY379" s="31" t="n"/>
      <c r="QAZ379" s="50" t="n"/>
      <c r="QBA379" s="50" t="n"/>
      <c r="QBB379" s="50" t="n"/>
      <c r="QBC379" s="50" t="n"/>
      <c r="QBD379" s="50" t="n"/>
      <c r="QBE379" s="50" t="n"/>
      <c r="QBF379" s="50" t="n"/>
      <c r="QBG379" s="50" t="n"/>
      <c r="QBH379" s="50" t="n"/>
      <c r="QBI379" s="50" t="n"/>
      <c r="QBJ379" s="50" t="n"/>
      <c r="QBK379" s="50" t="n"/>
      <c r="QBL379" s="50" t="n"/>
      <c r="QBM379" s="50" t="n"/>
      <c r="QBN379" s="50" t="n"/>
      <c r="QBO379" s="50" t="n"/>
      <c r="QBP379" s="50" t="n"/>
      <c r="QBQ379" s="50" t="n"/>
      <c r="QBR379" s="50" t="n"/>
      <c r="QBS379" s="50" t="n"/>
      <c r="QBT379" s="50" t="n"/>
      <c r="QBU379" s="50" t="n"/>
      <c r="QBV379" s="50" t="n"/>
      <c r="QBW379" s="50" t="n"/>
      <c r="QBX379" s="56" t="n"/>
      <c r="QBY379" s="50" t="n"/>
      <c r="QBZ379" s="53" t="n"/>
      <c r="QCA379" s="84" t="n"/>
      <c r="QCB379" s="85" t="n"/>
      <c r="QCC379" s="31" t="n"/>
      <c r="QCD379" s="50" t="n"/>
      <c r="QCE379" s="50" t="n"/>
      <c r="QCF379" s="50" t="n"/>
      <c r="QCG379" s="50" t="n"/>
      <c r="QCH379" s="50" t="n"/>
      <c r="QCI379" s="50" t="n"/>
      <c r="QCJ379" s="50" t="n"/>
      <c r="QCK379" s="50" t="n"/>
      <c r="QCL379" s="50" t="n"/>
      <c r="QCM379" s="50" t="n"/>
      <c r="QCN379" s="50" t="n"/>
      <c r="QCO379" s="50" t="n"/>
      <c r="QCP379" s="50" t="n"/>
      <c r="QCQ379" s="50" t="n"/>
      <c r="QCR379" s="50" t="n"/>
      <c r="QCS379" s="50" t="n"/>
      <c r="QCT379" s="50" t="n"/>
      <c r="QCU379" s="50" t="n"/>
      <c r="QCV379" s="50" t="n"/>
      <c r="QCW379" s="50" t="n"/>
      <c r="QCX379" s="50" t="n"/>
      <c r="QCY379" s="50" t="n"/>
      <c r="QCZ379" s="50" t="n"/>
      <c r="QDA379" s="50" t="n"/>
      <c r="QDB379" s="56" t="n"/>
      <c r="QDC379" s="50" t="n"/>
      <c r="QDD379" s="53" t="n"/>
      <c r="QDE379" s="84" t="n"/>
      <c r="QDF379" s="85" t="n"/>
      <c r="QDG379" s="31" t="n"/>
      <c r="QDH379" s="50" t="n"/>
      <c r="QDI379" s="50" t="n"/>
      <c r="QDJ379" s="50" t="n"/>
      <c r="QDK379" s="50" t="n"/>
      <c r="QDL379" s="50" t="n"/>
      <c r="QDM379" s="50" t="n"/>
      <c r="QDN379" s="50" t="n"/>
      <c r="QDO379" s="50" t="n"/>
      <c r="QDP379" s="50" t="n"/>
      <c r="QDQ379" s="50" t="n"/>
      <c r="QDR379" s="50" t="n"/>
      <c r="QDS379" s="50" t="n"/>
      <c r="QDT379" s="50" t="n"/>
      <c r="QDU379" s="50" t="n"/>
      <c r="QDV379" s="50" t="n"/>
      <c r="QDW379" s="50" t="n"/>
      <c r="QDX379" s="50" t="n"/>
      <c r="QDY379" s="50" t="n"/>
      <c r="QDZ379" s="50" t="n"/>
      <c r="QEA379" s="50" t="n"/>
      <c r="QEB379" s="50" t="n"/>
      <c r="QEC379" s="50" t="n"/>
      <c r="QED379" s="50" t="n"/>
      <c r="QEE379" s="50" t="n"/>
      <c r="QEF379" s="56" t="n"/>
      <c r="QEG379" s="50" t="n"/>
      <c r="QEH379" s="53" t="n"/>
      <c r="QEI379" s="84" t="n"/>
      <c r="QEJ379" s="85" t="n"/>
      <c r="QEK379" s="31" t="n"/>
      <c r="QEL379" s="50" t="n"/>
      <c r="QEM379" s="50" t="n"/>
      <c r="QEN379" s="50" t="n"/>
      <c r="QEO379" s="50" t="n"/>
      <c r="QEP379" s="50" t="n"/>
      <c r="QEQ379" s="50" t="n"/>
      <c r="QER379" s="50" t="n"/>
      <c r="QES379" s="50" t="n"/>
      <c r="QET379" s="50" t="n"/>
      <c r="QEU379" s="50" t="n"/>
      <c r="QEV379" s="50" t="n"/>
      <c r="QEW379" s="50" t="n"/>
      <c r="QEX379" s="50" t="n"/>
      <c r="QEY379" s="50" t="n"/>
      <c r="QEZ379" s="50" t="n"/>
      <c r="QFA379" s="50" t="n"/>
      <c r="QFB379" s="50" t="n"/>
      <c r="QFC379" s="50" t="n"/>
      <c r="QFD379" s="50" t="n"/>
      <c r="QFE379" s="50" t="n"/>
      <c r="QFF379" s="50" t="n"/>
      <c r="QFG379" s="50" t="n"/>
      <c r="QFH379" s="50" t="n"/>
      <c r="QFI379" s="50" t="n"/>
      <c r="QFJ379" s="56" t="n"/>
      <c r="QFK379" s="50" t="n"/>
      <c r="QFL379" s="53" t="n"/>
      <c r="QFM379" s="84" t="n"/>
      <c r="QFN379" s="85" t="n"/>
      <c r="QFO379" s="31" t="n"/>
      <c r="QFP379" s="50" t="n"/>
      <c r="QFQ379" s="50" t="n"/>
      <c r="QFR379" s="50" t="n"/>
      <c r="QFS379" s="50" t="n"/>
      <c r="QFT379" s="50" t="n"/>
      <c r="QFU379" s="50" t="n"/>
      <c r="QFV379" s="50" t="n"/>
      <c r="QFW379" s="50" t="n"/>
      <c r="QFX379" s="50" t="n"/>
      <c r="QFY379" s="50" t="n"/>
      <c r="QFZ379" s="50" t="n"/>
      <c r="QGA379" s="50" t="n"/>
      <c r="QGB379" s="50" t="n"/>
      <c r="QGC379" s="50" t="n"/>
      <c r="QGD379" s="50" t="n"/>
      <c r="QGE379" s="50" t="n"/>
      <c r="QGF379" s="50" t="n"/>
      <c r="QGG379" s="50" t="n"/>
      <c r="QGH379" s="50" t="n"/>
      <c r="QGI379" s="50" t="n"/>
      <c r="QGJ379" s="50" t="n"/>
      <c r="QGK379" s="50" t="n"/>
      <c r="QGL379" s="50" t="n"/>
      <c r="QGM379" s="50" t="n"/>
      <c r="QGN379" s="56" t="n"/>
      <c r="QGO379" s="50" t="n"/>
      <c r="QGP379" s="53" t="n"/>
      <c r="QGQ379" s="84" t="n"/>
      <c r="QGR379" s="85" t="n"/>
      <c r="QGS379" s="31" t="n"/>
      <c r="QGT379" s="50" t="n"/>
      <c r="QGU379" s="50" t="n"/>
      <c r="QGV379" s="50" t="n"/>
      <c r="QGW379" s="50" t="n"/>
      <c r="QGX379" s="50" t="n"/>
      <c r="QGY379" s="50" t="n"/>
      <c r="QGZ379" s="50" t="n"/>
      <c r="QHA379" s="50" t="n"/>
      <c r="QHB379" s="50" t="n"/>
      <c r="QHC379" s="50" t="n"/>
      <c r="QHD379" s="50" t="n"/>
      <c r="QHE379" s="50" t="n"/>
      <c r="QHF379" s="50" t="n"/>
      <c r="QHG379" s="50" t="n"/>
      <c r="QHH379" s="50" t="n"/>
      <c r="QHI379" s="50" t="n"/>
      <c r="QHJ379" s="50" t="n"/>
      <c r="QHK379" s="50" t="n"/>
      <c r="QHL379" s="50" t="n"/>
      <c r="QHM379" s="50" t="n"/>
      <c r="QHN379" s="50" t="n"/>
      <c r="QHO379" s="50" t="n"/>
      <c r="QHP379" s="50" t="n"/>
      <c r="QHQ379" s="50" t="n"/>
      <c r="QHR379" s="56" t="n"/>
      <c r="QHS379" s="50" t="n"/>
      <c r="QHT379" s="53" t="n"/>
      <c r="QHU379" s="84" t="n"/>
      <c r="QHV379" s="85" t="n"/>
      <c r="QHW379" s="31" t="n"/>
      <c r="QHX379" s="50" t="n"/>
      <c r="QHY379" s="50" t="n"/>
      <c r="QHZ379" s="50" t="n"/>
      <c r="QIA379" s="50" t="n"/>
      <c r="QIB379" s="50" t="n"/>
      <c r="QIC379" s="50" t="n"/>
      <c r="QID379" s="50" t="n"/>
      <c r="QIE379" s="50" t="n"/>
      <c r="QIF379" s="50" t="n"/>
      <c r="QIG379" s="50" t="n"/>
      <c r="QIH379" s="50" t="n"/>
      <c r="QII379" s="50" t="n"/>
      <c r="QIJ379" s="50" t="n"/>
      <c r="QIK379" s="50" t="n"/>
      <c r="QIL379" s="50" t="n"/>
      <c r="QIM379" s="50" t="n"/>
      <c r="QIN379" s="50" t="n"/>
      <c r="QIO379" s="50" t="n"/>
      <c r="QIP379" s="50" t="n"/>
      <c r="QIQ379" s="50" t="n"/>
      <c r="QIR379" s="50" t="n"/>
      <c r="QIS379" s="50" t="n"/>
      <c r="QIT379" s="50" t="n"/>
      <c r="QIU379" s="50" t="n"/>
      <c r="QIV379" s="56" t="n"/>
      <c r="QIW379" s="50" t="n"/>
      <c r="QIX379" s="53" t="n"/>
      <c r="QIY379" s="84" t="n"/>
      <c r="QIZ379" s="85" t="n"/>
      <c r="QJA379" s="31" t="n"/>
      <c r="QJB379" s="50" t="n"/>
      <c r="QJC379" s="50" t="n"/>
      <c r="QJD379" s="50" t="n"/>
      <c r="QJE379" s="50" t="n"/>
      <c r="QJF379" s="50" t="n"/>
      <c r="QJG379" s="50" t="n"/>
      <c r="QJH379" s="50" t="n"/>
      <c r="QJI379" s="50" t="n"/>
      <c r="QJJ379" s="50" t="n"/>
      <c r="QJK379" s="50" t="n"/>
      <c r="QJL379" s="50" t="n"/>
      <c r="QJM379" s="50" t="n"/>
      <c r="QJN379" s="50" t="n"/>
      <c r="QJO379" s="50" t="n"/>
      <c r="QJP379" s="50" t="n"/>
      <c r="QJQ379" s="50" t="n"/>
      <c r="QJR379" s="50" t="n"/>
      <c r="QJS379" s="50" t="n"/>
      <c r="QJT379" s="50" t="n"/>
      <c r="QJU379" s="50" t="n"/>
      <c r="QJV379" s="50" t="n"/>
      <c r="QJW379" s="50" t="n"/>
      <c r="QJX379" s="50" t="n"/>
      <c r="QJY379" s="50" t="n"/>
      <c r="QJZ379" s="56" t="n"/>
      <c r="QKA379" s="50" t="n"/>
      <c r="QKB379" s="53" t="n"/>
      <c r="QKC379" s="84" t="n"/>
      <c r="QKD379" s="85" t="n"/>
      <c r="QKE379" s="31" t="n"/>
      <c r="QKF379" s="50" t="n"/>
      <c r="QKG379" s="50" t="n"/>
      <c r="QKH379" s="50" t="n"/>
      <c r="QKI379" s="50" t="n"/>
      <c r="QKJ379" s="50" t="n"/>
      <c r="QKK379" s="50" t="n"/>
      <c r="QKL379" s="50" t="n"/>
      <c r="QKM379" s="50" t="n"/>
      <c r="QKN379" s="50" t="n"/>
      <c r="QKO379" s="50" t="n"/>
      <c r="QKP379" s="50" t="n"/>
      <c r="QKQ379" s="50" t="n"/>
      <c r="QKR379" s="50" t="n"/>
      <c r="QKS379" s="50" t="n"/>
      <c r="QKT379" s="50" t="n"/>
      <c r="QKU379" s="50" t="n"/>
      <c r="QKV379" s="50" t="n"/>
      <c r="QKW379" s="50" t="n"/>
      <c r="QKX379" s="50" t="n"/>
      <c r="QKY379" s="50" t="n"/>
      <c r="QKZ379" s="50" t="n"/>
      <c r="QLA379" s="50" t="n"/>
      <c r="QLB379" s="50" t="n"/>
      <c r="QLC379" s="50" t="n"/>
      <c r="QLD379" s="56" t="n"/>
      <c r="QLE379" s="50" t="n"/>
      <c r="QLF379" s="53" t="n"/>
      <c r="QLG379" s="84" t="n"/>
      <c r="QLH379" s="85" t="n"/>
      <c r="QLI379" s="31" t="n"/>
      <c r="QLJ379" s="50" t="n"/>
      <c r="QLK379" s="50" t="n"/>
      <c r="QLL379" s="50" t="n"/>
      <c r="QLM379" s="50" t="n"/>
      <c r="QLN379" s="50" t="n"/>
      <c r="QLO379" s="50" t="n"/>
      <c r="QLP379" s="50" t="n"/>
      <c r="QLQ379" s="50" t="n"/>
      <c r="QLR379" s="50" t="n"/>
      <c r="QLS379" s="50" t="n"/>
      <c r="QLT379" s="50" t="n"/>
      <c r="QLU379" s="50" t="n"/>
      <c r="QLV379" s="50" t="n"/>
      <c r="QLW379" s="50" t="n"/>
      <c r="QLX379" s="50" t="n"/>
      <c r="QLY379" s="50" t="n"/>
      <c r="QLZ379" s="50" t="n"/>
      <c r="QMA379" s="50" t="n"/>
      <c r="QMB379" s="50" t="n"/>
      <c r="QMC379" s="50" t="n"/>
      <c r="QMD379" s="50" t="n"/>
      <c r="QME379" s="50" t="n"/>
      <c r="QMF379" s="50" t="n"/>
      <c r="QMG379" s="50" t="n"/>
      <c r="QMH379" s="56" t="n"/>
      <c r="QMI379" s="50" t="n"/>
      <c r="QMJ379" s="53" t="n"/>
      <c r="QMK379" s="84" t="n"/>
      <c r="QML379" s="85" t="n"/>
      <c r="QMM379" s="31" t="n"/>
      <c r="QMN379" s="50" t="n"/>
      <c r="QMO379" s="50" t="n"/>
      <c r="QMP379" s="50" t="n"/>
      <c r="QMQ379" s="50" t="n"/>
      <c r="QMR379" s="50" t="n"/>
      <c r="QMS379" s="50" t="n"/>
      <c r="QMT379" s="50" t="n"/>
      <c r="QMU379" s="50" t="n"/>
      <c r="QMV379" s="50" t="n"/>
      <c r="QMW379" s="50" t="n"/>
      <c r="QMX379" s="50" t="n"/>
      <c r="QMY379" s="50" t="n"/>
      <c r="QMZ379" s="50" t="n"/>
      <c r="QNA379" s="50" t="n"/>
      <c r="QNB379" s="50" t="n"/>
      <c r="QNC379" s="50" t="n"/>
      <c r="QND379" s="50" t="n"/>
      <c r="QNE379" s="50" t="n"/>
      <c r="QNF379" s="50" t="n"/>
      <c r="QNG379" s="50" t="n"/>
      <c r="QNH379" s="50" t="n"/>
      <c r="QNI379" s="50" t="n"/>
      <c r="QNJ379" s="50" t="n"/>
      <c r="QNK379" s="50" t="n"/>
      <c r="QNL379" s="56" t="n"/>
      <c r="QNM379" s="50" t="n"/>
      <c r="QNN379" s="53" t="n"/>
      <c r="QNO379" s="84" t="n"/>
      <c r="QNP379" s="85" t="n"/>
      <c r="QNQ379" s="31" t="n"/>
      <c r="QNR379" s="50" t="n"/>
      <c r="QNS379" s="50" t="n"/>
      <c r="QNT379" s="50" t="n"/>
      <c r="QNU379" s="50" t="n"/>
      <c r="QNV379" s="50" t="n"/>
      <c r="QNW379" s="50" t="n"/>
      <c r="QNX379" s="50" t="n"/>
      <c r="QNY379" s="50" t="n"/>
      <c r="QNZ379" s="50" t="n"/>
      <c r="QOA379" s="50" t="n"/>
      <c r="QOB379" s="50" t="n"/>
      <c r="QOC379" s="50" t="n"/>
      <c r="QOD379" s="50" t="n"/>
      <c r="QOE379" s="50" t="n"/>
      <c r="QOF379" s="50" t="n"/>
      <c r="QOG379" s="50" t="n"/>
      <c r="QOH379" s="50" t="n"/>
      <c r="QOI379" s="50" t="n"/>
      <c r="QOJ379" s="50" t="n"/>
      <c r="QOK379" s="50" t="n"/>
      <c r="QOL379" s="50" t="n"/>
      <c r="QOM379" s="50" t="n"/>
      <c r="QON379" s="50" t="n"/>
      <c r="QOO379" s="50" t="n"/>
      <c r="QOP379" s="56" t="n"/>
      <c r="QOQ379" s="50" t="n"/>
      <c r="QOR379" s="53" t="n"/>
      <c r="QOS379" s="84" t="n"/>
      <c r="QOT379" s="85" t="n"/>
      <c r="QOU379" s="31" t="n"/>
      <c r="QOV379" s="50" t="n"/>
      <c r="QOW379" s="50" t="n"/>
      <c r="QOX379" s="50" t="n"/>
      <c r="QOY379" s="50" t="n"/>
      <c r="QOZ379" s="50" t="n"/>
      <c r="QPA379" s="50" t="n"/>
      <c r="QPB379" s="50" t="n"/>
      <c r="QPC379" s="50" t="n"/>
      <c r="QPD379" s="50" t="n"/>
      <c r="QPE379" s="50" t="n"/>
      <c r="QPF379" s="50" t="n"/>
      <c r="QPG379" s="50" t="n"/>
      <c r="QPH379" s="50" t="n"/>
      <c r="QPI379" s="50" t="n"/>
      <c r="QPJ379" s="50" t="n"/>
      <c r="QPK379" s="50" t="n"/>
      <c r="QPL379" s="50" t="n"/>
      <c r="QPM379" s="50" t="n"/>
      <c r="QPN379" s="50" t="n"/>
      <c r="QPO379" s="50" t="n"/>
      <c r="QPP379" s="50" t="n"/>
      <c r="QPQ379" s="50" t="n"/>
      <c r="QPR379" s="50" t="n"/>
      <c r="QPS379" s="50" t="n"/>
      <c r="QPT379" s="56" t="n"/>
      <c r="QPU379" s="50" t="n"/>
      <c r="QPV379" s="53" t="n"/>
      <c r="QPW379" s="84" t="n"/>
      <c r="QPX379" s="85" t="n"/>
      <c r="QPY379" s="31" t="n"/>
      <c r="QPZ379" s="50" t="n"/>
      <c r="QQA379" s="50" t="n"/>
      <c r="QQB379" s="50" t="n"/>
      <c r="QQC379" s="50" t="n"/>
      <c r="QQD379" s="50" t="n"/>
      <c r="QQE379" s="50" t="n"/>
      <c r="QQF379" s="50" t="n"/>
      <c r="QQG379" s="50" t="n"/>
      <c r="QQH379" s="50" t="n"/>
      <c r="QQI379" s="50" t="n"/>
      <c r="QQJ379" s="50" t="n"/>
      <c r="QQK379" s="50" t="n"/>
      <c r="QQL379" s="50" t="n"/>
      <c r="QQM379" s="50" t="n"/>
      <c r="QQN379" s="50" t="n"/>
      <c r="QQO379" s="50" t="n"/>
      <c r="QQP379" s="50" t="n"/>
      <c r="QQQ379" s="50" t="n"/>
      <c r="QQR379" s="50" t="n"/>
      <c r="QQS379" s="50" t="n"/>
      <c r="QQT379" s="50" t="n"/>
      <c r="QQU379" s="50" t="n"/>
      <c r="QQV379" s="50" t="n"/>
      <c r="QQW379" s="50" t="n"/>
      <c r="QQX379" s="56" t="n"/>
      <c r="QQY379" s="50" t="n"/>
      <c r="QQZ379" s="53" t="n"/>
      <c r="QRA379" s="84" t="n"/>
      <c r="QRB379" s="85" t="n"/>
      <c r="QRC379" s="31" t="n"/>
      <c r="QRD379" s="50" t="n"/>
      <c r="QRE379" s="50" t="n"/>
      <c r="QRF379" s="50" t="n"/>
      <c r="QRG379" s="50" t="n"/>
      <c r="QRH379" s="50" t="n"/>
      <c r="QRI379" s="50" t="n"/>
      <c r="QRJ379" s="50" t="n"/>
      <c r="QRK379" s="50" t="n"/>
      <c r="QRL379" s="50" t="n"/>
      <c r="QRM379" s="50" t="n"/>
      <c r="QRN379" s="50" t="n"/>
      <c r="QRO379" s="50" t="n"/>
      <c r="QRP379" s="50" t="n"/>
      <c r="QRQ379" s="50" t="n"/>
      <c r="QRR379" s="50" t="n"/>
      <c r="QRS379" s="50" t="n"/>
      <c r="QRT379" s="50" t="n"/>
      <c r="QRU379" s="50" t="n"/>
      <c r="QRV379" s="50" t="n"/>
      <c r="QRW379" s="50" t="n"/>
      <c r="QRX379" s="50" t="n"/>
      <c r="QRY379" s="50" t="n"/>
      <c r="QRZ379" s="50" t="n"/>
      <c r="QSA379" s="50" t="n"/>
      <c r="QSB379" s="56" t="n"/>
      <c r="QSC379" s="50" t="n"/>
      <c r="QSD379" s="53" t="n"/>
      <c r="QSE379" s="84" t="n"/>
      <c r="QSF379" s="85" t="n"/>
      <c r="QSG379" s="31" t="n"/>
      <c r="QSH379" s="50" t="n"/>
      <c r="QSI379" s="50" t="n"/>
      <c r="QSJ379" s="50" t="n"/>
      <c r="QSK379" s="50" t="n"/>
      <c r="QSL379" s="50" t="n"/>
      <c r="QSM379" s="50" t="n"/>
      <c r="QSN379" s="50" t="n"/>
      <c r="QSO379" s="50" t="n"/>
      <c r="QSP379" s="50" t="n"/>
      <c r="QSQ379" s="50" t="n"/>
      <c r="QSR379" s="50" t="n"/>
      <c r="QSS379" s="50" t="n"/>
      <c r="QST379" s="50" t="n"/>
      <c r="QSU379" s="50" t="n"/>
      <c r="QSV379" s="50" t="n"/>
      <c r="QSW379" s="50" t="n"/>
      <c r="QSX379" s="50" t="n"/>
      <c r="QSY379" s="50" t="n"/>
      <c r="QSZ379" s="50" t="n"/>
      <c r="QTA379" s="50" t="n"/>
      <c r="QTB379" s="50" t="n"/>
      <c r="QTC379" s="50" t="n"/>
      <c r="QTD379" s="50" t="n"/>
      <c r="QTE379" s="50" t="n"/>
      <c r="QTF379" s="56" t="n"/>
      <c r="QTG379" s="50" t="n"/>
      <c r="QTH379" s="53" t="n"/>
      <c r="QTI379" s="84" t="n"/>
      <c r="QTJ379" s="85" t="n"/>
      <c r="QTK379" s="31" t="n"/>
      <c r="QTL379" s="50" t="n"/>
      <c r="QTM379" s="50" t="n"/>
      <c r="QTN379" s="50" t="n"/>
      <c r="QTO379" s="50" t="n"/>
      <c r="QTP379" s="50" t="n"/>
      <c r="QTQ379" s="50" t="n"/>
      <c r="QTR379" s="50" t="n"/>
      <c r="QTS379" s="50" t="n"/>
      <c r="QTT379" s="50" t="n"/>
      <c r="QTU379" s="50" t="n"/>
      <c r="QTV379" s="50" t="n"/>
      <c r="QTW379" s="50" t="n"/>
      <c r="QTX379" s="50" t="n"/>
      <c r="QTY379" s="50" t="n"/>
      <c r="QTZ379" s="50" t="n"/>
      <c r="QUA379" s="50" t="n"/>
      <c r="QUB379" s="50" t="n"/>
      <c r="QUC379" s="50" t="n"/>
      <c r="QUD379" s="50" t="n"/>
      <c r="QUE379" s="50" t="n"/>
      <c r="QUF379" s="50" t="n"/>
      <c r="QUG379" s="50" t="n"/>
      <c r="QUH379" s="50" t="n"/>
      <c r="QUI379" s="50" t="n"/>
      <c r="QUJ379" s="56" t="n"/>
      <c r="QUK379" s="50" t="n"/>
      <c r="QUL379" s="53" t="n"/>
      <c r="QUM379" s="84" t="n"/>
      <c r="QUN379" s="85" t="n"/>
      <c r="QUO379" s="31" t="n"/>
      <c r="QUP379" s="50" t="n"/>
      <c r="QUQ379" s="50" t="n"/>
      <c r="QUR379" s="50" t="n"/>
      <c r="QUS379" s="50" t="n"/>
      <c r="QUT379" s="50" t="n"/>
      <c r="QUU379" s="50" t="n"/>
      <c r="QUV379" s="50" t="n"/>
      <c r="QUW379" s="50" t="n"/>
      <c r="QUX379" s="50" t="n"/>
      <c r="QUY379" s="50" t="n"/>
      <c r="QUZ379" s="50" t="n"/>
      <c r="QVA379" s="50" t="n"/>
      <c r="QVB379" s="50" t="n"/>
      <c r="QVC379" s="50" t="n"/>
      <c r="QVD379" s="50" t="n"/>
      <c r="QVE379" s="50" t="n"/>
      <c r="QVF379" s="50" t="n"/>
      <c r="QVG379" s="50" t="n"/>
      <c r="QVH379" s="50" t="n"/>
      <c r="QVI379" s="50" t="n"/>
      <c r="QVJ379" s="50" t="n"/>
      <c r="QVK379" s="50" t="n"/>
      <c r="QVL379" s="50" t="n"/>
      <c r="QVM379" s="50" t="n"/>
      <c r="QVN379" s="56" t="n"/>
      <c r="QVO379" s="50" t="n"/>
      <c r="QVP379" s="53" t="n"/>
      <c r="QVQ379" s="84" t="n"/>
      <c r="QVR379" s="85" t="n"/>
      <c r="QVS379" s="31" t="n"/>
      <c r="QVT379" s="50" t="n"/>
      <c r="QVU379" s="50" t="n"/>
      <c r="QVV379" s="50" t="n"/>
      <c r="QVW379" s="50" t="n"/>
      <c r="QVX379" s="50" t="n"/>
      <c r="QVY379" s="50" t="n"/>
      <c r="QVZ379" s="50" t="n"/>
      <c r="QWA379" s="50" t="n"/>
      <c r="QWB379" s="50" t="n"/>
      <c r="QWC379" s="50" t="n"/>
      <c r="QWD379" s="50" t="n"/>
      <c r="QWE379" s="50" t="n"/>
      <c r="QWF379" s="50" t="n"/>
      <c r="QWG379" s="50" t="n"/>
      <c r="QWH379" s="50" t="n"/>
      <c r="QWI379" s="50" t="n"/>
      <c r="QWJ379" s="50" t="n"/>
      <c r="QWK379" s="50" t="n"/>
      <c r="QWL379" s="50" t="n"/>
      <c r="QWM379" s="50" t="n"/>
      <c r="QWN379" s="50" t="n"/>
      <c r="QWO379" s="50" t="n"/>
      <c r="QWP379" s="50" t="n"/>
      <c r="QWQ379" s="50" t="n"/>
      <c r="QWR379" s="56" t="n"/>
      <c r="QWS379" s="50" t="n"/>
      <c r="QWT379" s="53" t="n"/>
      <c r="QWU379" s="84" t="n"/>
      <c r="QWV379" s="85" t="n"/>
      <c r="QWW379" s="31" t="n"/>
      <c r="QWX379" s="50" t="n"/>
      <c r="QWY379" s="50" t="n"/>
      <c r="QWZ379" s="50" t="n"/>
      <c r="QXA379" s="50" t="n"/>
      <c r="QXB379" s="50" t="n"/>
      <c r="QXC379" s="50" t="n"/>
      <c r="QXD379" s="50" t="n"/>
      <c r="QXE379" s="50" t="n"/>
      <c r="QXF379" s="50" t="n"/>
      <c r="QXG379" s="50" t="n"/>
      <c r="QXH379" s="50" t="n"/>
      <c r="QXI379" s="50" t="n"/>
      <c r="QXJ379" s="50" t="n"/>
      <c r="QXK379" s="50" t="n"/>
      <c r="QXL379" s="50" t="n"/>
      <c r="QXM379" s="50" t="n"/>
      <c r="QXN379" s="50" t="n"/>
      <c r="QXO379" s="50" t="n"/>
      <c r="QXP379" s="50" t="n"/>
      <c r="QXQ379" s="50" t="n"/>
      <c r="QXR379" s="50" t="n"/>
      <c r="QXS379" s="50" t="n"/>
      <c r="QXT379" s="50" t="n"/>
      <c r="QXU379" s="50" t="n"/>
      <c r="QXV379" s="56" t="n"/>
      <c r="QXW379" s="50" t="n"/>
      <c r="QXX379" s="53" t="n"/>
      <c r="QXY379" s="84" t="n"/>
      <c r="QXZ379" s="85" t="n"/>
      <c r="QYA379" s="31" t="n"/>
      <c r="QYB379" s="50" t="n"/>
      <c r="QYC379" s="50" t="n"/>
      <c r="QYD379" s="50" t="n"/>
      <c r="QYE379" s="50" t="n"/>
      <c r="QYF379" s="50" t="n"/>
      <c r="QYG379" s="50" t="n"/>
      <c r="QYH379" s="50" t="n"/>
      <c r="QYI379" s="50" t="n"/>
      <c r="QYJ379" s="50" t="n"/>
      <c r="QYK379" s="50" t="n"/>
      <c r="QYL379" s="50" t="n"/>
      <c r="QYM379" s="50" t="n"/>
      <c r="QYN379" s="50" t="n"/>
      <c r="QYO379" s="50" t="n"/>
      <c r="QYP379" s="50" t="n"/>
      <c r="QYQ379" s="50" t="n"/>
      <c r="QYR379" s="50" t="n"/>
      <c r="QYS379" s="50" t="n"/>
      <c r="QYT379" s="50" t="n"/>
      <c r="QYU379" s="50" t="n"/>
      <c r="QYV379" s="50" t="n"/>
      <c r="QYW379" s="50" t="n"/>
      <c r="QYX379" s="50" t="n"/>
      <c r="QYY379" s="50" t="n"/>
      <c r="QYZ379" s="56" t="n"/>
      <c r="QZA379" s="50" t="n"/>
      <c r="QZB379" s="53" t="n"/>
      <c r="QZC379" s="84" t="n"/>
      <c r="QZD379" s="85" t="n"/>
      <c r="QZE379" s="31" t="n"/>
      <c r="QZF379" s="50" t="n"/>
      <c r="QZG379" s="50" t="n"/>
      <c r="QZH379" s="50" t="n"/>
      <c r="QZI379" s="50" t="n"/>
      <c r="QZJ379" s="50" t="n"/>
      <c r="QZK379" s="50" t="n"/>
      <c r="QZL379" s="50" t="n"/>
      <c r="QZM379" s="50" t="n"/>
      <c r="QZN379" s="50" t="n"/>
      <c r="QZO379" s="50" t="n"/>
      <c r="QZP379" s="50" t="n"/>
      <c r="QZQ379" s="50" t="n"/>
      <c r="QZR379" s="50" t="n"/>
      <c r="QZS379" s="50" t="n"/>
      <c r="QZT379" s="50" t="n"/>
      <c r="QZU379" s="50" t="n"/>
      <c r="QZV379" s="50" t="n"/>
      <c r="QZW379" s="50" t="n"/>
      <c r="QZX379" s="50" t="n"/>
      <c r="QZY379" s="50" t="n"/>
      <c r="QZZ379" s="50" t="n"/>
      <c r="RAA379" s="50" t="n"/>
      <c r="RAB379" s="50" t="n"/>
      <c r="RAC379" s="50" t="n"/>
      <c r="RAD379" s="56" t="n"/>
      <c r="RAE379" s="50" t="n"/>
      <c r="RAF379" s="53" t="n"/>
      <c r="RAG379" s="84" t="n"/>
      <c r="RAH379" s="85" t="n"/>
      <c r="RAI379" s="31" t="n"/>
      <c r="RAJ379" s="50" t="n"/>
      <c r="RAK379" s="50" t="n"/>
      <c r="RAL379" s="50" t="n"/>
      <c r="RAM379" s="50" t="n"/>
      <c r="RAN379" s="50" t="n"/>
      <c r="RAO379" s="50" t="n"/>
      <c r="RAP379" s="50" t="n"/>
      <c r="RAQ379" s="50" t="n"/>
      <c r="RAR379" s="50" t="n"/>
      <c r="RAS379" s="50" t="n"/>
      <c r="RAT379" s="50" t="n"/>
      <c r="RAU379" s="50" t="n"/>
      <c r="RAV379" s="50" t="n"/>
      <c r="RAW379" s="50" t="n"/>
      <c r="RAX379" s="50" t="n"/>
      <c r="RAY379" s="50" t="n"/>
      <c r="RAZ379" s="50" t="n"/>
      <c r="RBA379" s="50" t="n"/>
      <c r="RBB379" s="50" t="n"/>
      <c r="RBC379" s="50" t="n"/>
      <c r="RBD379" s="50" t="n"/>
      <c r="RBE379" s="50" t="n"/>
      <c r="RBF379" s="50" t="n"/>
      <c r="RBG379" s="50" t="n"/>
      <c r="RBH379" s="56" t="n"/>
      <c r="RBI379" s="50" t="n"/>
      <c r="RBJ379" s="53" t="n"/>
      <c r="RBK379" s="84" t="n"/>
      <c r="RBL379" s="85" t="n"/>
      <c r="RBM379" s="31" t="n"/>
      <c r="RBN379" s="50" t="n"/>
      <c r="RBO379" s="50" t="n"/>
      <c r="RBP379" s="50" t="n"/>
      <c r="RBQ379" s="50" t="n"/>
      <c r="RBR379" s="50" t="n"/>
      <c r="RBS379" s="50" t="n"/>
      <c r="RBT379" s="50" t="n"/>
      <c r="RBU379" s="50" t="n"/>
      <c r="RBV379" s="50" t="n"/>
      <c r="RBW379" s="50" t="n"/>
      <c r="RBX379" s="50" t="n"/>
      <c r="RBY379" s="50" t="n"/>
      <c r="RBZ379" s="50" t="n"/>
      <c r="RCA379" s="50" t="n"/>
      <c r="RCB379" s="50" t="n"/>
      <c r="RCC379" s="50" t="n"/>
      <c r="RCD379" s="50" t="n"/>
      <c r="RCE379" s="50" t="n"/>
      <c r="RCF379" s="50" t="n"/>
      <c r="RCG379" s="50" t="n"/>
      <c r="RCH379" s="50" t="n"/>
      <c r="RCI379" s="50" t="n"/>
      <c r="RCJ379" s="50" t="n"/>
      <c r="RCK379" s="50" t="n"/>
      <c r="RCL379" s="56" t="n"/>
      <c r="RCM379" s="50" t="n"/>
      <c r="RCN379" s="53" t="n"/>
      <c r="RCO379" s="84" t="n"/>
      <c r="RCP379" s="85" t="n"/>
      <c r="RCQ379" s="31" t="n"/>
      <c r="RCR379" s="50" t="n"/>
      <c r="RCS379" s="50" t="n"/>
      <c r="RCT379" s="50" t="n"/>
      <c r="RCU379" s="50" t="n"/>
      <c r="RCV379" s="50" t="n"/>
      <c r="RCW379" s="50" t="n"/>
      <c r="RCX379" s="50" t="n"/>
      <c r="RCY379" s="50" t="n"/>
      <c r="RCZ379" s="50" t="n"/>
      <c r="RDA379" s="50" t="n"/>
      <c r="RDB379" s="50" t="n"/>
      <c r="RDC379" s="50" t="n"/>
      <c r="RDD379" s="50" t="n"/>
      <c r="RDE379" s="50" t="n"/>
      <c r="RDF379" s="50" t="n"/>
      <c r="RDG379" s="50" t="n"/>
      <c r="RDH379" s="50" t="n"/>
      <c r="RDI379" s="50" t="n"/>
      <c r="RDJ379" s="50" t="n"/>
      <c r="RDK379" s="50" t="n"/>
      <c r="RDL379" s="50" t="n"/>
      <c r="RDM379" s="50" t="n"/>
      <c r="RDN379" s="50" t="n"/>
      <c r="RDO379" s="50" t="n"/>
      <c r="RDP379" s="56" t="n"/>
      <c r="RDQ379" s="50" t="n"/>
      <c r="RDR379" s="53" t="n"/>
      <c r="RDS379" s="84" t="n"/>
      <c r="RDT379" s="85" t="n"/>
      <c r="RDU379" s="31" t="n"/>
      <c r="RDV379" s="50" t="n"/>
      <c r="RDW379" s="50" t="n"/>
      <c r="RDX379" s="50" t="n"/>
      <c r="RDY379" s="50" t="n"/>
      <c r="RDZ379" s="50" t="n"/>
      <c r="REA379" s="50" t="n"/>
      <c r="REB379" s="50" t="n"/>
      <c r="REC379" s="50" t="n"/>
      <c r="RED379" s="50" t="n"/>
      <c r="REE379" s="50" t="n"/>
      <c r="REF379" s="50" t="n"/>
      <c r="REG379" s="50" t="n"/>
      <c r="REH379" s="50" t="n"/>
      <c r="REI379" s="50" t="n"/>
      <c r="REJ379" s="50" t="n"/>
      <c r="REK379" s="50" t="n"/>
      <c r="REL379" s="50" t="n"/>
      <c r="REM379" s="50" t="n"/>
      <c r="REN379" s="50" t="n"/>
      <c r="REO379" s="50" t="n"/>
      <c r="REP379" s="50" t="n"/>
      <c r="REQ379" s="50" t="n"/>
      <c r="RER379" s="50" t="n"/>
      <c r="RES379" s="50" t="n"/>
      <c r="RET379" s="56" t="n"/>
      <c r="REU379" s="50" t="n"/>
      <c r="REV379" s="53" t="n"/>
      <c r="REW379" s="84" t="n"/>
      <c r="REX379" s="85" t="n"/>
      <c r="REY379" s="31" t="n"/>
      <c r="REZ379" s="50" t="n"/>
      <c r="RFA379" s="50" t="n"/>
      <c r="RFB379" s="50" t="n"/>
      <c r="RFC379" s="50" t="n"/>
      <c r="RFD379" s="50" t="n"/>
      <c r="RFE379" s="50" t="n"/>
      <c r="RFF379" s="50" t="n"/>
      <c r="RFG379" s="50" t="n"/>
      <c r="RFH379" s="50" t="n"/>
      <c r="RFI379" s="50" t="n"/>
      <c r="RFJ379" s="50" t="n"/>
      <c r="RFK379" s="50" t="n"/>
      <c r="RFL379" s="50" t="n"/>
      <c r="RFM379" s="50" t="n"/>
      <c r="RFN379" s="50" t="n"/>
      <c r="RFO379" s="50" t="n"/>
      <c r="RFP379" s="50" t="n"/>
      <c r="RFQ379" s="50" t="n"/>
      <c r="RFR379" s="50" t="n"/>
      <c r="RFS379" s="50" t="n"/>
      <c r="RFT379" s="50" t="n"/>
      <c r="RFU379" s="50" t="n"/>
      <c r="RFV379" s="50" t="n"/>
      <c r="RFW379" s="50" t="n"/>
      <c r="RFX379" s="56" t="n"/>
      <c r="RFY379" s="50" t="n"/>
      <c r="RFZ379" s="53" t="n"/>
      <c r="RGA379" s="84" t="n"/>
      <c r="RGB379" s="85" t="n"/>
      <c r="RGC379" s="31" t="n"/>
      <c r="RGD379" s="50" t="n"/>
      <c r="RGE379" s="50" t="n"/>
      <c r="RGF379" s="50" t="n"/>
      <c r="RGG379" s="50" t="n"/>
      <c r="RGH379" s="50" t="n"/>
      <c r="RGI379" s="50" t="n"/>
      <c r="RGJ379" s="50" t="n"/>
      <c r="RGK379" s="50" t="n"/>
      <c r="RGL379" s="50" t="n"/>
      <c r="RGM379" s="50" t="n"/>
      <c r="RGN379" s="50" t="n"/>
      <c r="RGO379" s="50" t="n"/>
      <c r="RGP379" s="50" t="n"/>
      <c r="RGQ379" s="50" t="n"/>
      <c r="RGR379" s="50" t="n"/>
      <c r="RGS379" s="50" t="n"/>
      <c r="RGT379" s="50" t="n"/>
      <c r="RGU379" s="50" t="n"/>
      <c r="RGV379" s="50" t="n"/>
      <c r="RGW379" s="50" t="n"/>
      <c r="RGX379" s="50" t="n"/>
      <c r="RGY379" s="50" t="n"/>
      <c r="RGZ379" s="50" t="n"/>
      <c r="RHA379" s="50" t="n"/>
      <c r="RHB379" s="56" t="n"/>
      <c r="RHC379" s="50" t="n"/>
      <c r="RHD379" s="53" t="n"/>
      <c r="RHE379" s="84" t="n"/>
      <c r="RHF379" s="85" t="n"/>
      <c r="RHG379" s="31" t="n"/>
      <c r="RHH379" s="50" t="n"/>
      <c r="RHI379" s="50" t="n"/>
      <c r="RHJ379" s="50" t="n"/>
      <c r="RHK379" s="50" t="n"/>
      <c r="RHL379" s="50" t="n"/>
      <c r="RHM379" s="50" t="n"/>
      <c r="RHN379" s="50" t="n"/>
      <c r="RHO379" s="50" t="n"/>
      <c r="RHP379" s="50" t="n"/>
      <c r="RHQ379" s="50" t="n"/>
      <c r="RHR379" s="50" t="n"/>
      <c r="RHS379" s="50" t="n"/>
      <c r="RHT379" s="50" t="n"/>
      <c r="RHU379" s="50" t="n"/>
      <c r="RHV379" s="50" t="n"/>
      <c r="RHW379" s="50" t="n"/>
      <c r="RHX379" s="50" t="n"/>
      <c r="RHY379" s="50" t="n"/>
      <c r="RHZ379" s="50" t="n"/>
      <c r="RIA379" s="50" t="n"/>
      <c r="RIB379" s="50" t="n"/>
      <c r="RIC379" s="50" t="n"/>
      <c r="RID379" s="50" t="n"/>
      <c r="RIE379" s="50" t="n"/>
      <c r="RIF379" s="56" t="n"/>
      <c r="RIG379" s="50" t="n"/>
      <c r="RIH379" s="53" t="n"/>
      <c r="RII379" s="84" t="n"/>
      <c r="RIJ379" s="85" t="n"/>
      <c r="RIK379" s="31" t="n"/>
      <c r="RIL379" s="50" t="n"/>
      <c r="RIM379" s="50" t="n"/>
      <c r="RIN379" s="50" t="n"/>
      <c r="RIO379" s="50" t="n"/>
      <c r="RIP379" s="50" t="n"/>
      <c r="RIQ379" s="50" t="n"/>
      <c r="RIR379" s="50" t="n"/>
      <c r="RIS379" s="50" t="n"/>
      <c r="RIT379" s="50" t="n"/>
      <c r="RIU379" s="50" t="n"/>
      <c r="RIV379" s="50" t="n"/>
      <c r="RIW379" s="50" t="n"/>
      <c r="RIX379" s="50" t="n"/>
      <c r="RIY379" s="50" t="n"/>
      <c r="RIZ379" s="50" t="n"/>
      <c r="RJA379" s="50" t="n"/>
      <c r="RJB379" s="50" t="n"/>
      <c r="RJC379" s="50" t="n"/>
      <c r="RJD379" s="50" t="n"/>
      <c r="RJE379" s="50" t="n"/>
      <c r="RJF379" s="50" t="n"/>
      <c r="RJG379" s="50" t="n"/>
      <c r="RJH379" s="50" t="n"/>
      <c r="RJI379" s="50" t="n"/>
      <c r="RJJ379" s="56" t="n"/>
      <c r="RJK379" s="50" t="n"/>
      <c r="RJL379" s="53" t="n"/>
      <c r="RJM379" s="84" t="n"/>
      <c r="RJN379" s="85" t="n"/>
      <c r="RJO379" s="31" t="n"/>
      <c r="RJP379" s="50" t="n"/>
      <c r="RJQ379" s="50" t="n"/>
      <c r="RJR379" s="50" t="n"/>
      <c r="RJS379" s="50" t="n"/>
      <c r="RJT379" s="50" t="n"/>
      <c r="RJU379" s="50" t="n"/>
      <c r="RJV379" s="50" t="n"/>
      <c r="RJW379" s="50" t="n"/>
      <c r="RJX379" s="50" t="n"/>
      <c r="RJY379" s="50" t="n"/>
      <c r="RJZ379" s="50" t="n"/>
      <c r="RKA379" s="50" t="n"/>
      <c r="RKB379" s="50" t="n"/>
      <c r="RKC379" s="50" t="n"/>
      <c r="RKD379" s="50" t="n"/>
      <c r="RKE379" s="50" t="n"/>
      <c r="RKF379" s="50" t="n"/>
      <c r="RKG379" s="50" t="n"/>
      <c r="RKH379" s="50" t="n"/>
      <c r="RKI379" s="50" t="n"/>
      <c r="RKJ379" s="50" t="n"/>
      <c r="RKK379" s="50" t="n"/>
      <c r="RKL379" s="50" t="n"/>
      <c r="RKM379" s="50" t="n"/>
      <c r="RKN379" s="56" t="n"/>
      <c r="RKO379" s="50" t="n"/>
      <c r="RKP379" s="53" t="n"/>
      <c r="RKQ379" s="84" t="n"/>
      <c r="RKR379" s="85" t="n"/>
      <c r="RKS379" s="31" t="n"/>
      <c r="RKT379" s="50" t="n"/>
      <c r="RKU379" s="50" t="n"/>
      <c r="RKV379" s="50" t="n"/>
      <c r="RKW379" s="50" t="n"/>
      <c r="RKX379" s="50" t="n"/>
      <c r="RKY379" s="50" t="n"/>
      <c r="RKZ379" s="50" t="n"/>
      <c r="RLA379" s="50" t="n"/>
      <c r="RLB379" s="50" t="n"/>
      <c r="RLC379" s="50" t="n"/>
      <c r="RLD379" s="50" t="n"/>
      <c r="RLE379" s="50" t="n"/>
      <c r="RLF379" s="50" t="n"/>
      <c r="RLG379" s="50" t="n"/>
      <c r="RLH379" s="50" t="n"/>
      <c r="RLI379" s="50" t="n"/>
      <c r="RLJ379" s="50" t="n"/>
      <c r="RLK379" s="50" t="n"/>
      <c r="RLL379" s="50" t="n"/>
      <c r="RLM379" s="50" t="n"/>
      <c r="RLN379" s="50" t="n"/>
      <c r="RLO379" s="50" t="n"/>
      <c r="RLP379" s="50" t="n"/>
      <c r="RLQ379" s="50" t="n"/>
      <c r="RLR379" s="56" t="n"/>
      <c r="RLS379" s="50" t="n"/>
      <c r="RLT379" s="53" t="n"/>
      <c r="RLU379" s="84" t="n"/>
      <c r="RLV379" s="85" t="n"/>
      <c r="RLW379" s="31" t="n"/>
      <c r="RLX379" s="50" t="n"/>
      <c r="RLY379" s="50" t="n"/>
      <c r="RLZ379" s="50" t="n"/>
      <c r="RMA379" s="50" t="n"/>
      <c r="RMB379" s="50" t="n"/>
      <c r="RMC379" s="50" t="n"/>
      <c r="RMD379" s="50" t="n"/>
      <c r="RME379" s="50" t="n"/>
      <c r="RMF379" s="50" t="n"/>
      <c r="RMG379" s="50" t="n"/>
      <c r="RMH379" s="50" t="n"/>
      <c r="RMI379" s="50" t="n"/>
      <c r="RMJ379" s="50" t="n"/>
      <c r="RMK379" s="50" t="n"/>
      <c r="RML379" s="50" t="n"/>
      <c r="RMM379" s="50" t="n"/>
      <c r="RMN379" s="50" t="n"/>
      <c r="RMO379" s="50" t="n"/>
      <c r="RMP379" s="50" t="n"/>
      <c r="RMQ379" s="50" t="n"/>
      <c r="RMR379" s="50" t="n"/>
      <c r="RMS379" s="50" t="n"/>
      <c r="RMT379" s="50" t="n"/>
      <c r="RMU379" s="50" t="n"/>
      <c r="RMV379" s="56" t="n"/>
      <c r="RMW379" s="50" t="n"/>
      <c r="RMX379" s="53" t="n"/>
      <c r="RMY379" s="84" t="n"/>
      <c r="RMZ379" s="85" t="n"/>
      <c r="RNA379" s="31" t="n"/>
      <c r="RNB379" s="50" t="n"/>
      <c r="RNC379" s="50" t="n"/>
      <c r="RND379" s="50" t="n"/>
      <c r="RNE379" s="50" t="n"/>
      <c r="RNF379" s="50" t="n"/>
      <c r="RNG379" s="50" t="n"/>
      <c r="RNH379" s="50" t="n"/>
      <c r="RNI379" s="50" t="n"/>
      <c r="RNJ379" s="50" t="n"/>
      <c r="RNK379" s="50" t="n"/>
      <c r="RNL379" s="50" t="n"/>
      <c r="RNM379" s="50" t="n"/>
      <c r="RNN379" s="50" t="n"/>
      <c r="RNO379" s="50" t="n"/>
      <c r="RNP379" s="50" t="n"/>
      <c r="RNQ379" s="50" t="n"/>
      <c r="RNR379" s="50" t="n"/>
      <c r="RNS379" s="50" t="n"/>
      <c r="RNT379" s="50" t="n"/>
      <c r="RNU379" s="50" t="n"/>
      <c r="RNV379" s="50" t="n"/>
      <c r="RNW379" s="50" t="n"/>
      <c r="RNX379" s="50" t="n"/>
      <c r="RNY379" s="50" t="n"/>
      <c r="RNZ379" s="56" t="n"/>
      <c r="ROA379" s="50" t="n"/>
      <c r="ROB379" s="53" t="n"/>
      <c r="ROC379" s="84" t="n"/>
      <c r="ROD379" s="85" t="n"/>
      <c r="ROE379" s="31" t="n"/>
      <c r="ROF379" s="50" t="n"/>
      <c r="ROG379" s="50" t="n"/>
      <c r="ROH379" s="50" t="n"/>
      <c r="ROI379" s="50" t="n"/>
      <c r="ROJ379" s="50" t="n"/>
      <c r="ROK379" s="50" t="n"/>
      <c r="ROL379" s="50" t="n"/>
      <c r="ROM379" s="50" t="n"/>
      <c r="RON379" s="50" t="n"/>
      <c r="ROO379" s="50" t="n"/>
      <c r="ROP379" s="50" t="n"/>
      <c r="ROQ379" s="50" t="n"/>
      <c r="ROR379" s="50" t="n"/>
      <c r="ROS379" s="50" t="n"/>
      <c r="ROT379" s="50" t="n"/>
      <c r="ROU379" s="50" t="n"/>
      <c r="ROV379" s="50" t="n"/>
      <c r="ROW379" s="50" t="n"/>
      <c r="ROX379" s="50" t="n"/>
      <c r="ROY379" s="50" t="n"/>
      <c r="ROZ379" s="50" t="n"/>
      <c r="RPA379" s="50" t="n"/>
      <c r="RPB379" s="50" t="n"/>
      <c r="RPC379" s="50" t="n"/>
      <c r="RPD379" s="56" t="n"/>
      <c r="RPE379" s="50" t="n"/>
      <c r="RPF379" s="53" t="n"/>
      <c r="RPG379" s="84" t="n"/>
      <c r="RPH379" s="85" t="n"/>
      <c r="RPI379" s="31" t="n"/>
      <c r="RPJ379" s="50" t="n"/>
      <c r="RPK379" s="50" t="n"/>
      <c r="RPL379" s="50" t="n"/>
      <c r="RPM379" s="50" t="n"/>
      <c r="RPN379" s="50" t="n"/>
      <c r="RPO379" s="50" t="n"/>
      <c r="RPP379" s="50" t="n"/>
      <c r="RPQ379" s="50" t="n"/>
      <c r="RPR379" s="50" t="n"/>
      <c r="RPS379" s="50" t="n"/>
      <c r="RPT379" s="50" t="n"/>
      <c r="RPU379" s="50" t="n"/>
      <c r="RPV379" s="50" t="n"/>
      <c r="RPW379" s="50" t="n"/>
      <c r="RPX379" s="50" t="n"/>
      <c r="RPY379" s="50" t="n"/>
      <c r="RPZ379" s="50" t="n"/>
      <c r="RQA379" s="50" t="n"/>
      <c r="RQB379" s="50" t="n"/>
      <c r="RQC379" s="50" t="n"/>
      <c r="RQD379" s="50" t="n"/>
      <c r="RQE379" s="50" t="n"/>
      <c r="RQF379" s="50" t="n"/>
      <c r="RQG379" s="50" t="n"/>
      <c r="RQH379" s="56" t="n"/>
      <c r="RQI379" s="50" t="n"/>
      <c r="RQJ379" s="53" t="n"/>
      <c r="RQK379" s="84" t="n"/>
      <c r="RQL379" s="85" t="n"/>
      <c r="RQM379" s="31" t="n"/>
      <c r="RQN379" s="50" t="n"/>
      <c r="RQO379" s="50" t="n"/>
      <c r="RQP379" s="50" t="n"/>
      <c r="RQQ379" s="50" t="n"/>
      <c r="RQR379" s="50" t="n"/>
      <c r="RQS379" s="50" t="n"/>
      <c r="RQT379" s="50" t="n"/>
      <c r="RQU379" s="50" t="n"/>
      <c r="RQV379" s="50" t="n"/>
      <c r="RQW379" s="50" t="n"/>
      <c r="RQX379" s="50" t="n"/>
      <c r="RQY379" s="50" t="n"/>
      <c r="RQZ379" s="50" t="n"/>
      <c r="RRA379" s="50" t="n"/>
      <c r="RRB379" s="50" t="n"/>
      <c r="RRC379" s="50" t="n"/>
      <c r="RRD379" s="50" t="n"/>
      <c r="RRE379" s="50" t="n"/>
      <c r="RRF379" s="50" t="n"/>
      <c r="RRG379" s="50" t="n"/>
      <c r="RRH379" s="50" t="n"/>
      <c r="RRI379" s="50" t="n"/>
      <c r="RRJ379" s="50" t="n"/>
      <c r="RRK379" s="50" t="n"/>
      <c r="RRL379" s="56" t="n"/>
      <c r="RRM379" s="50" t="n"/>
      <c r="RRN379" s="53" t="n"/>
      <c r="RRO379" s="84" t="n"/>
      <c r="RRP379" s="85" t="n"/>
      <c r="RRQ379" s="31" t="n"/>
      <c r="RRR379" s="50" t="n"/>
      <c r="RRS379" s="50" t="n"/>
      <c r="RRT379" s="50" t="n"/>
      <c r="RRU379" s="50" t="n"/>
      <c r="RRV379" s="50" t="n"/>
      <c r="RRW379" s="50" t="n"/>
      <c r="RRX379" s="50" t="n"/>
      <c r="RRY379" s="50" t="n"/>
      <c r="RRZ379" s="50" t="n"/>
      <c r="RSA379" s="50" t="n"/>
      <c r="RSB379" s="50" t="n"/>
      <c r="RSC379" s="50" t="n"/>
      <c r="RSD379" s="50" t="n"/>
      <c r="RSE379" s="50" t="n"/>
      <c r="RSF379" s="50" t="n"/>
      <c r="RSG379" s="50" t="n"/>
      <c r="RSH379" s="50" t="n"/>
      <c r="RSI379" s="50" t="n"/>
      <c r="RSJ379" s="50" t="n"/>
      <c r="RSK379" s="50" t="n"/>
      <c r="RSL379" s="50" t="n"/>
      <c r="RSM379" s="50" t="n"/>
      <c r="RSN379" s="50" t="n"/>
      <c r="RSO379" s="50" t="n"/>
      <c r="RSP379" s="56" t="n"/>
      <c r="RSQ379" s="50" t="n"/>
      <c r="RSR379" s="53" t="n"/>
      <c r="RSS379" s="84" t="n"/>
      <c r="RST379" s="85" t="n"/>
      <c r="RSU379" s="31" t="n"/>
      <c r="RSV379" s="50" t="n"/>
      <c r="RSW379" s="50" t="n"/>
      <c r="RSX379" s="50" t="n"/>
      <c r="RSY379" s="50" t="n"/>
      <c r="RSZ379" s="50" t="n"/>
      <c r="RTA379" s="50" t="n"/>
      <c r="RTB379" s="50" t="n"/>
      <c r="RTC379" s="50" t="n"/>
      <c r="RTD379" s="50" t="n"/>
      <c r="RTE379" s="50" t="n"/>
      <c r="RTF379" s="50" t="n"/>
      <c r="RTG379" s="50" t="n"/>
      <c r="RTH379" s="50" t="n"/>
      <c r="RTI379" s="50" t="n"/>
      <c r="RTJ379" s="50" t="n"/>
      <c r="RTK379" s="50" t="n"/>
      <c r="RTL379" s="50" t="n"/>
      <c r="RTM379" s="50" t="n"/>
      <c r="RTN379" s="50" t="n"/>
      <c r="RTO379" s="50" t="n"/>
      <c r="RTP379" s="50" t="n"/>
      <c r="RTQ379" s="50" t="n"/>
      <c r="RTR379" s="50" t="n"/>
      <c r="RTS379" s="50" t="n"/>
      <c r="RTT379" s="56" t="n"/>
      <c r="RTU379" s="50" t="n"/>
      <c r="RTV379" s="53" t="n"/>
      <c r="RTW379" s="84" t="n"/>
      <c r="RTX379" s="85" t="n"/>
      <c r="RTY379" s="31" t="n"/>
      <c r="RTZ379" s="50" t="n"/>
      <c r="RUA379" s="50" t="n"/>
      <c r="RUB379" s="50" t="n"/>
      <c r="RUC379" s="50" t="n"/>
      <c r="RUD379" s="50" t="n"/>
      <c r="RUE379" s="50" t="n"/>
      <c r="RUF379" s="50" t="n"/>
      <c r="RUG379" s="50" t="n"/>
      <c r="RUH379" s="50" t="n"/>
      <c r="RUI379" s="50" t="n"/>
      <c r="RUJ379" s="50" t="n"/>
      <c r="RUK379" s="50" t="n"/>
      <c r="RUL379" s="50" t="n"/>
      <c r="RUM379" s="50" t="n"/>
      <c r="RUN379" s="50" t="n"/>
      <c r="RUO379" s="50" t="n"/>
      <c r="RUP379" s="50" t="n"/>
      <c r="RUQ379" s="50" t="n"/>
      <c r="RUR379" s="50" t="n"/>
      <c r="RUS379" s="50" t="n"/>
      <c r="RUT379" s="50" t="n"/>
      <c r="RUU379" s="50" t="n"/>
      <c r="RUV379" s="50" t="n"/>
      <c r="RUW379" s="50" t="n"/>
      <c r="RUX379" s="56" t="n"/>
      <c r="RUY379" s="50" t="n"/>
      <c r="RUZ379" s="53" t="n"/>
      <c r="RVA379" s="84" t="n"/>
      <c r="RVB379" s="85" t="n"/>
      <c r="RVC379" s="31" t="n"/>
      <c r="RVD379" s="50" t="n"/>
      <c r="RVE379" s="50" t="n"/>
      <c r="RVF379" s="50" t="n"/>
      <c r="RVG379" s="50" t="n"/>
      <c r="RVH379" s="50" t="n"/>
      <c r="RVI379" s="50" t="n"/>
      <c r="RVJ379" s="50" t="n"/>
      <c r="RVK379" s="50" t="n"/>
      <c r="RVL379" s="50" t="n"/>
      <c r="RVM379" s="50" t="n"/>
      <c r="RVN379" s="50" t="n"/>
      <c r="RVO379" s="50" t="n"/>
      <c r="RVP379" s="50" t="n"/>
      <c r="RVQ379" s="50" t="n"/>
      <c r="RVR379" s="50" t="n"/>
      <c r="RVS379" s="50" t="n"/>
      <c r="RVT379" s="50" t="n"/>
      <c r="RVU379" s="50" t="n"/>
      <c r="RVV379" s="50" t="n"/>
      <c r="RVW379" s="50" t="n"/>
      <c r="RVX379" s="50" t="n"/>
      <c r="RVY379" s="50" t="n"/>
      <c r="RVZ379" s="50" t="n"/>
      <c r="RWA379" s="50" t="n"/>
      <c r="RWB379" s="56" t="n"/>
      <c r="RWC379" s="50" t="n"/>
      <c r="RWD379" s="53" t="n"/>
      <c r="RWE379" s="84" t="n"/>
      <c r="RWF379" s="85" t="n"/>
      <c r="RWG379" s="31" t="n"/>
      <c r="RWH379" s="50" t="n"/>
      <c r="RWI379" s="50" t="n"/>
      <c r="RWJ379" s="50" t="n"/>
      <c r="RWK379" s="50" t="n"/>
      <c r="RWL379" s="50" t="n"/>
      <c r="RWM379" s="50" t="n"/>
      <c r="RWN379" s="50" t="n"/>
      <c r="RWO379" s="50" t="n"/>
      <c r="RWP379" s="50" t="n"/>
      <c r="RWQ379" s="50" t="n"/>
      <c r="RWR379" s="50" t="n"/>
      <c r="RWS379" s="50" t="n"/>
      <c r="RWT379" s="50" t="n"/>
      <c r="RWU379" s="50" t="n"/>
      <c r="RWV379" s="50" t="n"/>
      <c r="RWW379" s="50" t="n"/>
      <c r="RWX379" s="50" t="n"/>
      <c r="RWY379" s="50" t="n"/>
      <c r="RWZ379" s="50" t="n"/>
      <c r="RXA379" s="50" t="n"/>
      <c r="RXB379" s="50" t="n"/>
      <c r="RXC379" s="50" t="n"/>
      <c r="RXD379" s="50" t="n"/>
      <c r="RXE379" s="50" t="n"/>
      <c r="RXF379" s="56" t="n"/>
      <c r="RXG379" s="50" t="n"/>
      <c r="RXH379" s="53" t="n"/>
      <c r="RXI379" s="84" t="n"/>
      <c r="RXJ379" s="85" t="n"/>
      <c r="RXK379" s="31" t="n"/>
      <c r="RXL379" s="50" t="n"/>
      <c r="RXM379" s="50" t="n"/>
      <c r="RXN379" s="50" t="n"/>
      <c r="RXO379" s="50" t="n"/>
      <c r="RXP379" s="50" t="n"/>
      <c r="RXQ379" s="50" t="n"/>
      <c r="RXR379" s="50" t="n"/>
      <c r="RXS379" s="50" t="n"/>
      <c r="RXT379" s="50" t="n"/>
      <c r="RXU379" s="50" t="n"/>
      <c r="RXV379" s="50" t="n"/>
      <c r="RXW379" s="50" t="n"/>
      <c r="RXX379" s="50" t="n"/>
      <c r="RXY379" s="50" t="n"/>
      <c r="RXZ379" s="50" t="n"/>
      <c r="RYA379" s="50" t="n"/>
      <c r="RYB379" s="50" t="n"/>
      <c r="RYC379" s="50" t="n"/>
      <c r="RYD379" s="50" t="n"/>
      <c r="RYE379" s="50" t="n"/>
      <c r="RYF379" s="50" t="n"/>
      <c r="RYG379" s="50" t="n"/>
      <c r="RYH379" s="50" t="n"/>
      <c r="RYI379" s="50" t="n"/>
      <c r="RYJ379" s="56" t="n"/>
      <c r="RYK379" s="50" t="n"/>
      <c r="RYL379" s="53" t="n"/>
      <c r="RYM379" s="84" t="n"/>
      <c r="RYN379" s="85" t="n"/>
      <c r="RYO379" s="31" t="n"/>
      <c r="RYP379" s="50" t="n"/>
      <c r="RYQ379" s="50" t="n"/>
      <c r="RYR379" s="50" t="n"/>
      <c r="RYS379" s="50" t="n"/>
      <c r="RYT379" s="50" t="n"/>
      <c r="RYU379" s="50" t="n"/>
      <c r="RYV379" s="50" t="n"/>
      <c r="RYW379" s="50" t="n"/>
      <c r="RYX379" s="50" t="n"/>
      <c r="RYY379" s="50" t="n"/>
      <c r="RYZ379" s="50" t="n"/>
      <c r="RZA379" s="50" t="n"/>
      <c r="RZB379" s="50" t="n"/>
      <c r="RZC379" s="50" t="n"/>
      <c r="RZD379" s="50" t="n"/>
      <c r="RZE379" s="50" t="n"/>
      <c r="RZF379" s="50" t="n"/>
      <c r="RZG379" s="50" t="n"/>
      <c r="RZH379" s="50" t="n"/>
      <c r="RZI379" s="50" t="n"/>
      <c r="RZJ379" s="50" t="n"/>
      <c r="RZK379" s="50" t="n"/>
      <c r="RZL379" s="50" t="n"/>
      <c r="RZM379" s="50" t="n"/>
      <c r="RZN379" s="56" t="n"/>
      <c r="RZO379" s="50" t="n"/>
      <c r="RZP379" s="53" t="n"/>
      <c r="RZQ379" s="84" t="n"/>
      <c r="RZR379" s="85" t="n"/>
      <c r="RZS379" s="31" t="n"/>
      <c r="RZT379" s="50" t="n"/>
      <c r="RZU379" s="50" t="n"/>
      <c r="RZV379" s="50" t="n"/>
      <c r="RZW379" s="50" t="n"/>
      <c r="RZX379" s="50" t="n"/>
      <c r="RZY379" s="50" t="n"/>
      <c r="RZZ379" s="50" t="n"/>
      <c r="SAA379" s="50" t="n"/>
      <c r="SAB379" s="50" t="n"/>
      <c r="SAC379" s="50" t="n"/>
      <c r="SAD379" s="50" t="n"/>
      <c r="SAE379" s="50" t="n"/>
      <c r="SAF379" s="50" t="n"/>
      <c r="SAG379" s="50" t="n"/>
      <c r="SAH379" s="50" t="n"/>
      <c r="SAI379" s="50" t="n"/>
      <c r="SAJ379" s="50" t="n"/>
      <c r="SAK379" s="50" t="n"/>
      <c r="SAL379" s="50" t="n"/>
      <c r="SAM379" s="50" t="n"/>
      <c r="SAN379" s="50" t="n"/>
      <c r="SAO379" s="50" t="n"/>
      <c r="SAP379" s="50" t="n"/>
      <c r="SAQ379" s="50" t="n"/>
      <c r="SAR379" s="56" t="n"/>
      <c r="SAS379" s="50" t="n"/>
      <c r="SAT379" s="53" t="n"/>
      <c r="SAU379" s="84" t="n"/>
      <c r="SAV379" s="85" t="n"/>
      <c r="SAW379" s="31" t="n"/>
      <c r="SAX379" s="50" t="n"/>
      <c r="SAY379" s="50" t="n"/>
      <c r="SAZ379" s="50" t="n"/>
      <c r="SBA379" s="50" t="n"/>
      <c r="SBB379" s="50" t="n"/>
      <c r="SBC379" s="50" t="n"/>
      <c r="SBD379" s="50" t="n"/>
      <c r="SBE379" s="50" t="n"/>
      <c r="SBF379" s="50" t="n"/>
      <c r="SBG379" s="50" t="n"/>
      <c r="SBH379" s="50" t="n"/>
      <c r="SBI379" s="50" t="n"/>
      <c r="SBJ379" s="50" t="n"/>
      <c r="SBK379" s="50" t="n"/>
      <c r="SBL379" s="50" t="n"/>
      <c r="SBM379" s="50" t="n"/>
      <c r="SBN379" s="50" t="n"/>
      <c r="SBO379" s="50" t="n"/>
      <c r="SBP379" s="50" t="n"/>
      <c r="SBQ379" s="50" t="n"/>
      <c r="SBR379" s="50" t="n"/>
      <c r="SBS379" s="50" t="n"/>
      <c r="SBT379" s="50" t="n"/>
      <c r="SBU379" s="50" t="n"/>
      <c r="SBV379" s="56" t="n"/>
      <c r="SBW379" s="50" t="n"/>
      <c r="SBX379" s="53" t="n"/>
      <c r="SBY379" s="84" t="n"/>
      <c r="SBZ379" s="85" t="n"/>
      <c r="SCA379" s="31" t="n"/>
      <c r="SCB379" s="50" t="n"/>
      <c r="SCC379" s="50" t="n"/>
      <c r="SCD379" s="50" t="n"/>
      <c r="SCE379" s="50" t="n"/>
      <c r="SCF379" s="50" t="n"/>
      <c r="SCG379" s="50" t="n"/>
      <c r="SCH379" s="50" t="n"/>
      <c r="SCI379" s="50" t="n"/>
      <c r="SCJ379" s="50" t="n"/>
      <c r="SCK379" s="50" t="n"/>
      <c r="SCL379" s="50" t="n"/>
      <c r="SCM379" s="50" t="n"/>
      <c r="SCN379" s="50" t="n"/>
      <c r="SCO379" s="50" t="n"/>
      <c r="SCP379" s="50" t="n"/>
      <c r="SCQ379" s="50" t="n"/>
      <c r="SCR379" s="50" t="n"/>
      <c r="SCS379" s="50" t="n"/>
      <c r="SCT379" s="50" t="n"/>
      <c r="SCU379" s="50" t="n"/>
      <c r="SCV379" s="50" t="n"/>
      <c r="SCW379" s="50" t="n"/>
      <c r="SCX379" s="50" t="n"/>
      <c r="SCY379" s="50" t="n"/>
      <c r="SCZ379" s="56" t="n"/>
      <c r="SDA379" s="50" t="n"/>
      <c r="SDB379" s="53" t="n"/>
      <c r="SDC379" s="84" t="n"/>
      <c r="SDD379" s="85" t="n"/>
      <c r="SDE379" s="31" t="n"/>
      <c r="SDF379" s="50" t="n"/>
      <c r="SDG379" s="50" t="n"/>
      <c r="SDH379" s="50" t="n"/>
      <c r="SDI379" s="50" t="n"/>
      <c r="SDJ379" s="50" t="n"/>
      <c r="SDK379" s="50" t="n"/>
      <c r="SDL379" s="50" t="n"/>
      <c r="SDM379" s="50" t="n"/>
      <c r="SDN379" s="50" t="n"/>
      <c r="SDO379" s="50" t="n"/>
      <c r="SDP379" s="50" t="n"/>
      <c r="SDQ379" s="50" t="n"/>
      <c r="SDR379" s="50" t="n"/>
      <c r="SDS379" s="50" t="n"/>
      <c r="SDT379" s="50" t="n"/>
      <c r="SDU379" s="50" t="n"/>
      <c r="SDV379" s="50" t="n"/>
      <c r="SDW379" s="50" t="n"/>
      <c r="SDX379" s="50" t="n"/>
      <c r="SDY379" s="50" t="n"/>
      <c r="SDZ379" s="50" t="n"/>
      <c r="SEA379" s="50" t="n"/>
      <c r="SEB379" s="50" t="n"/>
      <c r="SEC379" s="50" t="n"/>
      <c r="SED379" s="56" t="n"/>
      <c r="SEE379" s="50" t="n"/>
      <c r="SEF379" s="53" t="n"/>
      <c r="SEG379" s="84" t="n"/>
      <c r="SEH379" s="85" t="n"/>
      <c r="SEI379" s="31" t="n"/>
      <c r="SEJ379" s="50" t="n"/>
      <c r="SEK379" s="50" t="n"/>
      <c r="SEL379" s="50" t="n"/>
      <c r="SEM379" s="50" t="n"/>
      <c r="SEN379" s="50" t="n"/>
      <c r="SEO379" s="50" t="n"/>
      <c r="SEP379" s="50" t="n"/>
      <c r="SEQ379" s="50" t="n"/>
      <c r="SER379" s="50" t="n"/>
      <c r="SES379" s="50" t="n"/>
      <c r="SET379" s="50" t="n"/>
      <c r="SEU379" s="50" t="n"/>
      <c r="SEV379" s="50" t="n"/>
      <c r="SEW379" s="50" t="n"/>
      <c r="SEX379" s="50" t="n"/>
      <c r="SEY379" s="50" t="n"/>
      <c r="SEZ379" s="50" t="n"/>
      <c r="SFA379" s="50" t="n"/>
      <c r="SFB379" s="50" t="n"/>
      <c r="SFC379" s="50" t="n"/>
      <c r="SFD379" s="50" t="n"/>
      <c r="SFE379" s="50" t="n"/>
      <c r="SFF379" s="50" t="n"/>
      <c r="SFG379" s="50" t="n"/>
      <c r="SFH379" s="56" t="n"/>
      <c r="SFI379" s="50" t="n"/>
      <c r="SFJ379" s="53" t="n"/>
      <c r="SFK379" s="84" t="n"/>
      <c r="SFL379" s="85" t="n"/>
      <c r="SFM379" s="31" t="n"/>
      <c r="SFN379" s="50" t="n"/>
      <c r="SFO379" s="50" t="n"/>
      <c r="SFP379" s="50" t="n"/>
      <c r="SFQ379" s="50" t="n"/>
      <c r="SFR379" s="50" t="n"/>
      <c r="SFS379" s="50" t="n"/>
      <c r="SFT379" s="50" t="n"/>
      <c r="SFU379" s="50" t="n"/>
      <c r="SFV379" s="50" t="n"/>
      <c r="SFW379" s="50" t="n"/>
      <c r="SFX379" s="50" t="n"/>
      <c r="SFY379" s="50" t="n"/>
      <c r="SFZ379" s="50" t="n"/>
      <c r="SGA379" s="50" t="n"/>
      <c r="SGB379" s="50" t="n"/>
      <c r="SGC379" s="50" t="n"/>
      <c r="SGD379" s="50" t="n"/>
      <c r="SGE379" s="50" t="n"/>
      <c r="SGF379" s="50" t="n"/>
      <c r="SGG379" s="50" t="n"/>
      <c r="SGH379" s="50" t="n"/>
      <c r="SGI379" s="50" t="n"/>
      <c r="SGJ379" s="50" t="n"/>
      <c r="SGK379" s="50" t="n"/>
      <c r="SGL379" s="56" t="n"/>
      <c r="SGM379" s="50" t="n"/>
      <c r="SGN379" s="53" t="n"/>
      <c r="SGO379" s="84" t="n"/>
      <c r="SGP379" s="85" t="n"/>
      <c r="SGQ379" s="31" t="n"/>
      <c r="SGR379" s="50" t="n"/>
      <c r="SGS379" s="50" t="n"/>
      <c r="SGT379" s="50" t="n"/>
      <c r="SGU379" s="50" t="n"/>
      <c r="SGV379" s="50" t="n"/>
      <c r="SGW379" s="50" t="n"/>
      <c r="SGX379" s="50" t="n"/>
      <c r="SGY379" s="50" t="n"/>
      <c r="SGZ379" s="50" t="n"/>
      <c r="SHA379" s="50" t="n"/>
      <c r="SHB379" s="50" t="n"/>
      <c r="SHC379" s="50" t="n"/>
      <c r="SHD379" s="50" t="n"/>
      <c r="SHE379" s="50" t="n"/>
      <c r="SHF379" s="50" t="n"/>
      <c r="SHG379" s="50" t="n"/>
      <c r="SHH379" s="50" t="n"/>
      <c r="SHI379" s="50" t="n"/>
      <c r="SHJ379" s="50" t="n"/>
      <c r="SHK379" s="50" t="n"/>
      <c r="SHL379" s="50" t="n"/>
      <c r="SHM379" s="50" t="n"/>
      <c r="SHN379" s="50" t="n"/>
      <c r="SHO379" s="50" t="n"/>
      <c r="SHP379" s="56" t="n"/>
      <c r="SHQ379" s="50" t="n"/>
      <c r="SHR379" s="53" t="n"/>
      <c r="SHS379" s="84" t="n"/>
      <c r="SHT379" s="85" t="n"/>
      <c r="SHU379" s="31" t="n"/>
      <c r="SHV379" s="50" t="n"/>
      <c r="SHW379" s="50" t="n"/>
      <c r="SHX379" s="50" t="n"/>
      <c r="SHY379" s="50" t="n"/>
      <c r="SHZ379" s="50" t="n"/>
      <c r="SIA379" s="50" t="n"/>
      <c r="SIB379" s="50" t="n"/>
      <c r="SIC379" s="50" t="n"/>
      <c r="SID379" s="50" t="n"/>
      <c r="SIE379" s="50" t="n"/>
      <c r="SIF379" s="50" t="n"/>
      <c r="SIG379" s="50" t="n"/>
      <c r="SIH379" s="50" t="n"/>
      <c r="SII379" s="50" t="n"/>
      <c r="SIJ379" s="50" t="n"/>
      <c r="SIK379" s="50" t="n"/>
      <c r="SIL379" s="50" t="n"/>
      <c r="SIM379" s="50" t="n"/>
      <c r="SIN379" s="50" t="n"/>
      <c r="SIO379" s="50" t="n"/>
      <c r="SIP379" s="50" t="n"/>
      <c r="SIQ379" s="50" t="n"/>
      <c r="SIR379" s="50" t="n"/>
      <c r="SIS379" s="50" t="n"/>
      <c r="SIT379" s="56" t="n"/>
      <c r="SIU379" s="50" t="n"/>
      <c r="SIV379" s="53" t="n"/>
      <c r="SIW379" s="84" t="n"/>
      <c r="SIX379" s="85" t="n"/>
      <c r="SIY379" s="31" t="n"/>
      <c r="SIZ379" s="50" t="n"/>
      <c r="SJA379" s="50" t="n"/>
      <c r="SJB379" s="50" t="n"/>
      <c r="SJC379" s="50" t="n"/>
      <c r="SJD379" s="50" t="n"/>
      <c r="SJE379" s="50" t="n"/>
      <c r="SJF379" s="50" t="n"/>
      <c r="SJG379" s="50" t="n"/>
      <c r="SJH379" s="50" t="n"/>
      <c r="SJI379" s="50" t="n"/>
      <c r="SJJ379" s="50" t="n"/>
      <c r="SJK379" s="50" t="n"/>
      <c r="SJL379" s="50" t="n"/>
      <c r="SJM379" s="50" t="n"/>
      <c r="SJN379" s="50" t="n"/>
      <c r="SJO379" s="50" t="n"/>
      <c r="SJP379" s="50" t="n"/>
      <c r="SJQ379" s="50" t="n"/>
      <c r="SJR379" s="50" t="n"/>
      <c r="SJS379" s="50" t="n"/>
      <c r="SJT379" s="50" t="n"/>
      <c r="SJU379" s="50" t="n"/>
      <c r="SJV379" s="50" t="n"/>
      <c r="SJW379" s="50" t="n"/>
      <c r="SJX379" s="56" t="n"/>
      <c r="SJY379" s="50" t="n"/>
      <c r="SJZ379" s="53" t="n"/>
      <c r="SKA379" s="84" t="n"/>
      <c r="SKB379" s="85" t="n"/>
      <c r="SKC379" s="31" t="n"/>
      <c r="SKD379" s="50" t="n"/>
      <c r="SKE379" s="50" t="n"/>
      <c r="SKF379" s="50" t="n"/>
      <c r="SKG379" s="50" t="n"/>
      <c r="SKH379" s="50" t="n"/>
      <c r="SKI379" s="50" t="n"/>
      <c r="SKJ379" s="50" t="n"/>
      <c r="SKK379" s="50" t="n"/>
      <c r="SKL379" s="50" t="n"/>
      <c r="SKM379" s="50" t="n"/>
      <c r="SKN379" s="50" t="n"/>
      <c r="SKO379" s="50" t="n"/>
      <c r="SKP379" s="50" t="n"/>
      <c r="SKQ379" s="50" t="n"/>
      <c r="SKR379" s="50" t="n"/>
      <c r="SKS379" s="50" t="n"/>
      <c r="SKT379" s="50" t="n"/>
      <c r="SKU379" s="50" t="n"/>
      <c r="SKV379" s="50" t="n"/>
      <c r="SKW379" s="50" t="n"/>
      <c r="SKX379" s="50" t="n"/>
      <c r="SKY379" s="50" t="n"/>
      <c r="SKZ379" s="50" t="n"/>
      <c r="SLA379" s="50" t="n"/>
      <c r="SLB379" s="56" t="n"/>
      <c r="SLC379" s="50" t="n"/>
      <c r="SLD379" s="53" t="n"/>
      <c r="SLE379" s="84" t="n"/>
      <c r="SLF379" s="85" t="n"/>
      <c r="SLG379" s="31" t="n"/>
      <c r="SLH379" s="50" t="n"/>
      <c r="SLI379" s="50" t="n"/>
      <c r="SLJ379" s="50" t="n"/>
      <c r="SLK379" s="50" t="n"/>
      <c r="SLL379" s="50" t="n"/>
      <c r="SLM379" s="50" t="n"/>
      <c r="SLN379" s="50" t="n"/>
      <c r="SLO379" s="50" t="n"/>
      <c r="SLP379" s="50" t="n"/>
      <c r="SLQ379" s="50" t="n"/>
      <c r="SLR379" s="50" t="n"/>
      <c r="SLS379" s="50" t="n"/>
      <c r="SLT379" s="50" t="n"/>
      <c r="SLU379" s="50" t="n"/>
      <c r="SLV379" s="50" t="n"/>
      <c r="SLW379" s="50" t="n"/>
      <c r="SLX379" s="50" t="n"/>
      <c r="SLY379" s="50" t="n"/>
      <c r="SLZ379" s="50" t="n"/>
      <c r="SMA379" s="50" t="n"/>
      <c r="SMB379" s="50" t="n"/>
      <c r="SMC379" s="50" t="n"/>
      <c r="SMD379" s="50" t="n"/>
      <c r="SME379" s="50" t="n"/>
      <c r="SMF379" s="56" t="n"/>
      <c r="SMG379" s="50" t="n"/>
      <c r="SMH379" s="53" t="n"/>
      <c r="SMI379" s="84" t="n"/>
      <c r="SMJ379" s="85" t="n"/>
      <c r="SMK379" s="31" t="n"/>
      <c r="SML379" s="50" t="n"/>
      <c r="SMM379" s="50" t="n"/>
      <c r="SMN379" s="50" t="n"/>
      <c r="SMO379" s="50" t="n"/>
      <c r="SMP379" s="50" t="n"/>
      <c r="SMQ379" s="50" t="n"/>
      <c r="SMR379" s="50" t="n"/>
      <c r="SMS379" s="50" t="n"/>
      <c r="SMT379" s="50" t="n"/>
      <c r="SMU379" s="50" t="n"/>
      <c r="SMV379" s="50" t="n"/>
      <c r="SMW379" s="50" t="n"/>
      <c r="SMX379" s="50" t="n"/>
      <c r="SMY379" s="50" t="n"/>
      <c r="SMZ379" s="50" t="n"/>
      <c r="SNA379" s="50" t="n"/>
      <c r="SNB379" s="50" t="n"/>
      <c r="SNC379" s="50" t="n"/>
      <c r="SND379" s="50" t="n"/>
      <c r="SNE379" s="50" t="n"/>
      <c r="SNF379" s="50" t="n"/>
      <c r="SNG379" s="50" t="n"/>
      <c r="SNH379" s="50" t="n"/>
      <c r="SNI379" s="50" t="n"/>
      <c r="SNJ379" s="56" t="n"/>
      <c r="SNK379" s="50" t="n"/>
      <c r="SNL379" s="53" t="n"/>
      <c r="SNM379" s="84" t="n"/>
      <c r="SNN379" s="85" t="n"/>
      <c r="SNO379" s="31" t="n"/>
      <c r="SNP379" s="50" t="n"/>
      <c r="SNQ379" s="50" t="n"/>
      <c r="SNR379" s="50" t="n"/>
      <c r="SNS379" s="50" t="n"/>
      <c r="SNT379" s="50" t="n"/>
      <c r="SNU379" s="50" t="n"/>
      <c r="SNV379" s="50" t="n"/>
      <c r="SNW379" s="50" t="n"/>
      <c r="SNX379" s="50" t="n"/>
      <c r="SNY379" s="50" t="n"/>
      <c r="SNZ379" s="50" t="n"/>
      <c r="SOA379" s="50" t="n"/>
      <c r="SOB379" s="50" t="n"/>
      <c r="SOC379" s="50" t="n"/>
      <c r="SOD379" s="50" t="n"/>
      <c r="SOE379" s="50" t="n"/>
      <c r="SOF379" s="50" t="n"/>
      <c r="SOG379" s="50" t="n"/>
      <c r="SOH379" s="50" t="n"/>
      <c r="SOI379" s="50" t="n"/>
      <c r="SOJ379" s="50" t="n"/>
      <c r="SOK379" s="50" t="n"/>
      <c r="SOL379" s="50" t="n"/>
      <c r="SOM379" s="50" t="n"/>
      <c r="SON379" s="56" t="n"/>
      <c r="SOO379" s="50" t="n"/>
      <c r="SOP379" s="53" t="n"/>
      <c r="SOQ379" s="84" t="n"/>
      <c r="SOR379" s="85" t="n"/>
      <c r="SOS379" s="31" t="n"/>
      <c r="SOT379" s="50" t="n"/>
      <c r="SOU379" s="50" t="n"/>
      <c r="SOV379" s="50" t="n"/>
      <c r="SOW379" s="50" t="n"/>
      <c r="SOX379" s="50" t="n"/>
      <c r="SOY379" s="50" t="n"/>
      <c r="SOZ379" s="50" t="n"/>
      <c r="SPA379" s="50" t="n"/>
      <c r="SPB379" s="50" t="n"/>
      <c r="SPC379" s="50" t="n"/>
      <c r="SPD379" s="50" t="n"/>
      <c r="SPE379" s="50" t="n"/>
      <c r="SPF379" s="50" t="n"/>
      <c r="SPG379" s="50" t="n"/>
      <c r="SPH379" s="50" t="n"/>
      <c r="SPI379" s="50" t="n"/>
      <c r="SPJ379" s="50" t="n"/>
      <c r="SPK379" s="50" t="n"/>
      <c r="SPL379" s="50" t="n"/>
      <c r="SPM379" s="50" t="n"/>
      <c r="SPN379" s="50" t="n"/>
      <c r="SPO379" s="50" t="n"/>
      <c r="SPP379" s="50" t="n"/>
      <c r="SPQ379" s="50" t="n"/>
      <c r="SPR379" s="56" t="n"/>
      <c r="SPS379" s="50" t="n"/>
      <c r="SPT379" s="53" t="n"/>
      <c r="SPU379" s="84" t="n"/>
      <c r="SPV379" s="85" t="n"/>
      <c r="SPW379" s="31" t="n"/>
      <c r="SPX379" s="50" t="n"/>
      <c r="SPY379" s="50" t="n"/>
      <c r="SPZ379" s="50" t="n"/>
      <c r="SQA379" s="50" t="n"/>
      <c r="SQB379" s="50" t="n"/>
      <c r="SQC379" s="50" t="n"/>
      <c r="SQD379" s="50" t="n"/>
      <c r="SQE379" s="50" t="n"/>
      <c r="SQF379" s="50" t="n"/>
      <c r="SQG379" s="50" t="n"/>
      <c r="SQH379" s="50" t="n"/>
      <c r="SQI379" s="50" t="n"/>
      <c r="SQJ379" s="50" t="n"/>
      <c r="SQK379" s="50" t="n"/>
      <c r="SQL379" s="50" t="n"/>
      <c r="SQM379" s="50" t="n"/>
      <c r="SQN379" s="50" t="n"/>
      <c r="SQO379" s="50" t="n"/>
      <c r="SQP379" s="50" t="n"/>
      <c r="SQQ379" s="50" t="n"/>
      <c r="SQR379" s="50" t="n"/>
      <c r="SQS379" s="50" t="n"/>
      <c r="SQT379" s="50" t="n"/>
      <c r="SQU379" s="50" t="n"/>
      <c r="SQV379" s="56" t="n"/>
      <c r="SQW379" s="50" t="n"/>
      <c r="SQX379" s="53" t="n"/>
      <c r="SQY379" s="84" t="n"/>
      <c r="SQZ379" s="85" t="n"/>
      <c r="SRA379" s="31" t="n"/>
      <c r="SRB379" s="50" t="n"/>
      <c r="SRC379" s="50" t="n"/>
      <c r="SRD379" s="50" t="n"/>
      <c r="SRE379" s="50" t="n"/>
      <c r="SRF379" s="50" t="n"/>
      <c r="SRG379" s="50" t="n"/>
      <c r="SRH379" s="50" t="n"/>
      <c r="SRI379" s="50" t="n"/>
      <c r="SRJ379" s="50" t="n"/>
      <c r="SRK379" s="50" t="n"/>
      <c r="SRL379" s="50" t="n"/>
      <c r="SRM379" s="50" t="n"/>
      <c r="SRN379" s="50" t="n"/>
      <c r="SRO379" s="50" t="n"/>
      <c r="SRP379" s="50" t="n"/>
      <c r="SRQ379" s="50" t="n"/>
      <c r="SRR379" s="50" t="n"/>
      <c r="SRS379" s="50" t="n"/>
      <c r="SRT379" s="50" t="n"/>
      <c r="SRU379" s="50" t="n"/>
      <c r="SRV379" s="50" t="n"/>
      <c r="SRW379" s="50" t="n"/>
      <c r="SRX379" s="50" t="n"/>
      <c r="SRY379" s="50" t="n"/>
      <c r="SRZ379" s="56" t="n"/>
      <c r="SSA379" s="50" t="n"/>
      <c r="SSB379" s="53" t="n"/>
      <c r="SSC379" s="84" t="n"/>
      <c r="SSD379" s="85" t="n"/>
      <c r="SSE379" s="31" t="n"/>
      <c r="SSF379" s="50" t="n"/>
      <c r="SSG379" s="50" t="n"/>
      <c r="SSH379" s="50" t="n"/>
      <c r="SSI379" s="50" t="n"/>
      <c r="SSJ379" s="50" t="n"/>
      <c r="SSK379" s="50" t="n"/>
      <c r="SSL379" s="50" t="n"/>
      <c r="SSM379" s="50" t="n"/>
      <c r="SSN379" s="50" t="n"/>
      <c r="SSO379" s="50" t="n"/>
      <c r="SSP379" s="50" t="n"/>
      <c r="SSQ379" s="50" t="n"/>
      <c r="SSR379" s="50" t="n"/>
      <c r="SSS379" s="50" t="n"/>
      <c r="SST379" s="50" t="n"/>
      <c r="SSU379" s="50" t="n"/>
      <c r="SSV379" s="50" t="n"/>
      <c r="SSW379" s="50" t="n"/>
      <c r="SSX379" s="50" t="n"/>
      <c r="SSY379" s="50" t="n"/>
      <c r="SSZ379" s="50" t="n"/>
      <c r="STA379" s="50" t="n"/>
      <c r="STB379" s="50" t="n"/>
      <c r="STC379" s="50" t="n"/>
      <c r="STD379" s="56" t="n"/>
      <c r="STE379" s="50" t="n"/>
      <c r="STF379" s="53" t="n"/>
      <c r="STG379" s="84" t="n"/>
      <c r="STH379" s="85" t="n"/>
      <c r="STI379" s="31" t="n"/>
      <c r="STJ379" s="50" t="n"/>
      <c r="STK379" s="50" t="n"/>
      <c r="STL379" s="50" t="n"/>
      <c r="STM379" s="50" t="n"/>
      <c r="STN379" s="50" t="n"/>
      <c r="STO379" s="50" t="n"/>
      <c r="STP379" s="50" t="n"/>
      <c r="STQ379" s="50" t="n"/>
      <c r="STR379" s="50" t="n"/>
      <c r="STS379" s="50" t="n"/>
      <c r="STT379" s="50" t="n"/>
      <c r="STU379" s="50" t="n"/>
      <c r="STV379" s="50" t="n"/>
      <c r="STW379" s="50" t="n"/>
      <c r="STX379" s="50" t="n"/>
      <c r="STY379" s="50" t="n"/>
      <c r="STZ379" s="50" t="n"/>
      <c r="SUA379" s="50" t="n"/>
      <c r="SUB379" s="50" t="n"/>
      <c r="SUC379" s="50" t="n"/>
      <c r="SUD379" s="50" t="n"/>
      <c r="SUE379" s="50" t="n"/>
      <c r="SUF379" s="50" t="n"/>
      <c r="SUG379" s="50" t="n"/>
      <c r="SUH379" s="56" t="n"/>
      <c r="SUI379" s="50" t="n"/>
      <c r="SUJ379" s="53" t="n"/>
      <c r="SUK379" s="84" t="n"/>
      <c r="SUL379" s="85" t="n"/>
      <c r="SUM379" s="31" t="n"/>
      <c r="SUN379" s="50" t="n"/>
      <c r="SUO379" s="50" t="n"/>
      <c r="SUP379" s="50" t="n"/>
      <c r="SUQ379" s="50" t="n"/>
      <c r="SUR379" s="50" t="n"/>
      <c r="SUS379" s="50" t="n"/>
      <c r="SUT379" s="50" t="n"/>
      <c r="SUU379" s="50" t="n"/>
      <c r="SUV379" s="50" t="n"/>
      <c r="SUW379" s="50" t="n"/>
      <c r="SUX379" s="50" t="n"/>
      <c r="SUY379" s="50" t="n"/>
      <c r="SUZ379" s="50" t="n"/>
      <c r="SVA379" s="50" t="n"/>
      <c r="SVB379" s="50" t="n"/>
      <c r="SVC379" s="50" t="n"/>
      <c r="SVD379" s="50" t="n"/>
      <c r="SVE379" s="50" t="n"/>
      <c r="SVF379" s="50" t="n"/>
      <c r="SVG379" s="50" t="n"/>
      <c r="SVH379" s="50" t="n"/>
      <c r="SVI379" s="50" t="n"/>
      <c r="SVJ379" s="50" t="n"/>
      <c r="SVK379" s="50" t="n"/>
      <c r="SVL379" s="56" t="n"/>
      <c r="SVM379" s="50" t="n"/>
      <c r="SVN379" s="53" t="n"/>
      <c r="SVO379" s="84" t="n"/>
      <c r="SVP379" s="85" t="n"/>
      <c r="SVQ379" s="31" t="n"/>
      <c r="SVR379" s="50" t="n"/>
      <c r="SVS379" s="50" t="n"/>
      <c r="SVT379" s="50" t="n"/>
      <c r="SVU379" s="50" t="n"/>
      <c r="SVV379" s="50" t="n"/>
      <c r="SVW379" s="50" t="n"/>
      <c r="SVX379" s="50" t="n"/>
      <c r="SVY379" s="50" t="n"/>
      <c r="SVZ379" s="50" t="n"/>
      <c r="SWA379" s="50" t="n"/>
      <c r="SWB379" s="50" t="n"/>
      <c r="SWC379" s="50" t="n"/>
      <c r="SWD379" s="50" t="n"/>
      <c r="SWE379" s="50" t="n"/>
      <c r="SWF379" s="50" t="n"/>
      <c r="SWG379" s="50" t="n"/>
      <c r="SWH379" s="50" t="n"/>
      <c r="SWI379" s="50" t="n"/>
      <c r="SWJ379" s="50" t="n"/>
      <c r="SWK379" s="50" t="n"/>
      <c r="SWL379" s="50" t="n"/>
      <c r="SWM379" s="50" t="n"/>
      <c r="SWN379" s="50" t="n"/>
      <c r="SWO379" s="50" t="n"/>
      <c r="SWP379" s="56" t="n"/>
      <c r="SWQ379" s="50" t="n"/>
      <c r="SWR379" s="53" t="n"/>
      <c r="SWS379" s="84" t="n"/>
      <c r="SWT379" s="85" t="n"/>
      <c r="SWU379" s="31" t="n"/>
      <c r="SWV379" s="50" t="n"/>
      <c r="SWW379" s="50" t="n"/>
      <c r="SWX379" s="50" t="n"/>
      <c r="SWY379" s="50" t="n"/>
      <c r="SWZ379" s="50" t="n"/>
      <c r="SXA379" s="50" t="n"/>
      <c r="SXB379" s="50" t="n"/>
      <c r="SXC379" s="50" t="n"/>
      <c r="SXD379" s="50" t="n"/>
      <c r="SXE379" s="50" t="n"/>
      <c r="SXF379" s="50" t="n"/>
      <c r="SXG379" s="50" t="n"/>
      <c r="SXH379" s="50" t="n"/>
      <c r="SXI379" s="50" t="n"/>
      <c r="SXJ379" s="50" t="n"/>
      <c r="SXK379" s="50" t="n"/>
      <c r="SXL379" s="50" t="n"/>
      <c r="SXM379" s="50" t="n"/>
      <c r="SXN379" s="50" t="n"/>
      <c r="SXO379" s="50" t="n"/>
      <c r="SXP379" s="50" t="n"/>
      <c r="SXQ379" s="50" t="n"/>
      <c r="SXR379" s="50" t="n"/>
      <c r="SXS379" s="50" t="n"/>
      <c r="SXT379" s="56" t="n"/>
      <c r="SXU379" s="50" t="n"/>
      <c r="SXV379" s="53" t="n"/>
      <c r="SXW379" s="84" t="n"/>
      <c r="SXX379" s="85" t="n"/>
      <c r="SXY379" s="31" t="n"/>
      <c r="SXZ379" s="50" t="n"/>
      <c r="SYA379" s="50" t="n"/>
      <c r="SYB379" s="50" t="n"/>
      <c r="SYC379" s="50" t="n"/>
      <c r="SYD379" s="50" t="n"/>
      <c r="SYE379" s="50" t="n"/>
      <c r="SYF379" s="50" t="n"/>
      <c r="SYG379" s="50" t="n"/>
      <c r="SYH379" s="50" t="n"/>
      <c r="SYI379" s="50" t="n"/>
      <c r="SYJ379" s="50" t="n"/>
      <c r="SYK379" s="50" t="n"/>
      <c r="SYL379" s="50" t="n"/>
      <c r="SYM379" s="50" t="n"/>
      <c r="SYN379" s="50" t="n"/>
      <c r="SYO379" s="50" t="n"/>
      <c r="SYP379" s="50" t="n"/>
      <c r="SYQ379" s="50" t="n"/>
      <c r="SYR379" s="50" t="n"/>
      <c r="SYS379" s="50" t="n"/>
      <c r="SYT379" s="50" t="n"/>
      <c r="SYU379" s="50" t="n"/>
      <c r="SYV379" s="50" t="n"/>
      <c r="SYW379" s="50" t="n"/>
      <c r="SYX379" s="56" t="n"/>
      <c r="SYY379" s="50" t="n"/>
      <c r="SYZ379" s="53" t="n"/>
      <c r="SZA379" s="84" t="n"/>
      <c r="SZB379" s="85" t="n"/>
      <c r="SZC379" s="31" t="n"/>
      <c r="SZD379" s="50" t="n"/>
      <c r="SZE379" s="50" t="n"/>
      <c r="SZF379" s="50" t="n"/>
      <c r="SZG379" s="50" t="n"/>
      <c r="SZH379" s="50" t="n"/>
      <c r="SZI379" s="50" t="n"/>
      <c r="SZJ379" s="50" t="n"/>
      <c r="SZK379" s="50" t="n"/>
      <c r="SZL379" s="50" t="n"/>
      <c r="SZM379" s="50" t="n"/>
      <c r="SZN379" s="50" t="n"/>
      <c r="SZO379" s="50" t="n"/>
      <c r="SZP379" s="50" t="n"/>
      <c r="SZQ379" s="50" t="n"/>
      <c r="SZR379" s="50" t="n"/>
      <c r="SZS379" s="50" t="n"/>
      <c r="SZT379" s="50" t="n"/>
      <c r="SZU379" s="50" t="n"/>
      <c r="SZV379" s="50" t="n"/>
      <c r="SZW379" s="50" t="n"/>
      <c r="SZX379" s="50" t="n"/>
      <c r="SZY379" s="50" t="n"/>
      <c r="SZZ379" s="50" t="n"/>
      <c r="TAA379" s="50" t="n"/>
      <c r="TAB379" s="56" t="n"/>
      <c r="TAC379" s="50" t="n"/>
      <c r="TAD379" s="53" t="n"/>
      <c r="TAE379" s="84" t="n"/>
      <c r="TAF379" s="85" t="n"/>
      <c r="TAG379" s="31" t="n"/>
      <c r="TAH379" s="50" t="n"/>
      <c r="TAI379" s="50" t="n"/>
      <c r="TAJ379" s="50" t="n"/>
      <c r="TAK379" s="50" t="n"/>
      <c r="TAL379" s="50" t="n"/>
      <c r="TAM379" s="50" t="n"/>
      <c r="TAN379" s="50" t="n"/>
      <c r="TAO379" s="50" t="n"/>
      <c r="TAP379" s="50" t="n"/>
      <c r="TAQ379" s="50" t="n"/>
      <c r="TAR379" s="50" t="n"/>
      <c r="TAS379" s="50" t="n"/>
      <c r="TAT379" s="50" t="n"/>
      <c r="TAU379" s="50" t="n"/>
      <c r="TAV379" s="50" t="n"/>
      <c r="TAW379" s="50" t="n"/>
      <c r="TAX379" s="50" t="n"/>
      <c r="TAY379" s="50" t="n"/>
      <c r="TAZ379" s="50" t="n"/>
      <c r="TBA379" s="50" t="n"/>
      <c r="TBB379" s="50" t="n"/>
      <c r="TBC379" s="50" t="n"/>
      <c r="TBD379" s="50" t="n"/>
      <c r="TBE379" s="50" t="n"/>
      <c r="TBF379" s="56" t="n"/>
      <c r="TBG379" s="50" t="n"/>
      <c r="TBH379" s="53" t="n"/>
      <c r="TBI379" s="84" t="n"/>
      <c r="TBJ379" s="85" t="n"/>
      <c r="TBK379" s="31" t="n"/>
      <c r="TBL379" s="50" t="n"/>
      <c r="TBM379" s="50" t="n"/>
      <c r="TBN379" s="50" t="n"/>
      <c r="TBO379" s="50" t="n"/>
      <c r="TBP379" s="50" t="n"/>
      <c r="TBQ379" s="50" t="n"/>
      <c r="TBR379" s="50" t="n"/>
      <c r="TBS379" s="50" t="n"/>
      <c r="TBT379" s="50" t="n"/>
      <c r="TBU379" s="50" t="n"/>
      <c r="TBV379" s="50" t="n"/>
      <c r="TBW379" s="50" t="n"/>
      <c r="TBX379" s="50" t="n"/>
      <c r="TBY379" s="50" t="n"/>
      <c r="TBZ379" s="50" t="n"/>
      <c r="TCA379" s="50" t="n"/>
      <c r="TCB379" s="50" t="n"/>
      <c r="TCC379" s="50" t="n"/>
      <c r="TCD379" s="50" t="n"/>
      <c r="TCE379" s="50" t="n"/>
      <c r="TCF379" s="50" t="n"/>
      <c r="TCG379" s="50" t="n"/>
      <c r="TCH379" s="50" t="n"/>
      <c r="TCI379" s="50" t="n"/>
      <c r="TCJ379" s="56" t="n"/>
      <c r="TCK379" s="50" t="n"/>
      <c r="TCL379" s="53" t="n"/>
      <c r="TCM379" s="84" t="n"/>
      <c r="TCN379" s="85" t="n"/>
      <c r="TCO379" s="31" t="n"/>
      <c r="TCP379" s="50" t="n"/>
      <c r="TCQ379" s="50" t="n"/>
      <c r="TCR379" s="50" t="n"/>
      <c r="TCS379" s="50" t="n"/>
      <c r="TCT379" s="50" t="n"/>
      <c r="TCU379" s="50" t="n"/>
      <c r="TCV379" s="50" t="n"/>
      <c r="TCW379" s="50" t="n"/>
      <c r="TCX379" s="50" t="n"/>
      <c r="TCY379" s="50" t="n"/>
      <c r="TCZ379" s="50" t="n"/>
      <c r="TDA379" s="50" t="n"/>
      <c r="TDB379" s="50" t="n"/>
      <c r="TDC379" s="50" t="n"/>
      <c r="TDD379" s="50" t="n"/>
      <c r="TDE379" s="50" t="n"/>
      <c r="TDF379" s="50" t="n"/>
      <c r="TDG379" s="50" t="n"/>
      <c r="TDH379" s="50" t="n"/>
      <c r="TDI379" s="50" t="n"/>
      <c r="TDJ379" s="50" t="n"/>
      <c r="TDK379" s="50" t="n"/>
      <c r="TDL379" s="50" t="n"/>
      <c r="TDM379" s="50" t="n"/>
      <c r="TDN379" s="56" t="n"/>
      <c r="TDO379" s="50" t="n"/>
      <c r="TDP379" s="53" t="n"/>
      <c r="TDQ379" s="84" t="n"/>
      <c r="TDR379" s="85" t="n"/>
      <c r="TDS379" s="31" t="n"/>
      <c r="TDT379" s="50" t="n"/>
      <c r="TDU379" s="50" t="n"/>
      <c r="TDV379" s="50" t="n"/>
      <c r="TDW379" s="50" t="n"/>
      <c r="TDX379" s="50" t="n"/>
      <c r="TDY379" s="50" t="n"/>
      <c r="TDZ379" s="50" t="n"/>
      <c r="TEA379" s="50" t="n"/>
      <c r="TEB379" s="50" t="n"/>
      <c r="TEC379" s="50" t="n"/>
      <c r="TED379" s="50" t="n"/>
      <c r="TEE379" s="50" t="n"/>
      <c r="TEF379" s="50" t="n"/>
      <c r="TEG379" s="50" t="n"/>
      <c r="TEH379" s="50" t="n"/>
      <c r="TEI379" s="50" t="n"/>
      <c r="TEJ379" s="50" t="n"/>
      <c r="TEK379" s="50" t="n"/>
      <c r="TEL379" s="50" t="n"/>
      <c r="TEM379" s="50" t="n"/>
      <c r="TEN379" s="50" t="n"/>
      <c r="TEO379" s="50" t="n"/>
      <c r="TEP379" s="50" t="n"/>
      <c r="TEQ379" s="50" t="n"/>
      <c r="TER379" s="56" t="n"/>
      <c r="TES379" s="50" t="n"/>
      <c r="TET379" s="53" t="n"/>
      <c r="TEU379" s="84" t="n"/>
      <c r="TEV379" s="85" t="n"/>
      <c r="TEW379" s="31" t="n"/>
      <c r="TEX379" s="50" t="n"/>
      <c r="TEY379" s="50" t="n"/>
      <c r="TEZ379" s="50" t="n"/>
      <c r="TFA379" s="50" t="n"/>
      <c r="TFB379" s="50" t="n"/>
      <c r="TFC379" s="50" t="n"/>
      <c r="TFD379" s="50" t="n"/>
      <c r="TFE379" s="50" t="n"/>
      <c r="TFF379" s="50" t="n"/>
      <c r="TFG379" s="50" t="n"/>
      <c r="TFH379" s="50" t="n"/>
      <c r="TFI379" s="50" t="n"/>
      <c r="TFJ379" s="50" t="n"/>
      <c r="TFK379" s="50" t="n"/>
      <c r="TFL379" s="50" t="n"/>
      <c r="TFM379" s="50" t="n"/>
      <c r="TFN379" s="50" t="n"/>
      <c r="TFO379" s="50" t="n"/>
      <c r="TFP379" s="50" t="n"/>
      <c r="TFQ379" s="50" t="n"/>
      <c r="TFR379" s="50" t="n"/>
      <c r="TFS379" s="50" t="n"/>
      <c r="TFT379" s="50" t="n"/>
      <c r="TFU379" s="50" t="n"/>
      <c r="TFV379" s="56" t="n"/>
      <c r="TFW379" s="50" t="n"/>
      <c r="TFX379" s="53" t="n"/>
      <c r="TFY379" s="84" t="n"/>
      <c r="TFZ379" s="85" t="n"/>
      <c r="TGA379" s="31" t="n"/>
      <c r="TGB379" s="50" t="n"/>
      <c r="TGC379" s="50" t="n"/>
      <c r="TGD379" s="50" t="n"/>
      <c r="TGE379" s="50" t="n"/>
      <c r="TGF379" s="50" t="n"/>
      <c r="TGG379" s="50" t="n"/>
      <c r="TGH379" s="50" t="n"/>
      <c r="TGI379" s="50" t="n"/>
      <c r="TGJ379" s="50" t="n"/>
      <c r="TGK379" s="50" t="n"/>
      <c r="TGL379" s="50" t="n"/>
      <c r="TGM379" s="50" t="n"/>
      <c r="TGN379" s="50" t="n"/>
      <c r="TGO379" s="50" t="n"/>
      <c r="TGP379" s="50" t="n"/>
      <c r="TGQ379" s="50" t="n"/>
      <c r="TGR379" s="50" t="n"/>
      <c r="TGS379" s="50" t="n"/>
      <c r="TGT379" s="50" t="n"/>
      <c r="TGU379" s="50" t="n"/>
      <c r="TGV379" s="50" t="n"/>
      <c r="TGW379" s="50" t="n"/>
      <c r="TGX379" s="50" t="n"/>
      <c r="TGY379" s="50" t="n"/>
      <c r="TGZ379" s="56" t="n"/>
      <c r="THA379" s="50" t="n"/>
      <c r="THB379" s="53" t="n"/>
      <c r="THC379" s="84" t="n"/>
      <c r="THD379" s="85" t="n"/>
      <c r="THE379" s="31" t="n"/>
      <c r="THF379" s="50" t="n"/>
      <c r="THG379" s="50" t="n"/>
      <c r="THH379" s="50" t="n"/>
      <c r="THI379" s="50" t="n"/>
      <c r="THJ379" s="50" t="n"/>
      <c r="THK379" s="50" t="n"/>
      <c r="THL379" s="50" t="n"/>
      <c r="THM379" s="50" t="n"/>
      <c r="THN379" s="50" t="n"/>
      <c r="THO379" s="50" t="n"/>
      <c r="THP379" s="50" t="n"/>
      <c r="THQ379" s="50" t="n"/>
      <c r="THR379" s="50" t="n"/>
      <c r="THS379" s="50" t="n"/>
      <c r="THT379" s="50" t="n"/>
      <c r="THU379" s="50" t="n"/>
      <c r="THV379" s="50" t="n"/>
      <c r="THW379" s="50" t="n"/>
      <c r="THX379" s="50" t="n"/>
      <c r="THY379" s="50" t="n"/>
      <c r="THZ379" s="50" t="n"/>
      <c r="TIA379" s="50" t="n"/>
      <c r="TIB379" s="50" t="n"/>
      <c r="TIC379" s="50" t="n"/>
      <c r="TID379" s="56" t="n"/>
      <c r="TIE379" s="50" t="n"/>
      <c r="TIF379" s="53" t="n"/>
      <c r="TIG379" s="84" t="n"/>
      <c r="TIH379" s="85" t="n"/>
      <c r="TII379" s="31" t="n"/>
      <c r="TIJ379" s="50" t="n"/>
      <c r="TIK379" s="50" t="n"/>
      <c r="TIL379" s="50" t="n"/>
      <c r="TIM379" s="50" t="n"/>
      <c r="TIN379" s="50" t="n"/>
      <c r="TIO379" s="50" t="n"/>
      <c r="TIP379" s="50" t="n"/>
      <c r="TIQ379" s="50" t="n"/>
      <c r="TIR379" s="50" t="n"/>
      <c r="TIS379" s="50" t="n"/>
      <c r="TIT379" s="50" t="n"/>
      <c r="TIU379" s="50" t="n"/>
      <c r="TIV379" s="50" t="n"/>
      <c r="TIW379" s="50" t="n"/>
      <c r="TIX379" s="50" t="n"/>
      <c r="TIY379" s="50" t="n"/>
      <c r="TIZ379" s="50" t="n"/>
      <c r="TJA379" s="50" t="n"/>
      <c r="TJB379" s="50" t="n"/>
      <c r="TJC379" s="50" t="n"/>
      <c r="TJD379" s="50" t="n"/>
      <c r="TJE379" s="50" t="n"/>
      <c r="TJF379" s="50" t="n"/>
      <c r="TJG379" s="50" t="n"/>
      <c r="TJH379" s="56" t="n"/>
      <c r="TJI379" s="50" t="n"/>
      <c r="TJJ379" s="53" t="n"/>
      <c r="TJK379" s="84" t="n"/>
      <c r="TJL379" s="85" t="n"/>
      <c r="TJM379" s="31" t="n"/>
      <c r="TJN379" s="50" t="n"/>
      <c r="TJO379" s="50" t="n"/>
      <c r="TJP379" s="50" t="n"/>
      <c r="TJQ379" s="50" t="n"/>
      <c r="TJR379" s="50" t="n"/>
      <c r="TJS379" s="50" t="n"/>
      <c r="TJT379" s="50" t="n"/>
      <c r="TJU379" s="50" t="n"/>
      <c r="TJV379" s="50" t="n"/>
      <c r="TJW379" s="50" t="n"/>
      <c r="TJX379" s="50" t="n"/>
      <c r="TJY379" s="50" t="n"/>
      <c r="TJZ379" s="50" t="n"/>
      <c r="TKA379" s="50" t="n"/>
      <c r="TKB379" s="50" t="n"/>
      <c r="TKC379" s="50" t="n"/>
      <c r="TKD379" s="50" t="n"/>
      <c r="TKE379" s="50" t="n"/>
      <c r="TKF379" s="50" t="n"/>
      <c r="TKG379" s="50" t="n"/>
      <c r="TKH379" s="50" t="n"/>
      <c r="TKI379" s="50" t="n"/>
      <c r="TKJ379" s="50" t="n"/>
      <c r="TKK379" s="50" t="n"/>
      <c r="TKL379" s="56" t="n"/>
      <c r="TKM379" s="50" t="n"/>
      <c r="TKN379" s="53" t="n"/>
      <c r="TKO379" s="84" t="n"/>
      <c r="TKP379" s="85" t="n"/>
      <c r="TKQ379" s="31" t="n"/>
      <c r="TKR379" s="50" t="n"/>
      <c r="TKS379" s="50" t="n"/>
      <c r="TKT379" s="50" t="n"/>
      <c r="TKU379" s="50" t="n"/>
      <c r="TKV379" s="50" t="n"/>
      <c r="TKW379" s="50" t="n"/>
      <c r="TKX379" s="50" t="n"/>
      <c r="TKY379" s="50" t="n"/>
      <c r="TKZ379" s="50" t="n"/>
      <c r="TLA379" s="50" t="n"/>
      <c r="TLB379" s="50" t="n"/>
      <c r="TLC379" s="50" t="n"/>
      <c r="TLD379" s="50" t="n"/>
      <c r="TLE379" s="50" t="n"/>
      <c r="TLF379" s="50" t="n"/>
      <c r="TLG379" s="50" t="n"/>
      <c r="TLH379" s="50" t="n"/>
      <c r="TLI379" s="50" t="n"/>
      <c r="TLJ379" s="50" t="n"/>
      <c r="TLK379" s="50" t="n"/>
      <c r="TLL379" s="50" t="n"/>
      <c r="TLM379" s="50" t="n"/>
      <c r="TLN379" s="50" t="n"/>
      <c r="TLO379" s="50" t="n"/>
      <c r="TLP379" s="56" t="n"/>
      <c r="TLQ379" s="50" t="n"/>
      <c r="TLR379" s="53" t="n"/>
      <c r="TLS379" s="84" t="n"/>
      <c r="TLT379" s="85" t="n"/>
      <c r="TLU379" s="31" t="n"/>
      <c r="TLV379" s="50" t="n"/>
      <c r="TLW379" s="50" t="n"/>
      <c r="TLX379" s="50" t="n"/>
      <c r="TLY379" s="50" t="n"/>
      <c r="TLZ379" s="50" t="n"/>
      <c r="TMA379" s="50" t="n"/>
      <c r="TMB379" s="50" t="n"/>
      <c r="TMC379" s="50" t="n"/>
      <c r="TMD379" s="50" t="n"/>
      <c r="TME379" s="50" t="n"/>
      <c r="TMF379" s="50" t="n"/>
      <c r="TMG379" s="50" t="n"/>
      <c r="TMH379" s="50" t="n"/>
      <c r="TMI379" s="50" t="n"/>
      <c r="TMJ379" s="50" t="n"/>
      <c r="TMK379" s="50" t="n"/>
      <c r="TML379" s="50" t="n"/>
      <c r="TMM379" s="50" t="n"/>
      <c r="TMN379" s="50" t="n"/>
      <c r="TMO379" s="50" t="n"/>
      <c r="TMP379" s="50" t="n"/>
      <c r="TMQ379" s="50" t="n"/>
      <c r="TMR379" s="50" t="n"/>
      <c r="TMS379" s="50" t="n"/>
      <c r="TMT379" s="56" t="n"/>
      <c r="TMU379" s="50" t="n"/>
      <c r="TMV379" s="53" t="n"/>
      <c r="TMW379" s="84" t="n"/>
      <c r="TMX379" s="85" t="n"/>
      <c r="TMY379" s="31" t="n"/>
      <c r="TMZ379" s="50" t="n"/>
      <c r="TNA379" s="50" t="n"/>
      <c r="TNB379" s="50" t="n"/>
      <c r="TNC379" s="50" t="n"/>
      <c r="TND379" s="50" t="n"/>
      <c r="TNE379" s="50" t="n"/>
      <c r="TNF379" s="50" t="n"/>
      <c r="TNG379" s="50" t="n"/>
      <c r="TNH379" s="50" t="n"/>
      <c r="TNI379" s="50" t="n"/>
      <c r="TNJ379" s="50" t="n"/>
      <c r="TNK379" s="50" t="n"/>
      <c r="TNL379" s="50" t="n"/>
      <c r="TNM379" s="50" t="n"/>
      <c r="TNN379" s="50" t="n"/>
      <c r="TNO379" s="50" t="n"/>
      <c r="TNP379" s="50" t="n"/>
      <c r="TNQ379" s="50" t="n"/>
      <c r="TNR379" s="50" t="n"/>
      <c r="TNS379" s="50" t="n"/>
      <c r="TNT379" s="50" t="n"/>
      <c r="TNU379" s="50" t="n"/>
      <c r="TNV379" s="50" t="n"/>
      <c r="TNW379" s="50" t="n"/>
      <c r="TNX379" s="56" t="n"/>
      <c r="TNY379" s="50" t="n"/>
      <c r="TNZ379" s="53" t="n"/>
      <c r="TOA379" s="84" t="n"/>
      <c r="TOB379" s="85" t="n"/>
      <c r="TOC379" s="31" t="n"/>
      <c r="TOD379" s="50" t="n"/>
      <c r="TOE379" s="50" t="n"/>
      <c r="TOF379" s="50" t="n"/>
      <c r="TOG379" s="50" t="n"/>
      <c r="TOH379" s="50" t="n"/>
      <c r="TOI379" s="50" t="n"/>
      <c r="TOJ379" s="50" t="n"/>
      <c r="TOK379" s="50" t="n"/>
      <c r="TOL379" s="50" t="n"/>
      <c r="TOM379" s="50" t="n"/>
      <c r="TON379" s="50" t="n"/>
      <c r="TOO379" s="50" t="n"/>
      <c r="TOP379" s="50" t="n"/>
      <c r="TOQ379" s="50" t="n"/>
      <c r="TOR379" s="50" t="n"/>
      <c r="TOS379" s="50" t="n"/>
      <c r="TOT379" s="50" t="n"/>
      <c r="TOU379" s="50" t="n"/>
      <c r="TOV379" s="50" t="n"/>
      <c r="TOW379" s="50" t="n"/>
      <c r="TOX379" s="50" t="n"/>
      <c r="TOY379" s="50" t="n"/>
      <c r="TOZ379" s="50" t="n"/>
      <c r="TPA379" s="50" t="n"/>
      <c r="TPB379" s="56" t="n"/>
      <c r="TPC379" s="50" t="n"/>
      <c r="TPD379" s="53" t="n"/>
      <c r="TPE379" s="84" t="n"/>
      <c r="TPF379" s="85" t="n"/>
      <c r="TPG379" s="31" t="n"/>
      <c r="TPH379" s="50" t="n"/>
      <c r="TPI379" s="50" t="n"/>
      <c r="TPJ379" s="50" t="n"/>
      <c r="TPK379" s="50" t="n"/>
      <c r="TPL379" s="50" t="n"/>
      <c r="TPM379" s="50" t="n"/>
      <c r="TPN379" s="50" t="n"/>
      <c r="TPO379" s="50" t="n"/>
      <c r="TPP379" s="50" t="n"/>
      <c r="TPQ379" s="50" t="n"/>
      <c r="TPR379" s="50" t="n"/>
      <c r="TPS379" s="50" t="n"/>
      <c r="TPT379" s="50" t="n"/>
      <c r="TPU379" s="50" t="n"/>
      <c r="TPV379" s="50" t="n"/>
      <c r="TPW379" s="50" t="n"/>
      <c r="TPX379" s="50" t="n"/>
      <c r="TPY379" s="50" t="n"/>
      <c r="TPZ379" s="50" t="n"/>
      <c r="TQA379" s="50" t="n"/>
      <c r="TQB379" s="50" t="n"/>
      <c r="TQC379" s="50" t="n"/>
      <c r="TQD379" s="50" t="n"/>
      <c r="TQE379" s="50" t="n"/>
      <c r="TQF379" s="56" t="n"/>
      <c r="TQG379" s="50" t="n"/>
      <c r="TQH379" s="53" t="n"/>
      <c r="TQI379" s="84" t="n"/>
      <c r="TQJ379" s="85" t="n"/>
      <c r="TQK379" s="31" t="n"/>
      <c r="TQL379" s="50" t="n"/>
      <c r="TQM379" s="50" t="n"/>
      <c r="TQN379" s="50" t="n"/>
      <c r="TQO379" s="50" t="n"/>
      <c r="TQP379" s="50" t="n"/>
      <c r="TQQ379" s="50" t="n"/>
      <c r="TQR379" s="50" t="n"/>
      <c r="TQS379" s="50" t="n"/>
      <c r="TQT379" s="50" t="n"/>
      <c r="TQU379" s="50" t="n"/>
      <c r="TQV379" s="50" t="n"/>
      <c r="TQW379" s="50" t="n"/>
      <c r="TQX379" s="50" t="n"/>
      <c r="TQY379" s="50" t="n"/>
      <c r="TQZ379" s="50" t="n"/>
      <c r="TRA379" s="50" t="n"/>
      <c r="TRB379" s="50" t="n"/>
      <c r="TRC379" s="50" t="n"/>
      <c r="TRD379" s="50" t="n"/>
      <c r="TRE379" s="50" t="n"/>
      <c r="TRF379" s="50" t="n"/>
      <c r="TRG379" s="50" t="n"/>
      <c r="TRH379" s="50" t="n"/>
      <c r="TRI379" s="50" t="n"/>
      <c r="TRJ379" s="56" t="n"/>
      <c r="TRK379" s="50" t="n"/>
      <c r="TRL379" s="53" t="n"/>
      <c r="TRM379" s="84" t="n"/>
      <c r="TRN379" s="85" t="n"/>
      <c r="TRO379" s="31" t="n"/>
      <c r="TRP379" s="50" t="n"/>
      <c r="TRQ379" s="50" t="n"/>
      <c r="TRR379" s="50" t="n"/>
      <c r="TRS379" s="50" t="n"/>
      <c r="TRT379" s="50" t="n"/>
      <c r="TRU379" s="50" t="n"/>
      <c r="TRV379" s="50" t="n"/>
      <c r="TRW379" s="50" t="n"/>
      <c r="TRX379" s="50" t="n"/>
      <c r="TRY379" s="50" t="n"/>
      <c r="TRZ379" s="50" t="n"/>
      <c r="TSA379" s="50" t="n"/>
      <c r="TSB379" s="50" t="n"/>
      <c r="TSC379" s="50" t="n"/>
      <c r="TSD379" s="50" t="n"/>
      <c r="TSE379" s="50" t="n"/>
      <c r="TSF379" s="50" t="n"/>
      <c r="TSG379" s="50" t="n"/>
      <c r="TSH379" s="50" t="n"/>
      <c r="TSI379" s="50" t="n"/>
      <c r="TSJ379" s="50" t="n"/>
      <c r="TSK379" s="50" t="n"/>
      <c r="TSL379" s="50" t="n"/>
      <c r="TSM379" s="50" t="n"/>
      <c r="TSN379" s="56" t="n"/>
      <c r="TSO379" s="50" t="n"/>
      <c r="TSP379" s="53" t="n"/>
      <c r="TSQ379" s="84" t="n"/>
      <c r="TSR379" s="85" t="n"/>
      <c r="TSS379" s="31" t="n"/>
      <c r="TST379" s="50" t="n"/>
      <c r="TSU379" s="50" t="n"/>
      <c r="TSV379" s="50" t="n"/>
      <c r="TSW379" s="50" t="n"/>
      <c r="TSX379" s="50" t="n"/>
      <c r="TSY379" s="50" t="n"/>
      <c r="TSZ379" s="50" t="n"/>
      <c r="TTA379" s="50" t="n"/>
      <c r="TTB379" s="50" t="n"/>
      <c r="TTC379" s="50" t="n"/>
      <c r="TTD379" s="50" t="n"/>
      <c r="TTE379" s="50" t="n"/>
      <c r="TTF379" s="50" t="n"/>
      <c r="TTG379" s="50" t="n"/>
      <c r="TTH379" s="50" t="n"/>
      <c r="TTI379" s="50" t="n"/>
      <c r="TTJ379" s="50" t="n"/>
      <c r="TTK379" s="50" t="n"/>
      <c r="TTL379" s="50" t="n"/>
      <c r="TTM379" s="50" t="n"/>
      <c r="TTN379" s="50" t="n"/>
      <c r="TTO379" s="50" t="n"/>
      <c r="TTP379" s="50" t="n"/>
      <c r="TTQ379" s="50" t="n"/>
      <c r="TTR379" s="56" t="n"/>
      <c r="TTS379" s="50" t="n"/>
      <c r="TTT379" s="53" t="n"/>
      <c r="TTU379" s="84" t="n"/>
      <c r="TTV379" s="85" t="n"/>
      <c r="TTW379" s="31" t="n"/>
      <c r="TTX379" s="50" t="n"/>
      <c r="TTY379" s="50" t="n"/>
      <c r="TTZ379" s="50" t="n"/>
      <c r="TUA379" s="50" t="n"/>
      <c r="TUB379" s="50" t="n"/>
      <c r="TUC379" s="50" t="n"/>
      <c r="TUD379" s="50" t="n"/>
      <c r="TUE379" s="50" t="n"/>
      <c r="TUF379" s="50" t="n"/>
      <c r="TUG379" s="50" t="n"/>
      <c r="TUH379" s="50" t="n"/>
      <c r="TUI379" s="50" t="n"/>
      <c r="TUJ379" s="50" t="n"/>
      <c r="TUK379" s="50" t="n"/>
      <c r="TUL379" s="50" t="n"/>
      <c r="TUM379" s="50" t="n"/>
      <c r="TUN379" s="50" t="n"/>
      <c r="TUO379" s="50" t="n"/>
      <c r="TUP379" s="50" t="n"/>
      <c r="TUQ379" s="50" t="n"/>
      <c r="TUR379" s="50" t="n"/>
      <c r="TUS379" s="50" t="n"/>
      <c r="TUT379" s="50" t="n"/>
      <c r="TUU379" s="50" t="n"/>
      <c r="TUV379" s="56" t="n"/>
      <c r="TUW379" s="50" t="n"/>
      <c r="TUX379" s="53" t="n"/>
      <c r="TUY379" s="84" t="n"/>
      <c r="TUZ379" s="85" t="n"/>
      <c r="TVA379" s="31" t="n"/>
      <c r="TVB379" s="50" t="n"/>
      <c r="TVC379" s="50" t="n"/>
      <c r="TVD379" s="50" t="n"/>
      <c r="TVE379" s="50" t="n"/>
      <c r="TVF379" s="50" t="n"/>
      <c r="TVG379" s="50" t="n"/>
      <c r="TVH379" s="50" t="n"/>
      <c r="TVI379" s="50" t="n"/>
      <c r="TVJ379" s="50" t="n"/>
      <c r="TVK379" s="50" t="n"/>
      <c r="TVL379" s="50" t="n"/>
      <c r="TVM379" s="50" t="n"/>
      <c r="TVN379" s="50" t="n"/>
      <c r="TVO379" s="50" t="n"/>
      <c r="TVP379" s="50" t="n"/>
      <c r="TVQ379" s="50" t="n"/>
      <c r="TVR379" s="50" t="n"/>
      <c r="TVS379" s="50" t="n"/>
      <c r="TVT379" s="50" t="n"/>
      <c r="TVU379" s="50" t="n"/>
      <c r="TVV379" s="50" t="n"/>
      <c r="TVW379" s="50" t="n"/>
      <c r="TVX379" s="50" t="n"/>
      <c r="TVY379" s="50" t="n"/>
      <c r="TVZ379" s="56" t="n"/>
      <c r="TWA379" s="50" t="n"/>
      <c r="TWB379" s="53" t="n"/>
      <c r="TWC379" s="84" t="n"/>
      <c r="TWD379" s="85" t="n"/>
      <c r="TWE379" s="31" t="n"/>
      <c r="TWF379" s="50" t="n"/>
      <c r="TWG379" s="50" t="n"/>
      <c r="TWH379" s="50" t="n"/>
      <c r="TWI379" s="50" t="n"/>
      <c r="TWJ379" s="50" t="n"/>
      <c r="TWK379" s="50" t="n"/>
      <c r="TWL379" s="50" t="n"/>
      <c r="TWM379" s="50" t="n"/>
      <c r="TWN379" s="50" t="n"/>
      <c r="TWO379" s="50" t="n"/>
      <c r="TWP379" s="50" t="n"/>
      <c r="TWQ379" s="50" t="n"/>
      <c r="TWR379" s="50" t="n"/>
      <c r="TWS379" s="50" t="n"/>
      <c r="TWT379" s="50" t="n"/>
      <c r="TWU379" s="50" t="n"/>
      <c r="TWV379" s="50" t="n"/>
      <c r="TWW379" s="50" t="n"/>
      <c r="TWX379" s="50" t="n"/>
      <c r="TWY379" s="50" t="n"/>
      <c r="TWZ379" s="50" t="n"/>
      <c r="TXA379" s="50" t="n"/>
      <c r="TXB379" s="50" t="n"/>
      <c r="TXC379" s="50" t="n"/>
      <c r="TXD379" s="56" t="n"/>
      <c r="TXE379" s="50" t="n"/>
      <c r="TXF379" s="53" t="n"/>
      <c r="TXG379" s="84" t="n"/>
      <c r="TXH379" s="85" t="n"/>
      <c r="TXI379" s="31" t="n"/>
      <c r="TXJ379" s="50" t="n"/>
      <c r="TXK379" s="50" t="n"/>
      <c r="TXL379" s="50" t="n"/>
      <c r="TXM379" s="50" t="n"/>
      <c r="TXN379" s="50" t="n"/>
      <c r="TXO379" s="50" t="n"/>
      <c r="TXP379" s="50" t="n"/>
      <c r="TXQ379" s="50" t="n"/>
      <c r="TXR379" s="50" t="n"/>
      <c r="TXS379" s="50" t="n"/>
      <c r="TXT379" s="50" t="n"/>
      <c r="TXU379" s="50" t="n"/>
      <c r="TXV379" s="50" t="n"/>
      <c r="TXW379" s="50" t="n"/>
      <c r="TXX379" s="50" t="n"/>
      <c r="TXY379" s="50" t="n"/>
      <c r="TXZ379" s="50" t="n"/>
      <c r="TYA379" s="50" t="n"/>
      <c r="TYB379" s="50" t="n"/>
      <c r="TYC379" s="50" t="n"/>
      <c r="TYD379" s="50" t="n"/>
      <c r="TYE379" s="50" t="n"/>
      <c r="TYF379" s="50" t="n"/>
      <c r="TYG379" s="50" t="n"/>
      <c r="TYH379" s="56" t="n"/>
      <c r="TYI379" s="50" t="n"/>
      <c r="TYJ379" s="53" t="n"/>
      <c r="TYK379" s="84" t="n"/>
      <c r="TYL379" s="85" t="n"/>
      <c r="TYM379" s="31" t="n"/>
      <c r="TYN379" s="50" t="n"/>
      <c r="TYO379" s="50" t="n"/>
      <c r="TYP379" s="50" t="n"/>
      <c r="TYQ379" s="50" t="n"/>
      <c r="TYR379" s="50" t="n"/>
      <c r="TYS379" s="50" t="n"/>
      <c r="TYT379" s="50" t="n"/>
      <c r="TYU379" s="50" t="n"/>
      <c r="TYV379" s="50" t="n"/>
      <c r="TYW379" s="50" t="n"/>
      <c r="TYX379" s="50" t="n"/>
      <c r="TYY379" s="50" t="n"/>
      <c r="TYZ379" s="50" t="n"/>
      <c r="TZA379" s="50" t="n"/>
      <c r="TZB379" s="50" t="n"/>
      <c r="TZC379" s="50" t="n"/>
      <c r="TZD379" s="50" t="n"/>
      <c r="TZE379" s="50" t="n"/>
      <c r="TZF379" s="50" t="n"/>
      <c r="TZG379" s="50" t="n"/>
      <c r="TZH379" s="50" t="n"/>
      <c r="TZI379" s="50" t="n"/>
      <c r="TZJ379" s="50" t="n"/>
      <c r="TZK379" s="50" t="n"/>
      <c r="TZL379" s="56" t="n"/>
      <c r="TZM379" s="50" t="n"/>
      <c r="TZN379" s="53" t="n"/>
      <c r="TZO379" s="84" t="n"/>
      <c r="TZP379" s="85" t="n"/>
      <c r="TZQ379" s="31" t="n"/>
      <c r="TZR379" s="50" t="n"/>
      <c r="TZS379" s="50" t="n"/>
      <c r="TZT379" s="50" t="n"/>
      <c r="TZU379" s="50" t="n"/>
      <c r="TZV379" s="50" t="n"/>
      <c r="TZW379" s="50" t="n"/>
      <c r="TZX379" s="50" t="n"/>
      <c r="TZY379" s="50" t="n"/>
      <c r="TZZ379" s="50" t="n"/>
      <c r="UAA379" s="50" t="n"/>
      <c r="UAB379" s="50" t="n"/>
      <c r="UAC379" s="50" t="n"/>
      <c r="UAD379" s="50" t="n"/>
      <c r="UAE379" s="50" t="n"/>
      <c r="UAF379" s="50" t="n"/>
      <c r="UAG379" s="50" t="n"/>
      <c r="UAH379" s="50" t="n"/>
      <c r="UAI379" s="50" t="n"/>
      <c r="UAJ379" s="50" t="n"/>
      <c r="UAK379" s="50" t="n"/>
      <c r="UAL379" s="50" t="n"/>
      <c r="UAM379" s="50" t="n"/>
      <c r="UAN379" s="50" t="n"/>
      <c r="UAO379" s="50" t="n"/>
      <c r="UAP379" s="56" t="n"/>
      <c r="UAQ379" s="50" t="n"/>
      <c r="UAR379" s="53" t="n"/>
      <c r="UAS379" s="84" t="n"/>
      <c r="UAT379" s="85" t="n"/>
      <c r="UAU379" s="31" t="n"/>
      <c r="UAV379" s="50" t="n"/>
      <c r="UAW379" s="50" t="n"/>
      <c r="UAX379" s="50" t="n"/>
      <c r="UAY379" s="50" t="n"/>
      <c r="UAZ379" s="50" t="n"/>
      <c r="UBA379" s="50" t="n"/>
      <c r="UBB379" s="50" t="n"/>
      <c r="UBC379" s="50" t="n"/>
      <c r="UBD379" s="50" t="n"/>
      <c r="UBE379" s="50" t="n"/>
      <c r="UBF379" s="50" t="n"/>
      <c r="UBG379" s="50" t="n"/>
      <c r="UBH379" s="50" t="n"/>
      <c r="UBI379" s="50" t="n"/>
      <c r="UBJ379" s="50" t="n"/>
      <c r="UBK379" s="50" t="n"/>
      <c r="UBL379" s="50" t="n"/>
      <c r="UBM379" s="50" t="n"/>
      <c r="UBN379" s="50" t="n"/>
      <c r="UBO379" s="50" t="n"/>
      <c r="UBP379" s="50" t="n"/>
      <c r="UBQ379" s="50" t="n"/>
      <c r="UBR379" s="50" t="n"/>
      <c r="UBS379" s="50" t="n"/>
      <c r="UBT379" s="56" t="n"/>
      <c r="UBU379" s="50" t="n"/>
      <c r="UBV379" s="53" t="n"/>
      <c r="UBW379" s="84" t="n"/>
      <c r="UBX379" s="85" t="n"/>
      <c r="UBY379" s="31" t="n"/>
      <c r="UBZ379" s="50" t="n"/>
      <c r="UCA379" s="50" t="n"/>
      <c r="UCB379" s="50" t="n"/>
      <c r="UCC379" s="50" t="n"/>
      <c r="UCD379" s="50" t="n"/>
      <c r="UCE379" s="50" t="n"/>
      <c r="UCF379" s="50" t="n"/>
      <c r="UCG379" s="50" t="n"/>
      <c r="UCH379" s="50" t="n"/>
      <c r="UCI379" s="50" t="n"/>
      <c r="UCJ379" s="50" t="n"/>
      <c r="UCK379" s="50" t="n"/>
      <c r="UCL379" s="50" t="n"/>
      <c r="UCM379" s="50" t="n"/>
      <c r="UCN379" s="50" t="n"/>
      <c r="UCO379" s="50" t="n"/>
      <c r="UCP379" s="50" t="n"/>
      <c r="UCQ379" s="50" t="n"/>
      <c r="UCR379" s="50" t="n"/>
      <c r="UCS379" s="50" t="n"/>
      <c r="UCT379" s="50" t="n"/>
      <c r="UCU379" s="50" t="n"/>
      <c r="UCV379" s="50" t="n"/>
      <c r="UCW379" s="50" t="n"/>
      <c r="UCX379" s="56" t="n"/>
      <c r="UCY379" s="50" t="n"/>
      <c r="UCZ379" s="53" t="n"/>
      <c r="UDA379" s="84" t="n"/>
      <c r="UDB379" s="85" t="n"/>
      <c r="UDC379" s="31" t="n"/>
      <c r="UDD379" s="50" t="n"/>
      <c r="UDE379" s="50" t="n"/>
      <c r="UDF379" s="50" t="n"/>
      <c r="UDG379" s="50" t="n"/>
      <c r="UDH379" s="50" t="n"/>
      <c r="UDI379" s="50" t="n"/>
      <c r="UDJ379" s="50" t="n"/>
      <c r="UDK379" s="50" t="n"/>
      <c r="UDL379" s="50" t="n"/>
      <c r="UDM379" s="50" t="n"/>
      <c r="UDN379" s="50" t="n"/>
      <c r="UDO379" s="50" t="n"/>
      <c r="UDP379" s="50" t="n"/>
      <c r="UDQ379" s="50" t="n"/>
      <c r="UDR379" s="50" t="n"/>
      <c r="UDS379" s="50" t="n"/>
      <c r="UDT379" s="50" t="n"/>
      <c r="UDU379" s="50" t="n"/>
      <c r="UDV379" s="50" t="n"/>
      <c r="UDW379" s="50" t="n"/>
      <c r="UDX379" s="50" t="n"/>
      <c r="UDY379" s="50" t="n"/>
      <c r="UDZ379" s="50" t="n"/>
      <c r="UEA379" s="50" t="n"/>
      <c r="UEB379" s="56" t="n"/>
      <c r="UEC379" s="50" t="n"/>
      <c r="UED379" s="53" t="n"/>
      <c r="UEE379" s="84" t="n"/>
      <c r="UEF379" s="85" t="n"/>
      <c r="UEG379" s="31" t="n"/>
      <c r="UEH379" s="50" t="n"/>
      <c r="UEI379" s="50" t="n"/>
      <c r="UEJ379" s="50" t="n"/>
      <c r="UEK379" s="50" t="n"/>
      <c r="UEL379" s="50" t="n"/>
      <c r="UEM379" s="50" t="n"/>
      <c r="UEN379" s="50" t="n"/>
      <c r="UEO379" s="50" t="n"/>
      <c r="UEP379" s="50" t="n"/>
      <c r="UEQ379" s="50" t="n"/>
      <c r="UER379" s="50" t="n"/>
      <c r="UES379" s="50" t="n"/>
      <c r="UET379" s="50" t="n"/>
      <c r="UEU379" s="50" t="n"/>
      <c r="UEV379" s="50" t="n"/>
      <c r="UEW379" s="50" t="n"/>
      <c r="UEX379" s="50" t="n"/>
      <c r="UEY379" s="50" t="n"/>
      <c r="UEZ379" s="50" t="n"/>
      <c r="UFA379" s="50" t="n"/>
      <c r="UFB379" s="50" t="n"/>
      <c r="UFC379" s="50" t="n"/>
      <c r="UFD379" s="50" t="n"/>
      <c r="UFE379" s="50" t="n"/>
      <c r="UFF379" s="56" t="n"/>
      <c r="UFG379" s="50" t="n"/>
      <c r="UFH379" s="53" t="n"/>
      <c r="UFI379" s="84" t="n"/>
      <c r="UFJ379" s="85" t="n"/>
      <c r="UFK379" s="31" t="n"/>
      <c r="UFL379" s="50" t="n"/>
      <c r="UFM379" s="50" t="n"/>
      <c r="UFN379" s="50" t="n"/>
      <c r="UFO379" s="50" t="n"/>
      <c r="UFP379" s="50" t="n"/>
      <c r="UFQ379" s="50" t="n"/>
      <c r="UFR379" s="50" t="n"/>
      <c r="UFS379" s="50" t="n"/>
      <c r="UFT379" s="50" t="n"/>
      <c r="UFU379" s="50" t="n"/>
      <c r="UFV379" s="50" t="n"/>
      <c r="UFW379" s="50" t="n"/>
      <c r="UFX379" s="50" t="n"/>
      <c r="UFY379" s="50" t="n"/>
      <c r="UFZ379" s="50" t="n"/>
      <c r="UGA379" s="50" t="n"/>
      <c r="UGB379" s="50" t="n"/>
      <c r="UGC379" s="50" t="n"/>
      <c r="UGD379" s="50" t="n"/>
      <c r="UGE379" s="50" t="n"/>
      <c r="UGF379" s="50" t="n"/>
      <c r="UGG379" s="50" t="n"/>
      <c r="UGH379" s="50" t="n"/>
      <c r="UGI379" s="50" t="n"/>
      <c r="UGJ379" s="56" t="n"/>
      <c r="UGK379" s="50" t="n"/>
      <c r="UGL379" s="53" t="n"/>
      <c r="UGM379" s="84" t="n"/>
      <c r="UGN379" s="85" t="n"/>
      <c r="UGO379" s="31" t="n"/>
      <c r="UGP379" s="50" t="n"/>
      <c r="UGQ379" s="50" t="n"/>
      <c r="UGR379" s="50" t="n"/>
      <c r="UGS379" s="50" t="n"/>
      <c r="UGT379" s="50" t="n"/>
      <c r="UGU379" s="50" t="n"/>
      <c r="UGV379" s="50" t="n"/>
      <c r="UGW379" s="50" t="n"/>
      <c r="UGX379" s="50" t="n"/>
      <c r="UGY379" s="50" t="n"/>
      <c r="UGZ379" s="50" t="n"/>
      <c r="UHA379" s="50" t="n"/>
      <c r="UHB379" s="50" t="n"/>
      <c r="UHC379" s="50" t="n"/>
      <c r="UHD379" s="50" t="n"/>
      <c r="UHE379" s="50" t="n"/>
      <c r="UHF379" s="50" t="n"/>
      <c r="UHG379" s="50" t="n"/>
      <c r="UHH379" s="50" t="n"/>
      <c r="UHI379" s="50" t="n"/>
      <c r="UHJ379" s="50" t="n"/>
      <c r="UHK379" s="50" t="n"/>
      <c r="UHL379" s="50" t="n"/>
      <c r="UHM379" s="50" t="n"/>
      <c r="UHN379" s="56" t="n"/>
      <c r="UHO379" s="50" t="n"/>
      <c r="UHP379" s="53" t="n"/>
      <c r="UHQ379" s="84" t="n"/>
      <c r="UHR379" s="85" t="n"/>
      <c r="UHS379" s="31" t="n"/>
      <c r="UHT379" s="50" t="n"/>
      <c r="UHU379" s="50" t="n"/>
      <c r="UHV379" s="50" t="n"/>
      <c r="UHW379" s="50" t="n"/>
      <c r="UHX379" s="50" t="n"/>
      <c r="UHY379" s="50" t="n"/>
      <c r="UHZ379" s="50" t="n"/>
      <c r="UIA379" s="50" t="n"/>
      <c r="UIB379" s="50" t="n"/>
      <c r="UIC379" s="50" t="n"/>
      <c r="UID379" s="50" t="n"/>
      <c r="UIE379" s="50" t="n"/>
      <c r="UIF379" s="50" t="n"/>
      <c r="UIG379" s="50" t="n"/>
      <c r="UIH379" s="50" t="n"/>
      <c r="UII379" s="50" t="n"/>
      <c r="UIJ379" s="50" t="n"/>
      <c r="UIK379" s="50" t="n"/>
      <c r="UIL379" s="50" t="n"/>
      <c r="UIM379" s="50" t="n"/>
      <c r="UIN379" s="50" t="n"/>
      <c r="UIO379" s="50" t="n"/>
      <c r="UIP379" s="50" t="n"/>
      <c r="UIQ379" s="50" t="n"/>
      <c r="UIR379" s="56" t="n"/>
      <c r="UIS379" s="50" t="n"/>
      <c r="UIT379" s="53" t="n"/>
      <c r="UIU379" s="84" t="n"/>
      <c r="UIV379" s="85" t="n"/>
      <c r="UIW379" s="31" t="n"/>
      <c r="UIX379" s="50" t="n"/>
      <c r="UIY379" s="50" t="n"/>
      <c r="UIZ379" s="50" t="n"/>
      <c r="UJA379" s="50" t="n"/>
      <c r="UJB379" s="50" t="n"/>
      <c r="UJC379" s="50" t="n"/>
      <c r="UJD379" s="50" t="n"/>
      <c r="UJE379" s="50" t="n"/>
      <c r="UJF379" s="50" t="n"/>
      <c r="UJG379" s="50" t="n"/>
      <c r="UJH379" s="50" t="n"/>
      <c r="UJI379" s="50" t="n"/>
      <c r="UJJ379" s="50" t="n"/>
      <c r="UJK379" s="50" t="n"/>
      <c r="UJL379" s="50" t="n"/>
      <c r="UJM379" s="50" t="n"/>
      <c r="UJN379" s="50" t="n"/>
      <c r="UJO379" s="50" t="n"/>
      <c r="UJP379" s="50" t="n"/>
      <c r="UJQ379" s="50" t="n"/>
      <c r="UJR379" s="50" t="n"/>
      <c r="UJS379" s="50" t="n"/>
      <c r="UJT379" s="50" t="n"/>
      <c r="UJU379" s="50" t="n"/>
      <c r="UJV379" s="56" t="n"/>
      <c r="UJW379" s="50" t="n"/>
      <c r="UJX379" s="53" t="n"/>
      <c r="UJY379" s="84" t="n"/>
      <c r="UJZ379" s="85" t="n"/>
      <c r="UKA379" s="31" t="n"/>
      <c r="UKB379" s="50" t="n"/>
      <c r="UKC379" s="50" t="n"/>
      <c r="UKD379" s="50" t="n"/>
      <c r="UKE379" s="50" t="n"/>
      <c r="UKF379" s="50" t="n"/>
      <c r="UKG379" s="50" t="n"/>
      <c r="UKH379" s="50" t="n"/>
      <c r="UKI379" s="50" t="n"/>
      <c r="UKJ379" s="50" t="n"/>
      <c r="UKK379" s="50" t="n"/>
      <c r="UKL379" s="50" t="n"/>
      <c r="UKM379" s="50" t="n"/>
      <c r="UKN379" s="50" t="n"/>
      <c r="UKO379" s="50" t="n"/>
      <c r="UKP379" s="50" t="n"/>
      <c r="UKQ379" s="50" t="n"/>
      <c r="UKR379" s="50" t="n"/>
      <c r="UKS379" s="50" t="n"/>
      <c r="UKT379" s="50" t="n"/>
      <c r="UKU379" s="50" t="n"/>
      <c r="UKV379" s="50" t="n"/>
      <c r="UKW379" s="50" t="n"/>
      <c r="UKX379" s="50" t="n"/>
      <c r="UKY379" s="50" t="n"/>
      <c r="UKZ379" s="56" t="n"/>
      <c r="ULA379" s="50" t="n"/>
      <c r="ULB379" s="53" t="n"/>
      <c r="ULC379" s="84" t="n"/>
      <c r="ULD379" s="85" t="n"/>
      <c r="ULE379" s="31" t="n"/>
      <c r="ULF379" s="50" t="n"/>
      <c r="ULG379" s="50" t="n"/>
      <c r="ULH379" s="50" t="n"/>
      <c r="ULI379" s="50" t="n"/>
      <c r="ULJ379" s="50" t="n"/>
      <c r="ULK379" s="50" t="n"/>
      <c r="ULL379" s="50" t="n"/>
      <c r="ULM379" s="50" t="n"/>
      <c r="ULN379" s="50" t="n"/>
      <c r="ULO379" s="50" t="n"/>
      <c r="ULP379" s="50" t="n"/>
      <c r="ULQ379" s="50" t="n"/>
      <c r="ULR379" s="50" t="n"/>
      <c r="ULS379" s="50" t="n"/>
      <c r="ULT379" s="50" t="n"/>
      <c r="ULU379" s="50" t="n"/>
      <c r="ULV379" s="50" t="n"/>
      <c r="ULW379" s="50" t="n"/>
      <c r="ULX379" s="50" t="n"/>
      <c r="ULY379" s="50" t="n"/>
      <c r="ULZ379" s="50" t="n"/>
      <c r="UMA379" s="50" t="n"/>
      <c r="UMB379" s="50" t="n"/>
      <c r="UMC379" s="50" t="n"/>
      <c r="UMD379" s="56" t="n"/>
      <c r="UME379" s="50" t="n"/>
      <c r="UMF379" s="53" t="n"/>
      <c r="UMG379" s="84" t="n"/>
      <c r="UMH379" s="85" t="n"/>
      <c r="UMI379" s="31" t="n"/>
      <c r="UMJ379" s="50" t="n"/>
      <c r="UMK379" s="50" t="n"/>
      <c r="UML379" s="50" t="n"/>
      <c r="UMM379" s="50" t="n"/>
      <c r="UMN379" s="50" t="n"/>
      <c r="UMO379" s="50" t="n"/>
      <c r="UMP379" s="50" t="n"/>
      <c r="UMQ379" s="50" t="n"/>
      <c r="UMR379" s="50" t="n"/>
      <c r="UMS379" s="50" t="n"/>
      <c r="UMT379" s="50" t="n"/>
      <c r="UMU379" s="50" t="n"/>
      <c r="UMV379" s="50" t="n"/>
      <c r="UMW379" s="50" t="n"/>
      <c r="UMX379" s="50" t="n"/>
      <c r="UMY379" s="50" t="n"/>
      <c r="UMZ379" s="50" t="n"/>
      <c r="UNA379" s="50" t="n"/>
      <c r="UNB379" s="50" t="n"/>
      <c r="UNC379" s="50" t="n"/>
      <c r="UND379" s="50" t="n"/>
      <c r="UNE379" s="50" t="n"/>
      <c r="UNF379" s="50" t="n"/>
      <c r="UNG379" s="50" t="n"/>
      <c r="UNH379" s="56" t="n"/>
      <c r="UNI379" s="50" t="n"/>
      <c r="UNJ379" s="53" t="n"/>
      <c r="UNK379" s="84" t="n"/>
      <c r="UNL379" s="85" t="n"/>
      <c r="UNM379" s="31" t="n"/>
      <c r="UNN379" s="50" t="n"/>
      <c r="UNO379" s="50" t="n"/>
      <c r="UNP379" s="50" t="n"/>
      <c r="UNQ379" s="50" t="n"/>
      <c r="UNR379" s="50" t="n"/>
      <c r="UNS379" s="50" t="n"/>
      <c r="UNT379" s="50" t="n"/>
      <c r="UNU379" s="50" t="n"/>
      <c r="UNV379" s="50" t="n"/>
      <c r="UNW379" s="50" t="n"/>
      <c r="UNX379" s="50" t="n"/>
      <c r="UNY379" s="50" t="n"/>
      <c r="UNZ379" s="50" t="n"/>
      <c r="UOA379" s="50" t="n"/>
      <c r="UOB379" s="50" t="n"/>
      <c r="UOC379" s="50" t="n"/>
      <c r="UOD379" s="50" t="n"/>
      <c r="UOE379" s="50" t="n"/>
      <c r="UOF379" s="50" t="n"/>
      <c r="UOG379" s="50" t="n"/>
      <c r="UOH379" s="50" t="n"/>
      <c r="UOI379" s="50" t="n"/>
      <c r="UOJ379" s="50" t="n"/>
      <c r="UOK379" s="50" t="n"/>
      <c r="UOL379" s="56" t="n"/>
      <c r="UOM379" s="50" t="n"/>
      <c r="UON379" s="53" t="n"/>
      <c r="UOO379" s="84" t="n"/>
      <c r="UOP379" s="85" t="n"/>
      <c r="UOQ379" s="31" t="n"/>
      <c r="UOR379" s="50" t="n"/>
      <c r="UOS379" s="50" t="n"/>
      <c r="UOT379" s="50" t="n"/>
      <c r="UOU379" s="50" t="n"/>
      <c r="UOV379" s="50" t="n"/>
      <c r="UOW379" s="50" t="n"/>
      <c r="UOX379" s="50" t="n"/>
      <c r="UOY379" s="50" t="n"/>
      <c r="UOZ379" s="50" t="n"/>
      <c r="UPA379" s="50" t="n"/>
      <c r="UPB379" s="50" t="n"/>
      <c r="UPC379" s="50" t="n"/>
      <c r="UPD379" s="50" t="n"/>
      <c r="UPE379" s="50" t="n"/>
      <c r="UPF379" s="50" t="n"/>
      <c r="UPG379" s="50" t="n"/>
      <c r="UPH379" s="50" t="n"/>
      <c r="UPI379" s="50" t="n"/>
      <c r="UPJ379" s="50" t="n"/>
      <c r="UPK379" s="50" t="n"/>
      <c r="UPL379" s="50" t="n"/>
      <c r="UPM379" s="50" t="n"/>
      <c r="UPN379" s="50" t="n"/>
      <c r="UPO379" s="50" t="n"/>
      <c r="UPP379" s="56" t="n"/>
      <c r="UPQ379" s="50" t="n"/>
      <c r="UPR379" s="53" t="n"/>
      <c r="UPS379" s="84" t="n"/>
      <c r="UPT379" s="85" t="n"/>
      <c r="UPU379" s="31" t="n"/>
      <c r="UPV379" s="50" t="n"/>
      <c r="UPW379" s="50" t="n"/>
      <c r="UPX379" s="50" t="n"/>
      <c r="UPY379" s="50" t="n"/>
      <c r="UPZ379" s="50" t="n"/>
      <c r="UQA379" s="50" t="n"/>
      <c r="UQB379" s="50" t="n"/>
      <c r="UQC379" s="50" t="n"/>
      <c r="UQD379" s="50" t="n"/>
      <c r="UQE379" s="50" t="n"/>
      <c r="UQF379" s="50" t="n"/>
      <c r="UQG379" s="50" t="n"/>
      <c r="UQH379" s="50" t="n"/>
      <c r="UQI379" s="50" t="n"/>
      <c r="UQJ379" s="50" t="n"/>
      <c r="UQK379" s="50" t="n"/>
      <c r="UQL379" s="50" t="n"/>
      <c r="UQM379" s="50" t="n"/>
      <c r="UQN379" s="50" t="n"/>
      <c r="UQO379" s="50" t="n"/>
      <c r="UQP379" s="50" t="n"/>
      <c r="UQQ379" s="50" t="n"/>
      <c r="UQR379" s="50" t="n"/>
      <c r="UQS379" s="50" t="n"/>
      <c r="UQT379" s="56" t="n"/>
      <c r="UQU379" s="50" t="n"/>
      <c r="UQV379" s="53" t="n"/>
      <c r="UQW379" s="84" t="n"/>
      <c r="UQX379" s="85" t="n"/>
      <c r="UQY379" s="31" t="n"/>
      <c r="UQZ379" s="50" t="n"/>
      <c r="URA379" s="50" t="n"/>
      <c r="URB379" s="50" t="n"/>
      <c r="URC379" s="50" t="n"/>
      <c r="URD379" s="50" t="n"/>
      <c r="URE379" s="50" t="n"/>
      <c r="URF379" s="50" t="n"/>
      <c r="URG379" s="50" t="n"/>
      <c r="URH379" s="50" t="n"/>
      <c r="URI379" s="50" t="n"/>
      <c r="URJ379" s="50" t="n"/>
      <c r="URK379" s="50" t="n"/>
      <c r="URL379" s="50" t="n"/>
      <c r="URM379" s="50" t="n"/>
      <c r="URN379" s="50" t="n"/>
      <c r="URO379" s="50" t="n"/>
      <c r="URP379" s="50" t="n"/>
      <c r="URQ379" s="50" t="n"/>
      <c r="URR379" s="50" t="n"/>
      <c r="URS379" s="50" t="n"/>
      <c r="URT379" s="50" t="n"/>
      <c r="URU379" s="50" t="n"/>
      <c r="URV379" s="50" t="n"/>
      <c r="URW379" s="50" t="n"/>
      <c r="URX379" s="56" t="n"/>
      <c r="URY379" s="50" t="n"/>
      <c r="URZ379" s="53" t="n"/>
      <c r="USA379" s="84" t="n"/>
      <c r="USB379" s="85" t="n"/>
      <c r="USC379" s="31" t="n"/>
      <c r="USD379" s="50" t="n"/>
      <c r="USE379" s="50" t="n"/>
      <c r="USF379" s="50" t="n"/>
      <c r="USG379" s="50" t="n"/>
      <c r="USH379" s="50" t="n"/>
      <c r="USI379" s="50" t="n"/>
      <c r="USJ379" s="50" t="n"/>
      <c r="USK379" s="50" t="n"/>
      <c r="USL379" s="50" t="n"/>
      <c r="USM379" s="50" t="n"/>
      <c r="USN379" s="50" t="n"/>
      <c r="USO379" s="50" t="n"/>
      <c r="USP379" s="50" t="n"/>
      <c r="USQ379" s="50" t="n"/>
      <c r="USR379" s="50" t="n"/>
      <c r="USS379" s="50" t="n"/>
      <c r="UST379" s="50" t="n"/>
      <c r="USU379" s="50" t="n"/>
      <c r="USV379" s="50" t="n"/>
      <c r="USW379" s="50" t="n"/>
      <c r="USX379" s="50" t="n"/>
      <c r="USY379" s="50" t="n"/>
      <c r="USZ379" s="50" t="n"/>
      <c r="UTA379" s="50" t="n"/>
      <c r="UTB379" s="56" t="n"/>
      <c r="UTC379" s="50" t="n"/>
      <c r="UTD379" s="53" t="n"/>
      <c r="UTE379" s="84" t="n"/>
      <c r="UTF379" s="85" t="n"/>
      <c r="UTG379" s="31" t="n"/>
      <c r="UTH379" s="50" t="n"/>
      <c r="UTI379" s="50" t="n"/>
      <c r="UTJ379" s="50" t="n"/>
      <c r="UTK379" s="50" t="n"/>
      <c r="UTL379" s="50" t="n"/>
      <c r="UTM379" s="50" t="n"/>
      <c r="UTN379" s="50" t="n"/>
      <c r="UTO379" s="50" t="n"/>
      <c r="UTP379" s="50" t="n"/>
      <c r="UTQ379" s="50" t="n"/>
      <c r="UTR379" s="50" t="n"/>
      <c r="UTS379" s="50" t="n"/>
      <c r="UTT379" s="50" t="n"/>
      <c r="UTU379" s="50" t="n"/>
      <c r="UTV379" s="50" t="n"/>
      <c r="UTW379" s="50" t="n"/>
      <c r="UTX379" s="50" t="n"/>
      <c r="UTY379" s="50" t="n"/>
      <c r="UTZ379" s="50" t="n"/>
      <c r="UUA379" s="50" t="n"/>
      <c r="UUB379" s="50" t="n"/>
      <c r="UUC379" s="50" t="n"/>
      <c r="UUD379" s="50" t="n"/>
      <c r="UUE379" s="50" t="n"/>
      <c r="UUF379" s="56" t="n"/>
      <c r="UUG379" s="50" t="n"/>
      <c r="UUH379" s="53" t="n"/>
      <c r="UUI379" s="84" t="n"/>
      <c r="UUJ379" s="85" t="n"/>
      <c r="UUK379" s="31" t="n"/>
      <c r="UUL379" s="50" t="n"/>
      <c r="UUM379" s="50" t="n"/>
      <c r="UUN379" s="50" t="n"/>
      <c r="UUO379" s="50" t="n"/>
      <c r="UUP379" s="50" t="n"/>
      <c r="UUQ379" s="50" t="n"/>
      <c r="UUR379" s="50" t="n"/>
      <c r="UUS379" s="50" t="n"/>
      <c r="UUT379" s="50" t="n"/>
      <c r="UUU379" s="50" t="n"/>
      <c r="UUV379" s="50" t="n"/>
      <c r="UUW379" s="50" t="n"/>
      <c r="UUX379" s="50" t="n"/>
      <c r="UUY379" s="50" t="n"/>
      <c r="UUZ379" s="50" t="n"/>
      <c r="UVA379" s="50" t="n"/>
      <c r="UVB379" s="50" t="n"/>
      <c r="UVC379" s="50" t="n"/>
      <c r="UVD379" s="50" t="n"/>
      <c r="UVE379" s="50" t="n"/>
      <c r="UVF379" s="50" t="n"/>
      <c r="UVG379" s="50" t="n"/>
      <c r="UVH379" s="50" t="n"/>
      <c r="UVI379" s="50" t="n"/>
      <c r="UVJ379" s="56" t="n"/>
      <c r="UVK379" s="50" t="n"/>
      <c r="UVL379" s="53" t="n"/>
      <c r="UVM379" s="84" t="n"/>
      <c r="UVN379" s="85" t="n"/>
      <c r="UVO379" s="31" t="n"/>
      <c r="UVP379" s="50" t="n"/>
      <c r="UVQ379" s="50" t="n"/>
      <c r="UVR379" s="50" t="n"/>
      <c r="UVS379" s="50" t="n"/>
      <c r="UVT379" s="50" t="n"/>
      <c r="UVU379" s="50" t="n"/>
      <c r="UVV379" s="50" t="n"/>
      <c r="UVW379" s="50" t="n"/>
      <c r="UVX379" s="50" t="n"/>
      <c r="UVY379" s="50" t="n"/>
      <c r="UVZ379" s="50" t="n"/>
      <c r="UWA379" s="50" t="n"/>
      <c r="UWB379" s="50" t="n"/>
      <c r="UWC379" s="50" t="n"/>
      <c r="UWD379" s="50" t="n"/>
      <c r="UWE379" s="50" t="n"/>
      <c r="UWF379" s="50" t="n"/>
      <c r="UWG379" s="50" t="n"/>
      <c r="UWH379" s="50" t="n"/>
      <c r="UWI379" s="50" t="n"/>
      <c r="UWJ379" s="50" t="n"/>
      <c r="UWK379" s="50" t="n"/>
      <c r="UWL379" s="50" t="n"/>
      <c r="UWM379" s="50" t="n"/>
      <c r="UWN379" s="56" t="n"/>
      <c r="UWO379" s="50" t="n"/>
      <c r="UWP379" s="53" t="n"/>
      <c r="UWQ379" s="84" t="n"/>
      <c r="UWR379" s="85" t="n"/>
      <c r="UWS379" s="31" t="n"/>
      <c r="UWT379" s="50" t="n"/>
      <c r="UWU379" s="50" t="n"/>
      <c r="UWV379" s="50" t="n"/>
      <c r="UWW379" s="50" t="n"/>
      <c r="UWX379" s="50" t="n"/>
      <c r="UWY379" s="50" t="n"/>
      <c r="UWZ379" s="50" t="n"/>
      <c r="UXA379" s="50" t="n"/>
      <c r="UXB379" s="50" t="n"/>
      <c r="UXC379" s="50" t="n"/>
      <c r="UXD379" s="50" t="n"/>
      <c r="UXE379" s="50" t="n"/>
      <c r="UXF379" s="50" t="n"/>
      <c r="UXG379" s="50" t="n"/>
      <c r="UXH379" s="50" t="n"/>
      <c r="UXI379" s="50" t="n"/>
      <c r="UXJ379" s="50" t="n"/>
      <c r="UXK379" s="50" t="n"/>
      <c r="UXL379" s="50" t="n"/>
      <c r="UXM379" s="50" t="n"/>
      <c r="UXN379" s="50" t="n"/>
      <c r="UXO379" s="50" t="n"/>
      <c r="UXP379" s="50" t="n"/>
      <c r="UXQ379" s="50" t="n"/>
      <c r="UXR379" s="56" t="n"/>
      <c r="UXS379" s="50" t="n"/>
      <c r="UXT379" s="53" t="n"/>
      <c r="UXU379" s="84" t="n"/>
      <c r="UXV379" s="85" t="n"/>
      <c r="UXW379" s="31" t="n"/>
      <c r="UXX379" s="50" t="n"/>
      <c r="UXY379" s="50" t="n"/>
      <c r="UXZ379" s="50" t="n"/>
      <c r="UYA379" s="50" t="n"/>
      <c r="UYB379" s="50" t="n"/>
      <c r="UYC379" s="50" t="n"/>
      <c r="UYD379" s="50" t="n"/>
      <c r="UYE379" s="50" t="n"/>
      <c r="UYF379" s="50" t="n"/>
      <c r="UYG379" s="50" t="n"/>
      <c r="UYH379" s="50" t="n"/>
      <c r="UYI379" s="50" t="n"/>
      <c r="UYJ379" s="50" t="n"/>
      <c r="UYK379" s="50" t="n"/>
      <c r="UYL379" s="50" t="n"/>
      <c r="UYM379" s="50" t="n"/>
      <c r="UYN379" s="50" t="n"/>
      <c r="UYO379" s="50" t="n"/>
      <c r="UYP379" s="50" t="n"/>
      <c r="UYQ379" s="50" t="n"/>
      <c r="UYR379" s="50" t="n"/>
      <c r="UYS379" s="50" t="n"/>
      <c r="UYT379" s="50" t="n"/>
      <c r="UYU379" s="50" t="n"/>
      <c r="UYV379" s="56" t="n"/>
      <c r="UYW379" s="50" t="n"/>
      <c r="UYX379" s="53" t="n"/>
      <c r="UYY379" s="84" t="n"/>
      <c r="UYZ379" s="85" t="n"/>
      <c r="UZA379" s="31" t="n"/>
      <c r="UZB379" s="50" t="n"/>
      <c r="UZC379" s="50" t="n"/>
      <c r="UZD379" s="50" t="n"/>
      <c r="UZE379" s="50" t="n"/>
      <c r="UZF379" s="50" t="n"/>
      <c r="UZG379" s="50" t="n"/>
      <c r="UZH379" s="50" t="n"/>
      <c r="UZI379" s="50" t="n"/>
      <c r="UZJ379" s="50" t="n"/>
      <c r="UZK379" s="50" t="n"/>
      <c r="UZL379" s="50" t="n"/>
      <c r="UZM379" s="50" t="n"/>
      <c r="UZN379" s="50" t="n"/>
      <c r="UZO379" s="50" t="n"/>
      <c r="UZP379" s="50" t="n"/>
      <c r="UZQ379" s="50" t="n"/>
      <c r="UZR379" s="50" t="n"/>
      <c r="UZS379" s="50" t="n"/>
      <c r="UZT379" s="50" t="n"/>
      <c r="UZU379" s="50" t="n"/>
      <c r="UZV379" s="50" t="n"/>
      <c r="UZW379" s="50" t="n"/>
      <c r="UZX379" s="50" t="n"/>
      <c r="UZY379" s="50" t="n"/>
      <c r="UZZ379" s="56" t="n"/>
      <c r="VAA379" s="50" t="n"/>
      <c r="VAB379" s="53" t="n"/>
      <c r="VAC379" s="84" t="n"/>
      <c r="VAD379" s="85" t="n"/>
      <c r="VAE379" s="31" t="n"/>
      <c r="VAF379" s="50" t="n"/>
      <c r="VAG379" s="50" t="n"/>
      <c r="VAH379" s="50" t="n"/>
      <c r="VAI379" s="50" t="n"/>
      <c r="VAJ379" s="50" t="n"/>
      <c r="VAK379" s="50" t="n"/>
      <c r="VAL379" s="50" t="n"/>
      <c r="VAM379" s="50" t="n"/>
      <c r="VAN379" s="50" t="n"/>
      <c r="VAO379" s="50" t="n"/>
      <c r="VAP379" s="50" t="n"/>
      <c r="VAQ379" s="50" t="n"/>
      <c r="VAR379" s="50" t="n"/>
      <c r="VAS379" s="50" t="n"/>
      <c r="VAT379" s="50" t="n"/>
      <c r="VAU379" s="50" t="n"/>
      <c r="VAV379" s="50" t="n"/>
      <c r="VAW379" s="50" t="n"/>
      <c r="VAX379" s="50" t="n"/>
      <c r="VAY379" s="50" t="n"/>
      <c r="VAZ379" s="50" t="n"/>
      <c r="VBA379" s="50" t="n"/>
      <c r="VBB379" s="50" t="n"/>
      <c r="VBC379" s="50" t="n"/>
      <c r="VBD379" s="56" t="n"/>
      <c r="VBE379" s="50" t="n"/>
      <c r="VBF379" s="53" t="n"/>
      <c r="VBG379" s="84" t="n"/>
      <c r="VBH379" s="85" t="n"/>
      <c r="VBI379" s="31" t="n"/>
      <c r="VBJ379" s="50" t="n"/>
      <c r="VBK379" s="50" t="n"/>
      <c r="VBL379" s="50" t="n"/>
      <c r="VBM379" s="50" t="n"/>
      <c r="VBN379" s="50" t="n"/>
      <c r="VBO379" s="50" t="n"/>
      <c r="VBP379" s="50" t="n"/>
      <c r="VBQ379" s="50" t="n"/>
      <c r="VBR379" s="50" t="n"/>
      <c r="VBS379" s="50" t="n"/>
      <c r="VBT379" s="50" t="n"/>
      <c r="VBU379" s="50" t="n"/>
      <c r="VBV379" s="50" t="n"/>
      <c r="VBW379" s="50" t="n"/>
      <c r="VBX379" s="50" t="n"/>
      <c r="VBY379" s="50" t="n"/>
      <c r="VBZ379" s="50" t="n"/>
      <c r="VCA379" s="50" t="n"/>
      <c r="VCB379" s="50" t="n"/>
      <c r="VCC379" s="50" t="n"/>
      <c r="VCD379" s="50" t="n"/>
      <c r="VCE379" s="50" t="n"/>
      <c r="VCF379" s="50" t="n"/>
      <c r="VCG379" s="50" t="n"/>
      <c r="VCH379" s="56" t="n"/>
      <c r="VCI379" s="50" t="n"/>
      <c r="VCJ379" s="53" t="n"/>
      <c r="VCK379" s="84" t="n"/>
      <c r="VCL379" s="85" t="n"/>
      <c r="VCM379" s="31" t="n"/>
      <c r="VCN379" s="50" t="n"/>
      <c r="VCO379" s="50" t="n"/>
      <c r="VCP379" s="50" t="n"/>
      <c r="VCQ379" s="50" t="n"/>
      <c r="VCR379" s="50" t="n"/>
      <c r="VCS379" s="50" t="n"/>
      <c r="VCT379" s="50" t="n"/>
      <c r="VCU379" s="50" t="n"/>
      <c r="VCV379" s="50" t="n"/>
      <c r="VCW379" s="50" t="n"/>
      <c r="VCX379" s="50" t="n"/>
      <c r="VCY379" s="50" t="n"/>
      <c r="VCZ379" s="50" t="n"/>
      <c r="VDA379" s="50" t="n"/>
      <c r="VDB379" s="50" t="n"/>
      <c r="VDC379" s="50" t="n"/>
      <c r="VDD379" s="50" t="n"/>
      <c r="VDE379" s="50" t="n"/>
      <c r="VDF379" s="50" t="n"/>
      <c r="VDG379" s="50" t="n"/>
      <c r="VDH379" s="50" t="n"/>
      <c r="VDI379" s="50" t="n"/>
      <c r="VDJ379" s="50" t="n"/>
      <c r="VDK379" s="50" t="n"/>
      <c r="VDL379" s="56" t="n"/>
      <c r="VDM379" s="50" t="n"/>
      <c r="VDN379" s="53" t="n"/>
      <c r="VDO379" s="84" t="n"/>
      <c r="VDP379" s="85" t="n"/>
      <c r="VDQ379" s="31" t="n"/>
      <c r="VDR379" s="50" t="n"/>
      <c r="VDS379" s="50" t="n"/>
      <c r="VDT379" s="50" t="n"/>
      <c r="VDU379" s="50" t="n"/>
      <c r="VDV379" s="50" t="n"/>
      <c r="VDW379" s="50" t="n"/>
      <c r="VDX379" s="50" t="n"/>
      <c r="VDY379" s="50" t="n"/>
      <c r="VDZ379" s="50" t="n"/>
      <c r="VEA379" s="50" t="n"/>
      <c r="VEB379" s="50" t="n"/>
      <c r="VEC379" s="50" t="n"/>
      <c r="VED379" s="50" t="n"/>
      <c r="VEE379" s="50" t="n"/>
      <c r="VEF379" s="50" t="n"/>
      <c r="VEG379" s="50" t="n"/>
      <c r="VEH379" s="50" t="n"/>
      <c r="VEI379" s="50" t="n"/>
      <c r="VEJ379" s="50" t="n"/>
      <c r="VEK379" s="50" t="n"/>
      <c r="VEL379" s="50" t="n"/>
      <c r="VEM379" s="50" t="n"/>
      <c r="VEN379" s="50" t="n"/>
      <c r="VEO379" s="50" t="n"/>
      <c r="VEP379" s="56" t="n"/>
      <c r="VEQ379" s="50" t="n"/>
      <c r="VER379" s="53" t="n"/>
      <c r="VES379" s="84" t="n"/>
      <c r="VET379" s="85" t="n"/>
      <c r="VEU379" s="31" t="n"/>
      <c r="VEV379" s="50" t="n"/>
      <c r="VEW379" s="50" t="n"/>
      <c r="VEX379" s="50" t="n"/>
      <c r="VEY379" s="50" t="n"/>
      <c r="VEZ379" s="50" t="n"/>
      <c r="VFA379" s="50" t="n"/>
      <c r="VFB379" s="50" t="n"/>
      <c r="VFC379" s="50" t="n"/>
      <c r="VFD379" s="50" t="n"/>
      <c r="VFE379" s="50" t="n"/>
      <c r="VFF379" s="50" t="n"/>
      <c r="VFG379" s="50" t="n"/>
      <c r="VFH379" s="50" t="n"/>
      <c r="VFI379" s="50" t="n"/>
      <c r="VFJ379" s="50" t="n"/>
      <c r="VFK379" s="50" t="n"/>
      <c r="VFL379" s="50" t="n"/>
      <c r="VFM379" s="50" t="n"/>
      <c r="VFN379" s="50" t="n"/>
      <c r="VFO379" s="50" t="n"/>
      <c r="VFP379" s="50" t="n"/>
      <c r="VFQ379" s="50" t="n"/>
      <c r="VFR379" s="50" t="n"/>
      <c r="VFS379" s="50" t="n"/>
      <c r="VFT379" s="56" t="n"/>
      <c r="VFU379" s="50" t="n"/>
      <c r="VFV379" s="53" t="n"/>
      <c r="VFW379" s="84" t="n"/>
      <c r="VFX379" s="85" t="n"/>
      <c r="VFY379" s="31" t="n"/>
      <c r="VFZ379" s="50" t="n"/>
      <c r="VGA379" s="50" t="n"/>
      <c r="VGB379" s="50" t="n"/>
      <c r="VGC379" s="50" t="n"/>
      <c r="VGD379" s="50" t="n"/>
      <c r="VGE379" s="50" t="n"/>
      <c r="VGF379" s="50" t="n"/>
      <c r="VGG379" s="50" t="n"/>
      <c r="VGH379" s="50" t="n"/>
      <c r="VGI379" s="50" t="n"/>
      <c r="VGJ379" s="50" t="n"/>
      <c r="VGK379" s="50" t="n"/>
      <c r="VGL379" s="50" t="n"/>
      <c r="VGM379" s="50" t="n"/>
      <c r="VGN379" s="50" t="n"/>
      <c r="VGO379" s="50" t="n"/>
      <c r="VGP379" s="50" t="n"/>
      <c r="VGQ379" s="50" t="n"/>
      <c r="VGR379" s="50" t="n"/>
      <c r="VGS379" s="50" t="n"/>
      <c r="VGT379" s="50" t="n"/>
      <c r="VGU379" s="50" t="n"/>
      <c r="VGV379" s="50" t="n"/>
      <c r="VGW379" s="50" t="n"/>
      <c r="VGX379" s="56" t="n"/>
      <c r="VGY379" s="50" t="n"/>
      <c r="VGZ379" s="53" t="n"/>
      <c r="VHA379" s="84" t="n"/>
      <c r="VHB379" s="85" t="n"/>
      <c r="VHC379" s="31" t="n"/>
      <c r="VHD379" s="50" t="n"/>
      <c r="VHE379" s="50" t="n"/>
      <c r="VHF379" s="50" t="n"/>
      <c r="VHG379" s="50" t="n"/>
      <c r="VHH379" s="50" t="n"/>
      <c r="VHI379" s="50" t="n"/>
      <c r="VHJ379" s="50" t="n"/>
      <c r="VHK379" s="50" t="n"/>
      <c r="VHL379" s="50" t="n"/>
      <c r="VHM379" s="50" t="n"/>
      <c r="VHN379" s="50" t="n"/>
      <c r="VHO379" s="50" t="n"/>
      <c r="VHP379" s="50" t="n"/>
      <c r="VHQ379" s="50" t="n"/>
      <c r="VHR379" s="50" t="n"/>
      <c r="VHS379" s="50" t="n"/>
      <c r="VHT379" s="50" t="n"/>
      <c r="VHU379" s="50" t="n"/>
      <c r="VHV379" s="50" t="n"/>
      <c r="VHW379" s="50" t="n"/>
      <c r="VHX379" s="50" t="n"/>
      <c r="VHY379" s="50" t="n"/>
      <c r="VHZ379" s="50" t="n"/>
      <c r="VIA379" s="50" t="n"/>
      <c r="VIB379" s="56" t="n"/>
      <c r="VIC379" s="50" t="n"/>
      <c r="VID379" s="53" t="n"/>
      <c r="VIE379" s="84" t="n"/>
      <c r="VIF379" s="85" t="n"/>
      <c r="VIG379" s="31" t="n"/>
      <c r="VIH379" s="50" t="n"/>
      <c r="VII379" s="50" t="n"/>
      <c r="VIJ379" s="50" t="n"/>
      <c r="VIK379" s="50" t="n"/>
      <c r="VIL379" s="50" t="n"/>
      <c r="VIM379" s="50" t="n"/>
      <c r="VIN379" s="50" t="n"/>
      <c r="VIO379" s="50" t="n"/>
      <c r="VIP379" s="50" t="n"/>
      <c r="VIQ379" s="50" t="n"/>
      <c r="VIR379" s="50" t="n"/>
      <c r="VIS379" s="50" t="n"/>
      <c r="VIT379" s="50" t="n"/>
      <c r="VIU379" s="50" t="n"/>
      <c r="VIV379" s="50" t="n"/>
      <c r="VIW379" s="50" t="n"/>
      <c r="VIX379" s="50" t="n"/>
      <c r="VIY379" s="50" t="n"/>
      <c r="VIZ379" s="50" t="n"/>
      <c r="VJA379" s="50" t="n"/>
      <c r="VJB379" s="50" t="n"/>
      <c r="VJC379" s="50" t="n"/>
      <c r="VJD379" s="50" t="n"/>
      <c r="VJE379" s="50" t="n"/>
      <c r="VJF379" s="56" t="n"/>
      <c r="VJG379" s="50" t="n"/>
      <c r="VJH379" s="53" t="n"/>
      <c r="VJI379" s="84" t="n"/>
      <c r="VJJ379" s="85" t="n"/>
      <c r="VJK379" s="31" t="n"/>
      <c r="VJL379" s="50" t="n"/>
      <c r="VJM379" s="50" t="n"/>
      <c r="VJN379" s="50" t="n"/>
      <c r="VJO379" s="50" t="n"/>
      <c r="VJP379" s="50" t="n"/>
      <c r="VJQ379" s="50" t="n"/>
      <c r="VJR379" s="50" t="n"/>
      <c r="VJS379" s="50" t="n"/>
      <c r="VJT379" s="50" t="n"/>
      <c r="VJU379" s="50" t="n"/>
      <c r="VJV379" s="50" t="n"/>
      <c r="VJW379" s="50" t="n"/>
      <c r="VJX379" s="50" t="n"/>
      <c r="VJY379" s="50" t="n"/>
      <c r="VJZ379" s="50" t="n"/>
      <c r="VKA379" s="50" t="n"/>
      <c r="VKB379" s="50" t="n"/>
      <c r="VKC379" s="50" t="n"/>
      <c r="VKD379" s="50" t="n"/>
      <c r="VKE379" s="50" t="n"/>
      <c r="VKF379" s="50" t="n"/>
      <c r="VKG379" s="50" t="n"/>
      <c r="VKH379" s="50" t="n"/>
      <c r="VKI379" s="50" t="n"/>
      <c r="VKJ379" s="56" t="n"/>
      <c r="VKK379" s="50" t="n"/>
      <c r="VKL379" s="53" t="n"/>
      <c r="VKM379" s="84" t="n"/>
      <c r="VKN379" s="85" t="n"/>
      <c r="VKO379" s="31" t="n"/>
      <c r="VKP379" s="50" t="n"/>
      <c r="VKQ379" s="50" t="n"/>
      <c r="VKR379" s="50" t="n"/>
      <c r="VKS379" s="50" t="n"/>
      <c r="VKT379" s="50" t="n"/>
      <c r="VKU379" s="50" t="n"/>
      <c r="VKV379" s="50" t="n"/>
      <c r="VKW379" s="50" t="n"/>
      <c r="VKX379" s="50" t="n"/>
      <c r="VKY379" s="50" t="n"/>
      <c r="VKZ379" s="50" t="n"/>
      <c r="VLA379" s="50" t="n"/>
      <c r="VLB379" s="50" t="n"/>
      <c r="VLC379" s="50" t="n"/>
      <c r="VLD379" s="50" t="n"/>
      <c r="VLE379" s="50" t="n"/>
      <c r="VLF379" s="50" t="n"/>
      <c r="VLG379" s="50" t="n"/>
      <c r="VLH379" s="50" t="n"/>
      <c r="VLI379" s="50" t="n"/>
      <c r="VLJ379" s="50" t="n"/>
      <c r="VLK379" s="50" t="n"/>
      <c r="VLL379" s="50" t="n"/>
      <c r="VLM379" s="50" t="n"/>
      <c r="VLN379" s="56" t="n"/>
      <c r="VLO379" s="50" t="n"/>
      <c r="VLP379" s="53" t="n"/>
      <c r="VLQ379" s="84" t="n"/>
      <c r="VLR379" s="85" t="n"/>
      <c r="VLS379" s="31" t="n"/>
      <c r="VLT379" s="50" t="n"/>
      <c r="VLU379" s="50" t="n"/>
      <c r="VLV379" s="50" t="n"/>
      <c r="VLW379" s="50" t="n"/>
      <c r="VLX379" s="50" t="n"/>
      <c r="VLY379" s="50" t="n"/>
      <c r="VLZ379" s="50" t="n"/>
      <c r="VMA379" s="50" t="n"/>
      <c r="VMB379" s="50" t="n"/>
      <c r="VMC379" s="50" t="n"/>
      <c r="VMD379" s="50" t="n"/>
      <c r="VME379" s="50" t="n"/>
      <c r="VMF379" s="50" t="n"/>
      <c r="VMG379" s="50" t="n"/>
      <c r="VMH379" s="50" t="n"/>
      <c r="VMI379" s="50" t="n"/>
      <c r="VMJ379" s="50" t="n"/>
      <c r="VMK379" s="50" t="n"/>
      <c r="VML379" s="50" t="n"/>
      <c r="VMM379" s="50" t="n"/>
      <c r="VMN379" s="50" t="n"/>
      <c r="VMO379" s="50" t="n"/>
      <c r="VMP379" s="50" t="n"/>
      <c r="VMQ379" s="50" t="n"/>
      <c r="VMR379" s="56" t="n"/>
      <c r="VMS379" s="50" t="n"/>
      <c r="VMT379" s="53" t="n"/>
      <c r="VMU379" s="84" t="n"/>
      <c r="VMV379" s="85" t="n"/>
      <c r="VMW379" s="31" t="n"/>
      <c r="VMX379" s="50" t="n"/>
      <c r="VMY379" s="50" t="n"/>
      <c r="VMZ379" s="50" t="n"/>
      <c r="VNA379" s="50" t="n"/>
      <c r="VNB379" s="50" t="n"/>
      <c r="VNC379" s="50" t="n"/>
      <c r="VND379" s="50" t="n"/>
      <c r="VNE379" s="50" t="n"/>
      <c r="VNF379" s="50" t="n"/>
      <c r="VNG379" s="50" t="n"/>
      <c r="VNH379" s="50" t="n"/>
      <c r="VNI379" s="50" t="n"/>
      <c r="VNJ379" s="50" t="n"/>
      <c r="VNK379" s="50" t="n"/>
      <c r="VNL379" s="50" t="n"/>
      <c r="VNM379" s="50" t="n"/>
      <c r="VNN379" s="50" t="n"/>
      <c r="VNO379" s="50" t="n"/>
      <c r="VNP379" s="50" t="n"/>
      <c r="VNQ379" s="50" t="n"/>
      <c r="VNR379" s="50" t="n"/>
      <c r="VNS379" s="50" t="n"/>
      <c r="VNT379" s="50" t="n"/>
      <c r="VNU379" s="50" t="n"/>
      <c r="VNV379" s="56" t="n"/>
      <c r="VNW379" s="50" t="n"/>
      <c r="VNX379" s="53" t="n"/>
      <c r="VNY379" s="84" t="n"/>
      <c r="VNZ379" s="85" t="n"/>
      <c r="VOA379" s="31" t="n"/>
      <c r="VOB379" s="50" t="n"/>
      <c r="VOC379" s="50" t="n"/>
      <c r="VOD379" s="50" t="n"/>
      <c r="VOE379" s="50" t="n"/>
      <c r="VOF379" s="50" t="n"/>
      <c r="VOG379" s="50" t="n"/>
      <c r="VOH379" s="50" t="n"/>
      <c r="VOI379" s="50" t="n"/>
      <c r="VOJ379" s="50" t="n"/>
      <c r="VOK379" s="50" t="n"/>
      <c r="VOL379" s="50" t="n"/>
      <c r="VOM379" s="50" t="n"/>
      <c r="VON379" s="50" t="n"/>
      <c r="VOO379" s="50" t="n"/>
      <c r="VOP379" s="50" t="n"/>
      <c r="VOQ379" s="50" t="n"/>
      <c r="VOR379" s="50" t="n"/>
      <c r="VOS379" s="50" t="n"/>
      <c r="VOT379" s="50" t="n"/>
      <c r="VOU379" s="50" t="n"/>
      <c r="VOV379" s="50" t="n"/>
      <c r="VOW379" s="50" t="n"/>
      <c r="VOX379" s="50" t="n"/>
      <c r="VOY379" s="50" t="n"/>
      <c r="VOZ379" s="56" t="n"/>
      <c r="VPA379" s="50" t="n"/>
      <c r="VPB379" s="53" t="n"/>
      <c r="VPC379" s="84" t="n"/>
      <c r="VPD379" s="85" t="n"/>
      <c r="VPE379" s="31" t="n"/>
      <c r="VPF379" s="50" t="n"/>
      <c r="VPG379" s="50" t="n"/>
      <c r="VPH379" s="50" t="n"/>
      <c r="VPI379" s="50" t="n"/>
      <c r="VPJ379" s="50" t="n"/>
      <c r="VPK379" s="50" t="n"/>
      <c r="VPL379" s="50" t="n"/>
      <c r="VPM379" s="50" t="n"/>
      <c r="VPN379" s="50" t="n"/>
      <c r="VPO379" s="50" t="n"/>
      <c r="VPP379" s="50" t="n"/>
      <c r="VPQ379" s="50" t="n"/>
      <c r="VPR379" s="50" t="n"/>
      <c r="VPS379" s="50" t="n"/>
      <c r="VPT379" s="50" t="n"/>
      <c r="VPU379" s="50" t="n"/>
      <c r="VPV379" s="50" t="n"/>
      <c r="VPW379" s="50" t="n"/>
      <c r="VPX379" s="50" t="n"/>
      <c r="VPY379" s="50" t="n"/>
      <c r="VPZ379" s="50" t="n"/>
      <c r="VQA379" s="50" t="n"/>
      <c r="VQB379" s="50" t="n"/>
      <c r="VQC379" s="50" t="n"/>
      <c r="VQD379" s="56" t="n"/>
      <c r="VQE379" s="50" t="n"/>
      <c r="VQF379" s="53" t="n"/>
      <c r="VQG379" s="84" t="n"/>
      <c r="VQH379" s="85" t="n"/>
      <c r="VQI379" s="31" t="n"/>
      <c r="VQJ379" s="50" t="n"/>
      <c r="VQK379" s="50" t="n"/>
      <c r="VQL379" s="50" t="n"/>
      <c r="VQM379" s="50" t="n"/>
      <c r="VQN379" s="50" t="n"/>
      <c r="VQO379" s="50" t="n"/>
      <c r="VQP379" s="50" t="n"/>
      <c r="VQQ379" s="50" t="n"/>
      <c r="VQR379" s="50" t="n"/>
      <c r="VQS379" s="50" t="n"/>
      <c r="VQT379" s="50" t="n"/>
      <c r="VQU379" s="50" t="n"/>
      <c r="VQV379" s="50" t="n"/>
      <c r="VQW379" s="50" t="n"/>
      <c r="VQX379" s="50" t="n"/>
      <c r="VQY379" s="50" t="n"/>
      <c r="VQZ379" s="50" t="n"/>
      <c r="VRA379" s="50" t="n"/>
      <c r="VRB379" s="50" t="n"/>
      <c r="VRC379" s="50" t="n"/>
      <c r="VRD379" s="50" t="n"/>
      <c r="VRE379" s="50" t="n"/>
      <c r="VRF379" s="50" t="n"/>
      <c r="VRG379" s="50" t="n"/>
      <c r="VRH379" s="56" t="n"/>
      <c r="VRI379" s="50" t="n"/>
      <c r="VRJ379" s="53" t="n"/>
      <c r="VRK379" s="84" t="n"/>
      <c r="VRL379" s="85" t="n"/>
      <c r="VRM379" s="31" t="n"/>
      <c r="VRN379" s="50" t="n"/>
      <c r="VRO379" s="50" t="n"/>
      <c r="VRP379" s="50" t="n"/>
      <c r="VRQ379" s="50" t="n"/>
      <c r="VRR379" s="50" t="n"/>
      <c r="VRS379" s="50" t="n"/>
      <c r="VRT379" s="50" t="n"/>
      <c r="VRU379" s="50" t="n"/>
      <c r="VRV379" s="50" t="n"/>
      <c r="VRW379" s="50" t="n"/>
      <c r="VRX379" s="50" t="n"/>
      <c r="VRY379" s="50" t="n"/>
      <c r="VRZ379" s="50" t="n"/>
      <c r="VSA379" s="50" t="n"/>
      <c r="VSB379" s="50" t="n"/>
      <c r="VSC379" s="50" t="n"/>
      <c r="VSD379" s="50" t="n"/>
      <c r="VSE379" s="50" t="n"/>
      <c r="VSF379" s="50" t="n"/>
      <c r="VSG379" s="50" t="n"/>
      <c r="VSH379" s="50" t="n"/>
      <c r="VSI379" s="50" t="n"/>
      <c r="VSJ379" s="50" t="n"/>
      <c r="VSK379" s="50" t="n"/>
      <c r="VSL379" s="56" t="n"/>
      <c r="VSM379" s="50" t="n"/>
      <c r="VSN379" s="53" t="n"/>
      <c r="VSO379" s="84" t="n"/>
      <c r="VSP379" s="85" t="n"/>
      <c r="VSQ379" s="31" t="n"/>
      <c r="VSR379" s="50" t="n"/>
      <c r="VSS379" s="50" t="n"/>
      <c r="VST379" s="50" t="n"/>
      <c r="VSU379" s="50" t="n"/>
      <c r="VSV379" s="50" t="n"/>
      <c r="VSW379" s="50" t="n"/>
      <c r="VSX379" s="50" t="n"/>
      <c r="VSY379" s="50" t="n"/>
      <c r="VSZ379" s="50" t="n"/>
      <c r="VTA379" s="50" t="n"/>
      <c r="VTB379" s="50" t="n"/>
      <c r="VTC379" s="50" t="n"/>
      <c r="VTD379" s="50" t="n"/>
      <c r="VTE379" s="50" t="n"/>
      <c r="VTF379" s="50" t="n"/>
      <c r="VTG379" s="50" t="n"/>
      <c r="VTH379" s="50" t="n"/>
      <c r="VTI379" s="50" t="n"/>
      <c r="VTJ379" s="50" t="n"/>
      <c r="VTK379" s="50" t="n"/>
      <c r="VTL379" s="50" t="n"/>
      <c r="VTM379" s="50" t="n"/>
      <c r="VTN379" s="50" t="n"/>
      <c r="VTO379" s="50" t="n"/>
      <c r="VTP379" s="56" t="n"/>
      <c r="VTQ379" s="50" t="n"/>
      <c r="VTR379" s="53" t="n"/>
      <c r="VTS379" s="84" t="n"/>
      <c r="VTT379" s="85" t="n"/>
      <c r="VTU379" s="31" t="n"/>
      <c r="VTV379" s="50" t="n"/>
      <c r="VTW379" s="50" t="n"/>
      <c r="VTX379" s="50" t="n"/>
      <c r="VTY379" s="50" t="n"/>
      <c r="VTZ379" s="50" t="n"/>
      <c r="VUA379" s="50" t="n"/>
      <c r="VUB379" s="50" t="n"/>
      <c r="VUC379" s="50" t="n"/>
      <c r="VUD379" s="50" t="n"/>
      <c r="VUE379" s="50" t="n"/>
      <c r="VUF379" s="50" t="n"/>
      <c r="VUG379" s="50" t="n"/>
      <c r="VUH379" s="50" t="n"/>
      <c r="VUI379" s="50" t="n"/>
      <c r="VUJ379" s="50" t="n"/>
      <c r="VUK379" s="50" t="n"/>
      <c r="VUL379" s="50" t="n"/>
      <c r="VUM379" s="50" t="n"/>
      <c r="VUN379" s="50" t="n"/>
      <c r="VUO379" s="50" t="n"/>
      <c r="VUP379" s="50" t="n"/>
      <c r="VUQ379" s="50" t="n"/>
      <c r="VUR379" s="50" t="n"/>
      <c r="VUS379" s="50" t="n"/>
      <c r="VUT379" s="56" t="n"/>
      <c r="VUU379" s="50" t="n"/>
      <c r="VUV379" s="53" t="n"/>
      <c r="VUW379" s="84" t="n"/>
      <c r="VUX379" s="85" t="n"/>
      <c r="VUY379" s="31" t="n"/>
      <c r="VUZ379" s="50" t="n"/>
      <c r="VVA379" s="50" t="n"/>
      <c r="VVB379" s="50" t="n"/>
      <c r="VVC379" s="50" t="n"/>
      <c r="VVD379" s="50" t="n"/>
      <c r="VVE379" s="50" t="n"/>
      <c r="VVF379" s="50" t="n"/>
      <c r="VVG379" s="50" t="n"/>
      <c r="VVH379" s="50" t="n"/>
      <c r="VVI379" s="50" t="n"/>
      <c r="VVJ379" s="50" t="n"/>
      <c r="VVK379" s="50" t="n"/>
      <c r="VVL379" s="50" t="n"/>
      <c r="VVM379" s="50" t="n"/>
      <c r="VVN379" s="50" t="n"/>
      <c r="VVO379" s="50" t="n"/>
      <c r="VVP379" s="50" t="n"/>
      <c r="VVQ379" s="50" t="n"/>
      <c r="VVR379" s="50" t="n"/>
      <c r="VVS379" s="50" t="n"/>
      <c r="VVT379" s="50" t="n"/>
      <c r="VVU379" s="50" t="n"/>
      <c r="VVV379" s="50" t="n"/>
      <c r="VVW379" s="50" t="n"/>
      <c r="VVX379" s="56" t="n"/>
      <c r="VVY379" s="50" t="n"/>
      <c r="VVZ379" s="53" t="n"/>
      <c r="VWA379" s="84" t="n"/>
      <c r="VWB379" s="85" t="n"/>
      <c r="VWC379" s="31" t="n"/>
      <c r="VWD379" s="50" t="n"/>
      <c r="VWE379" s="50" t="n"/>
      <c r="VWF379" s="50" t="n"/>
      <c r="VWG379" s="50" t="n"/>
      <c r="VWH379" s="50" t="n"/>
      <c r="VWI379" s="50" t="n"/>
      <c r="VWJ379" s="50" t="n"/>
      <c r="VWK379" s="50" t="n"/>
      <c r="VWL379" s="50" t="n"/>
      <c r="VWM379" s="50" t="n"/>
      <c r="VWN379" s="50" t="n"/>
      <c r="VWO379" s="50" t="n"/>
      <c r="VWP379" s="50" t="n"/>
      <c r="VWQ379" s="50" t="n"/>
      <c r="VWR379" s="50" t="n"/>
      <c r="VWS379" s="50" t="n"/>
      <c r="VWT379" s="50" t="n"/>
      <c r="VWU379" s="50" t="n"/>
      <c r="VWV379" s="50" t="n"/>
      <c r="VWW379" s="50" t="n"/>
      <c r="VWX379" s="50" t="n"/>
      <c r="VWY379" s="50" t="n"/>
      <c r="VWZ379" s="50" t="n"/>
      <c r="VXA379" s="50" t="n"/>
      <c r="VXB379" s="56" t="n"/>
      <c r="VXC379" s="50" t="n"/>
      <c r="VXD379" s="53" t="n"/>
      <c r="VXE379" s="84" t="n"/>
      <c r="VXF379" s="85" t="n"/>
      <c r="VXG379" s="31" t="n"/>
      <c r="VXH379" s="50" t="n"/>
      <c r="VXI379" s="50" t="n"/>
      <c r="VXJ379" s="50" t="n"/>
      <c r="VXK379" s="50" t="n"/>
      <c r="VXL379" s="50" t="n"/>
      <c r="VXM379" s="50" t="n"/>
      <c r="VXN379" s="50" t="n"/>
      <c r="VXO379" s="50" t="n"/>
      <c r="VXP379" s="50" t="n"/>
      <c r="VXQ379" s="50" t="n"/>
      <c r="VXR379" s="50" t="n"/>
      <c r="VXS379" s="50" t="n"/>
      <c r="VXT379" s="50" t="n"/>
      <c r="VXU379" s="50" t="n"/>
      <c r="VXV379" s="50" t="n"/>
      <c r="VXW379" s="50" t="n"/>
      <c r="VXX379" s="50" t="n"/>
      <c r="VXY379" s="50" t="n"/>
      <c r="VXZ379" s="50" t="n"/>
      <c r="VYA379" s="50" t="n"/>
      <c r="VYB379" s="50" t="n"/>
      <c r="VYC379" s="50" t="n"/>
      <c r="VYD379" s="50" t="n"/>
      <c r="VYE379" s="50" t="n"/>
      <c r="VYF379" s="56" t="n"/>
      <c r="VYG379" s="50" t="n"/>
      <c r="VYH379" s="53" t="n"/>
      <c r="VYI379" s="84" t="n"/>
      <c r="VYJ379" s="85" t="n"/>
      <c r="VYK379" s="31" t="n"/>
      <c r="VYL379" s="50" t="n"/>
      <c r="VYM379" s="50" t="n"/>
      <c r="VYN379" s="50" t="n"/>
      <c r="VYO379" s="50" t="n"/>
      <c r="VYP379" s="50" t="n"/>
      <c r="VYQ379" s="50" t="n"/>
      <c r="VYR379" s="50" t="n"/>
      <c r="VYS379" s="50" t="n"/>
      <c r="VYT379" s="50" t="n"/>
      <c r="VYU379" s="50" t="n"/>
      <c r="VYV379" s="50" t="n"/>
      <c r="VYW379" s="50" t="n"/>
      <c r="VYX379" s="50" t="n"/>
      <c r="VYY379" s="50" t="n"/>
      <c r="VYZ379" s="50" t="n"/>
      <c r="VZA379" s="50" t="n"/>
      <c r="VZB379" s="50" t="n"/>
      <c r="VZC379" s="50" t="n"/>
      <c r="VZD379" s="50" t="n"/>
      <c r="VZE379" s="50" t="n"/>
      <c r="VZF379" s="50" t="n"/>
      <c r="VZG379" s="50" t="n"/>
      <c r="VZH379" s="50" t="n"/>
      <c r="VZI379" s="50" t="n"/>
      <c r="VZJ379" s="56" t="n"/>
      <c r="VZK379" s="50" t="n"/>
      <c r="VZL379" s="53" t="n"/>
      <c r="VZM379" s="84" t="n"/>
      <c r="VZN379" s="85" t="n"/>
      <c r="VZO379" s="31" t="n"/>
      <c r="VZP379" s="50" t="n"/>
      <c r="VZQ379" s="50" t="n"/>
      <c r="VZR379" s="50" t="n"/>
      <c r="VZS379" s="50" t="n"/>
      <c r="VZT379" s="50" t="n"/>
      <c r="VZU379" s="50" t="n"/>
      <c r="VZV379" s="50" t="n"/>
      <c r="VZW379" s="50" t="n"/>
      <c r="VZX379" s="50" t="n"/>
      <c r="VZY379" s="50" t="n"/>
      <c r="VZZ379" s="50" t="n"/>
      <c r="WAA379" s="50" t="n"/>
      <c r="WAB379" s="50" t="n"/>
      <c r="WAC379" s="50" t="n"/>
      <c r="WAD379" s="50" t="n"/>
      <c r="WAE379" s="50" t="n"/>
      <c r="WAF379" s="50" t="n"/>
      <c r="WAG379" s="50" t="n"/>
      <c r="WAH379" s="50" t="n"/>
      <c r="WAI379" s="50" t="n"/>
      <c r="WAJ379" s="50" t="n"/>
      <c r="WAK379" s="50" t="n"/>
      <c r="WAL379" s="50" t="n"/>
      <c r="WAM379" s="50" t="n"/>
      <c r="WAN379" s="56" t="n"/>
      <c r="WAO379" s="50" t="n"/>
      <c r="WAP379" s="53" t="n"/>
      <c r="WAQ379" s="84" t="n"/>
      <c r="WAR379" s="85" t="n"/>
      <c r="WAS379" s="31" t="n"/>
      <c r="WAT379" s="50" t="n"/>
      <c r="WAU379" s="50" t="n"/>
      <c r="WAV379" s="50" t="n"/>
      <c r="WAW379" s="50" t="n"/>
      <c r="WAX379" s="50" t="n"/>
      <c r="WAY379" s="50" t="n"/>
      <c r="WAZ379" s="50" t="n"/>
      <c r="WBA379" s="50" t="n"/>
      <c r="WBB379" s="50" t="n"/>
      <c r="WBC379" s="50" t="n"/>
      <c r="WBD379" s="50" t="n"/>
      <c r="WBE379" s="50" t="n"/>
      <c r="WBF379" s="50" t="n"/>
      <c r="WBG379" s="50" t="n"/>
      <c r="WBH379" s="50" t="n"/>
      <c r="WBI379" s="50" t="n"/>
      <c r="WBJ379" s="50" t="n"/>
      <c r="WBK379" s="50" t="n"/>
      <c r="WBL379" s="50" t="n"/>
      <c r="WBM379" s="50" t="n"/>
      <c r="WBN379" s="50" t="n"/>
      <c r="WBO379" s="50" t="n"/>
      <c r="WBP379" s="50" t="n"/>
      <c r="WBQ379" s="50" t="n"/>
      <c r="WBR379" s="56" t="n"/>
      <c r="WBS379" s="50" t="n"/>
      <c r="WBT379" s="53" t="n"/>
      <c r="WBU379" s="84" t="n"/>
      <c r="WBV379" s="85" t="n"/>
      <c r="WBW379" s="31" t="n"/>
      <c r="WBX379" s="50" t="n"/>
      <c r="WBY379" s="50" t="n"/>
      <c r="WBZ379" s="50" t="n"/>
      <c r="WCA379" s="50" t="n"/>
      <c r="WCB379" s="50" t="n"/>
      <c r="WCC379" s="50" t="n"/>
      <c r="WCD379" s="50" t="n"/>
      <c r="WCE379" s="50" t="n"/>
      <c r="WCF379" s="50" t="n"/>
      <c r="WCG379" s="50" t="n"/>
      <c r="WCH379" s="50" t="n"/>
      <c r="WCI379" s="50" t="n"/>
      <c r="WCJ379" s="50" t="n"/>
      <c r="WCK379" s="50" t="n"/>
      <c r="WCL379" s="50" t="n"/>
      <c r="WCM379" s="50" t="n"/>
      <c r="WCN379" s="50" t="n"/>
      <c r="WCO379" s="50" t="n"/>
      <c r="WCP379" s="50" t="n"/>
      <c r="WCQ379" s="50" t="n"/>
      <c r="WCR379" s="50" t="n"/>
      <c r="WCS379" s="50" t="n"/>
      <c r="WCT379" s="50" t="n"/>
      <c r="WCU379" s="50" t="n"/>
      <c r="WCV379" s="56" t="n"/>
      <c r="WCW379" s="50" t="n"/>
      <c r="WCX379" s="53" t="n"/>
      <c r="WCY379" s="84" t="n"/>
      <c r="WCZ379" s="85" t="n"/>
      <c r="WDA379" s="31" t="n"/>
      <c r="WDB379" s="50" t="n"/>
      <c r="WDC379" s="50" t="n"/>
      <c r="WDD379" s="50" t="n"/>
      <c r="WDE379" s="50" t="n"/>
      <c r="WDF379" s="50" t="n"/>
      <c r="WDG379" s="50" t="n"/>
      <c r="WDH379" s="50" t="n"/>
      <c r="WDI379" s="50" t="n"/>
      <c r="WDJ379" s="50" t="n"/>
      <c r="WDK379" s="50" t="n"/>
      <c r="WDL379" s="50" t="n"/>
      <c r="WDM379" s="50" t="n"/>
      <c r="WDN379" s="50" t="n"/>
      <c r="WDO379" s="50" t="n"/>
      <c r="WDP379" s="50" t="n"/>
      <c r="WDQ379" s="50" t="n"/>
      <c r="WDR379" s="50" t="n"/>
      <c r="WDS379" s="50" t="n"/>
      <c r="WDT379" s="50" t="n"/>
      <c r="WDU379" s="50" t="n"/>
      <c r="WDV379" s="50" t="n"/>
      <c r="WDW379" s="50" t="n"/>
      <c r="WDX379" s="50" t="n"/>
      <c r="WDY379" s="50" t="n"/>
      <c r="WDZ379" s="56" t="n"/>
      <c r="WEA379" s="50" t="n"/>
      <c r="WEB379" s="53" t="n"/>
      <c r="WEC379" s="84" t="n"/>
      <c r="WED379" s="85" t="n"/>
      <c r="WEE379" s="31" t="n"/>
      <c r="WEF379" s="50" t="n"/>
      <c r="WEG379" s="50" t="n"/>
      <c r="WEH379" s="50" t="n"/>
      <c r="WEI379" s="50" t="n"/>
      <c r="WEJ379" s="50" t="n"/>
      <c r="WEK379" s="50" t="n"/>
      <c r="WEL379" s="50" t="n"/>
      <c r="WEM379" s="50" t="n"/>
      <c r="WEN379" s="50" t="n"/>
      <c r="WEO379" s="50" t="n"/>
      <c r="WEP379" s="50" t="n"/>
      <c r="WEQ379" s="50" t="n"/>
      <c r="WER379" s="50" t="n"/>
      <c r="WES379" s="50" t="n"/>
      <c r="WET379" s="50" t="n"/>
      <c r="WEU379" s="50" t="n"/>
      <c r="WEV379" s="50" t="n"/>
      <c r="WEW379" s="50" t="n"/>
      <c r="WEX379" s="50" t="n"/>
      <c r="WEY379" s="50" t="n"/>
      <c r="WEZ379" s="50" t="n"/>
      <c r="WFA379" s="50" t="n"/>
      <c r="WFB379" s="50" t="n"/>
      <c r="WFC379" s="50" t="n"/>
      <c r="WFD379" s="56" t="n"/>
      <c r="WFE379" s="50" t="n"/>
      <c r="WFF379" s="53" t="n"/>
      <c r="WFG379" s="84" t="n"/>
      <c r="WFH379" s="85" t="n"/>
      <c r="WFI379" s="31" t="n"/>
      <c r="WFJ379" s="50" t="n"/>
      <c r="WFK379" s="50" t="n"/>
      <c r="WFL379" s="50" t="n"/>
      <c r="WFM379" s="50" t="n"/>
      <c r="WFN379" s="50" t="n"/>
      <c r="WFO379" s="50" t="n"/>
      <c r="WFP379" s="50" t="n"/>
      <c r="WFQ379" s="50" t="n"/>
      <c r="WFR379" s="50" t="n"/>
      <c r="WFS379" s="50" t="n"/>
      <c r="WFT379" s="50" t="n"/>
      <c r="WFU379" s="50" t="n"/>
      <c r="WFV379" s="50" t="n"/>
      <c r="WFW379" s="50" t="n"/>
      <c r="WFX379" s="50" t="n"/>
      <c r="WFY379" s="50" t="n"/>
      <c r="WFZ379" s="50" t="n"/>
      <c r="WGA379" s="50" t="n"/>
      <c r="WGB379" s="50" t="n"/>
      <c r="WGC379" s="50" t="n"/>
      <c r="WGD379" s="50" t="n"/>
      <c r="WGE379" s="50" t="n"/>
      <c r="WGF379" s="50" t="n"/>
      <c r="WGG379" s="50" t="n"/>
      <c r="WGH379" s="56" t="n"/>
      <c r="WGI379" s="50" t="n"/>
      <c r="WGJ379" s="53" t="n"/>
      <c r="WGK379" s="84" t="n"/>
      <c r="WGL379" s="85" t="n"/>
      <c r="WGM379" s="31" t="n"/>
      <c r="WGN379" s="50" t="n"/>
      <c r="WGO379" s="50" t="n"/>
      <c r="WGP379" s="50" t="n"/>
      <c r="WGQ379" s="50" t="n"/>
      <c r="WGR379" s="50" t="n"/>
      <c r="WGS379" s="50" t="n"/>
      <c r="WGT379" s="50" t="n"/>
      <c r="WGU379" s="50" t="n"/>
      <c r="WGV379" s="50" t="n"/>
      <c r="WGW379" s="50" t="n"/>
      <c r="WGX379" s="50" t="n"/>
      <c r="WGY379" s="50" t="n"/>
      <c r="WGZ379" s="50" t="n"/>
      <c r="WHA379" s="50" t="n"/>
      <c r="WHB379" s="50" t="n"/>
      <c r="WHC379" s="50" t="n"/>
      <c r="WHD379" s="50" t="n"/>
      <c r="WHE379" s="50" t="n"/>
      <c r="WHF379" s="50" t="n"/>
      <c r="WHG379" s="50" t="n"/>
      <c r="WHH379" s="50" t="n"/>
      <c r="WHI379" s="50" t="n"/>
      <c r="WHJ379" s="50" t="n"/>
      <c r="WHK379" s="50" t="n"/>
      <c r="WHL379" s="56" t="n"/>
      <c r="WHM379" s="50" t="n"/>
      <c r="WHN379" s="53" t="n"/>
      <c r="WHO379" s="84" t="n"/>
      <c r="WHP379" s="85" t="n"/>
      <c r="WHQ379" s="31" t="n"/>
      <c r="WHR379" s="50" t="n"/>
      <c r="WHS379" s="50" t="n"/>
      <c r="WHT379" s="50" t="n"/>
      <c r="WHU379" s="50" t="n"/>
      <c r="WHV379" s="50" t="n"/>
      <c r="WHW379" s="50" t="n"/>
      <c r="WHX379" s="50" t="n"/>
      <c r="WHY379" s="50" t="n"/>
      <c r="WHZ379" s="50" t="n"/>
      <c r="WIA379" s="50" t="n"/>
      <c r="WIB379" s="50" t="n"/>
      <c r="WIC379" s="50" t="n"/>
      <c r="WID379" s="50" t="n"/>
      <c r="WIE379" s="50" t="n"/>
      <c r="WIF379" s="50" t="n"/>
      <c r="WIG379" s="50" t="n"/>
      <c r="WIH379" s="50" t="n"/>
      <c r="WII379" s="50" t="n"/>
      <c r="WIJ379" s="50" t="n"/>
      <c r="WIK379" s="50" t="n"/>
      <c r="WIL379" s="50" t="n"/>
      <c r="WIM379" s="50" t="n"/>
      <c r="WIN379" s="50" t="n"/>
      <c r="WIO379" s="50" t="n"/>
      <c r="WIP379" s="56" t="n"/>
      <c r="WIQ379" s="50" t="n"/>
      <c r="WIR379" s="53" t="n"/>
      <c r="WIS379" s="84" t="n"/>
      <c r="WIT379" s="85" t="n"/>
      <c r="WIU379" s="31" t="n"/>
      <c r="WIV379" s="50" t="n"/>
      <c r="WIW379" s="50" t="n"/>
      <c r="WIX379" s="50" t="n"/>
      <c r="WIY379" s="50" t="n"/>
      <c r="WIZ379" s="50" t="n"/>
      <c r="WJA379" s="50" t="n"/>
      <c r="WJB379" s="50" t="n"/>
      <c r="WJC379" s="50" t="n"/>
      <c r="WJD379" s="50" t="n"/>
      <c r="WJE379" s="50" t="n"/>
      <c r="WJF379" s="50" t="n"/>
      <c r="WJG379" s="50" t="n"/>
      <c r="WJH379" s="50" t="n"/>
      <c r="WJI379" s="50" t="n"/>
      <c r="WJJ379" s="50" t="n"/>
      <c r="WJK379" s="50" t="n"/>
      <c r="WJL379" s="50" t="n"/>
      <c r="WJM379" s="50" t="n"/>
      <c r="WJN379" s="50" t="n"/>
      <c r="WJO379" s="50" t="n"/>
      <c r="WJP379" s="50" t="n"/>
      <c r="WJQ379" s="50" t="n"/>
      <c r="WJR379" s="50" t="n"/>
      <c r="WJS379" s="50" t="n"/>
      <c r="WJT379" s="56" t="n"/>
      <c r="WJU379" s="50" t="n"/>
      <c r="WJV379" s="53" t="n"/>
      <c r="WJW379" s="84" t="n"/>
      <c r="WJX379" s="85" t="n"/>
      <c r="WJY379" s="31" t="n"/>
      <c r="WJZ379" s="50" t="n"/>
      <c r="WKA379" s="50" t="n"/>
      <c r="WKB379" s="50" t="n"/>
      <c r="WKC379" s="50" t="n"/>
      <c r="WKD379" s="50" t="n"/>
      <c r="WKE379" s="50" t="n"/>
      <c r="WKF379" s="50" t="n"/>
      <c r="WKG379" s="50" t="n"/>
      <c r="WKH379" s="50" t="n"/>
      <c r="WKI379" s="50" t="n"/>
      <c r="WKJ379" s="50" t="n"/>
      <c r="WKK379" s="50" t="n"/>
      <c r="WKL379" s="50" t="n"/>
      <c r="WKM379" s="50" t="n"/>
      <c r="WKN379" s="50" t="n"/>
      <c r="WKO379" s="50" t="n"/>
      <c r="WKP379" s="50" t="n"/>
      <c r="WKQ379" s="50" t="n"/>
      <c r="WKR379" s="50" t="n"/>
      <c r="WKS379" s="50" t="n"/>
      <c r="WKT379" s="50" t="n"/>
      <c r="WKU379" s="50" t="n"/>
      <c r="WKV379" s="50" t="n"/>
      <c r="WKW379" s="50" t="n"/>
      <c r="WKX379" s="56" t="n"/>
      <c r="WKY379" s="50" t="n"/>
      <c r="WKZ379" s="53" t="n"/>
      <c r="WLA379" s="84" t="n"/>
      <c r="WLB379" s="85" t="n"/>
      <c r="WLC379" s="31" t="n"/>
      <c r="WLD379" s="50" t="n"/>
      <c r="WLE379" s="50" t="n"/>
      <c r="WLF379" s="50" t="n"/>
      <c r="WLG379" s="50" t="n"/>
      <c r="WLH379" s="50" t="n"/>
      <c r="WLI379" s="50" t="n"/>
      <c r="WLJ379" s="50" t="n"/>
      <c r="WLK379" s="50" t="n"/>
      <c r="WLL379" s="50" t="n"/>
      <c r="WLM379" s="50" t="n"/>
      <c r="WLN379" s="50" t="n"/>
      <c r="WLO379" s="50" t="n"/>
      <c r="WLP379" s="50" t="n"/>
      <c r="WLQ379" s="50" t="n"/>
      <c r="WLR379" s="50" t="n"/>
      <c r="WLS379" s="50" t="n"/>
      <c r="WLT379" s="50" t="n"/>
      <c r="WLU379" s="50" t="n"/>
      <c r="WLV379" s="50" t="n"/>
      <c r="WLW379" s="50" t="n"/>
      <c r="WLX379" s="50" t="n"/>
      <c r="WLY379" s="50" t="n"/>
      <c r="WLZ379" s="50" t="n"/>
      <c r="WMA379" s="50" t="n"/>
      <c r="WMB379" s="56" t="n"/>
      <c r="WMC379" s="50" t="n"/>
      <c r="WMD379" s="53" t="n"/>
      <c r="WME379" s="84" t="n"/>
      <c r="WMF379" s="85" t="n"/>
      <c r="WMG379" s="31" t="n"/>
      <c r="WMH379" s="50" t="n"/>
      <c r="WMI379" s="50" t="n"/>
      <c r="WMJ379" s="50" t="n"/>
      <c r="WMK379" s="50" t="n"/>
      <c r="WML379" s="50" t="n"/>
      <c r="WMM379" s="50" t="n"/>
      <c r="WMN379" s="50" t="n"/>
      <c r="WMO379" s="50" t="n"/>
      <c r="WMP379" s="50" t="n"/>
      <c r="WMQ379" s="50" t="n"/>
      <c r="WMR379" s="50" t="n"/>
      <c r="WMS379" s="50" t="n"/>
      <c r="WMT379" s="50" t="n"/>
      <c r="WMU379" s="50" t="n"/>
      <c r="WMV379" s="50" t="n"/>
      <c r="WMW379" s="50" t="n"/>
      <c r="WMX379" s="50" t="n"/>
      <c r="WMY379" s="50" t="n"/>
      <c r="WMZ379" s="50" t="n"/>
      <c r="WNA379" s="50" t="n"/>
      <c r="WNB379" s="50" t="n"/>
      <c r="WNC379" s="50" t="n"/>
      <c r="WND379" s="50" t="n"/>
      <c r="WNE379" s="50" t="n"/>
      <c r="WNF379" s="56" t="n"/>
      <c r="WNG379" s="50" t="n"/>
      <c r="WNH379" s="53" t="n"/>
      <c r="WNI379" s="84" t="n"/>
      <c r="WNJ379" s="85" t="n"/>
      <c r="WNK379" s="31" t="n"/>
      <c r="WNL379" s="50" t="n"/>
      <c r="WNM379" s="50" t="n"/>
      <c r="WNN379" s="50" t="n"/>
      <c r="WNO379" s="50" t="n"/>
      <c r="WNP379" s="50" t="n"/>
      <c r="WNQ379" s="50" t="n"/>
      <c r="WNR379" s="50" t="n"/>
      <c r="WNS379" s="50" t="n"/>
      <c r="WNT379" s="50" t="n"/>
      <c r="WNU379" s="50" t="n"/>
      <c r="WNV379" s="50" t="n"/>
      <c r="WNW379" s="50" t="n"/>
      <c r="WNX379" s="50" t="n"/>
      <c r="WNY379" s="50" t="n"/>
      <c r="WNZ379" s="50" t="n"/>
      <c r="WOA379" s="50" t="n"/>
      <c r="WOB379" s="50" t="n"/>
      <c r="WOC379" s="50" t="n"/>
      <c r="WOD379" s="50" t="n"/>
      <c r="WOE379" s="50" t="n"/>
      <c r="WOF379" s="50" t="n"/>
      <c r="WOG379" s="50" t="n"/>
      <c r="WOH379" s="50" t="n"/>
      <c r="WOI379" s="50" t="n"/>
      <c r="WOJ379" s="56" t="n"/>
      <c r="WOK379" s="50" t="n"/>
      <c r="WOL379" s="53" t="n"/>
      <c r="WOM379" s="84" t="n"/>
      <c r="WON379" s="85" t="n"/>
      <c r="WOO379" s="31" t="n"/>
      <c r="WOP379" s="50" t="n"/>
      <c r="WOQ379" s="50" t="n"/>
      <c r="WOR379" s="50" t="n"/>
      <c r="WOS379" s="50" t="n"/>
      <c r="WOT379" s="50" t="n"/>
      <c r="WOU379" s="50" t="n"/>
      <c r="WOV379" s="50" t="n"/>
      <c r="WOW379" s="50" t="n"/>
      <c r="WOX379" s="50" t="n"/>
      <c r="WOY379" s="50" t="n"/>
      <c r="WOZ379" s="50" t="n"/>
      <c r="WPA379" s="50" t="n"/>
      <c r="WPB379" s="50" t="n"/>
      <c r="WPC379" s="50" t="n"/>
      <c r="WPD379" s="50" t="n"/>
      <c r="WPE379" s="50" t="n"/>
      <c r="WPF379" s="50" t="n"/>
      <c r="WPG379" s="50" t="n"/>
      <c r="WPH379" s="50" t="n"/>
      <c r="WPI379" s="50" t="n"/>
      <c r="WPJ379" s="50" t="n"/>
      <c r="WPK379" s="50" t="n"/>
      <c r="WPL379" s="50" t="n"/>
      <c r="WPM379" s="50" t="n"/>
      <c r="WPN379" s="56" t="n"/>
      <c r="WPO379" s="50" t="n"/>
      <c r="WPP379" s="53" t="n"/>
      <c r="WPQ379" s="84" t="n"/>
      <c r="WPR379" s="85" t="n"/>
      <c r="WPS379" s="31" t="n"/>
      <c r="WPT379" s="50" t="n"/>
      <c r="WPU379" s="50" t="n"/>
      <c r="WPV379" s="50" t="n"/>
      <c r="WPW379" s="50" t="n"/>
      <c r="WPX379" s="50" t="n"/>
      <c r="WPY379" s="50" t="n"/>
      <c r="WPZ379" s="50" t="n"/>
      <c r="WQA379" s="50" t="n"/>
      <c r="WQB379" s="50" t="n"/>
      <c r="WQC379" s="50" t="n"/>
      <c r="WQD379" s="50" t="n"/>
      <c r="WQE379" s="50" t="n"/>
      <c r="WQF379" s="50" t="n"/>
      <c r="WQG379" s="50" t="n"/>
      <c r="WQH379" s="50" t="n"/>
      <c r="WQI379" s="50" t="n"/>
      <c r="WQJ379" s="50" t="n"/>
      <c r="WQK379" s="50" t="n"/>
      <c r="WQL379" s="50" t="n"/>
      <c r="WQM379" s="50" t="n"/>
      <c r="WQN379" s="50" t="n"/>
      <c r="WQO379" s="50" t="n"/>
      <c r="WQP379" s="50" t="n"/>
      <c r="WQQ379" s="50" t="n"/>
      <c r="WQR379" s="56" t="n"/>
      <c r="WQS379" s="50" t="n"/>
      <c r="WQT379" s="53" t="n"/>
      <c r="WQU379" s="84" t="n"/>
      <c r="WQV379" s="85" t="n"/>
      <c r="WQW379" s="31" t="n"/>
      <c r="WQX379" s="50" t="n"/>
      <c r="WQY379" s="50" t="n"/>
      <c r="WQZ379" s="50" t="n"/>
      <c r="WRA379" s="50" t="n"/>
      <c r="WRB379" s="50" t="n"/>
      <c r="WRC379" s="50" t="n"/>
      <c r="WRD379" s="50" t="n"/>
      <c r="WRE379" s="50" t="n"/>
      <c r="WRF379" s="50" t="n"/>
      <c r="WRG379" s="50" t="n"/>
      <c r="WRH379" s="50" t="n"/>
      <c r="WRI379" s="50" t="n"/>
      <c r="WRJ379" s="50" t="n"/>
      <c r="WRK379" s="50" t="n"/>
      <c r="WRL379" s="50" t="n"/>
      <c r="WRM379" s="50" t="n"/>
      <c r="WRN379" s="50" t="n"/>
      <c r="WRO379" s="50" t="n"/>
      <c r="WRP379" s="50" t="n"/>
      <c r="WRQ379" s="50" t="n"/>
      <c r="WRR379" s="50" t="n"/>
      <c r="WRS379" s="50" t="n"/>
      <c r="WRT379" s="50" t="n"/>
      <c r="WRU379" s="50" t="n"/>
      <c r="WRV379" s="56" t="n"/>
      <c r="WRW379" s="50" t="n"/>
      <c r="WRX379" s="53" t="n"/>
      <c r="WRY379" s="84" t="n"/>
      <c r="WRZ379" s="85" t="n"/>
      <c r="WSA379" s="31" t="n"/>
      <c r="WSB379" s="50" t="n"/>
      <c r="WSC379" s="50" t="n"/>
      <c r="WSD379" s="50" t="n"/>
      <c r="WSE379" s="50" t="n"/>
      <c r="WSF379" s="50" t="n"/>
      <c r="WSG379" s="50" t="n"/>
      <c r="WSH379" s="50" t="n"/>
      <c r="WSI379" s="50" t="n"/>
      <c r="WSJ379" s="50" t="n"/>
      <c r="WSK379" s="50" t="n"/>
      <c r="WSL379" s="50" t="n"/>
      <c r="WSM379" s="50" t="n"/>
      <c r="WSN379" s="50" t="n"/>
      <c r="WSO379" s="50" t="n"/>
      <c r="WSP379" s="50" t="n"/>
      <c r="WSQ379" s="50" t="n"/>
      <c r="WSR379" s="50" t="n"/>
      <c r="WSS379" s="50" t="n"/>
      <c r="WST379" s="50" t="n"/>
      <c r="WSU379" s="50" t="n"/>
      <c r="WSV379" s="50" t="n"/>
      <c r="WSW379" s="50" t="n"/>
      <c r="WSX379" s="50" t="n"/>
      <c r="WSY379" s="50" t="n"/>
      <c r="WSZ379" s="56" t="n"/>
      <c r="WTA379" s="50" t="n"/>
      <c r="WTB379" s="53" t="n"/>
      <c r="WTC379" s="84" t="n"/>
      <c r="WTD379" s="85" t="n"/>
      <c r="WTE379" s="31" t="n"/>
      <c r="WTF379" s="50" t="n"/>
      <c r="WTG379" s="50" t="n"/>
      <c r="WTH379" s="50" t="n"/>
      <c r="WTI379" s="50" t="n"/>
      <c r="WTJ379" s="50" t="n"/>
      <c r="WTK379" s="50" t="n"/>
      <c r="WTL379" s="50" t="n"/>
      <c r="WTM379" s="50" t="n"/>
      <c r="WTN379" s="50" t="n"/>
      <c r="WTO379" s="50" t="n"/>
      <c r="WTP379" s="50" t="n"/>
      <c r="WTQ379" s="50" t="n"/>
      <c r="WTR379" s="50" t="n"/>
      <c r="WTS379" s="50" t="n"/>
      <c r="WTT379" s="50" t="n"/>
      <c r="WTU379" s="50" t="n"/>
      <c r="WTV379" s="50" t="n"/>
      <c r="WTW379" s="50" t="n"/>
      <c r="WTX379" s="50" t="n"/>
      <c r="WTY379" s="50" t="n"/>
      <c r="WTZ379" s="50" t="n"/>
      <c r="WUA379" s="50" t="n"/>
      <c r="WUB379" s="50" t="n"/>
      <c r="WUC379" s="50" t="n"/>
      <c r="WUD379" s="56" t="n"/>
      <c r="WUE379" s="50" t="n"/>
      <c r="WUF379" s="53" t="n"/>
      <c r="WUG379" s="84" t="n"/>
      <c r="WUH379" s="85" t="n"/>
      <c r="WUI379" s="31" t="n"/>
      <c r="WUJ379" s="50" t="n"/>
      <c r="WUK379" s="50" t="n"/>
      <c r="WUL379" s="50" t="n"/>
      <c r="WUM379" s="50" t="n"/>
      <c r="WUN379" s="50" t="n"/>
      <c r="WUO379" s="50" t="n"/>
      <c r="WUP379" s="50" t="n"/>
      <c r="WUQ379" s="50" t="n"/>
      <c r="WUR379" s="50" t="n"/>
      <c r="WUS379" s="50" t="n"/>
      <c r="WUT379" s="50" t="n"/>
      <c r="WUU379" s="50" t="n"/>
      <c r="WUV379" s="50" t="n"/>
      <c r="WUW379" s="50" t="n"/>
      <c r="WUX379" s="50" t="n"/>
      <c r="WUY379" s="50" t="n"/>
      <c r="WUZ379" s="50" t="n"/>
      <c r="WVA379" s="50" t="n"/>
      <c r="WVB379" s="50" t="n"/>
      <c r="WVC379" s="50" t="n"/>
      <c r="WVD379" s="50" t="n"/>
      <c r="WVE379" s="50" t="n"/>
      <c r="WVF379" s="50" t="n"/>
      <c r="WVG379" s="50" t="n"/>
      <c r="WVH379" s="56" t="n"/>
      <c r="WVI379" s="50" t="n"/>
      <c r="WVJ379" s="53" t="n"/>
      <c r="WVK379" s="84" t="n"/>
      <c r="WVL379" s="85" t="n"/>
      <c r="WVM379" s="31" t="n"/>
      <c r="WVN379" s="50" t="n"/>
      <c r="WVO379" s="50" t="n"/>
      <c r="WVP379" s="50" t="n"/>
      <c r="WVQ379" s="50" t="n"/>
      <c r="WVR379" s="50" t="n"/>
      <c r="WVS379" s="50" t="n"/>
      <c r="WVT379" s="50" t="n"/>
      <c r="WVU379" s="50" t="n"/>
      <c r="WVV379" s="50" t="n"/>
      <c r="WVW379" s="50" t="n"/>
      <c r="WVX379" s="50" t="n"/>
      <c r="WVY379" s="50" t="n"/>
      <c r="WVZ379" s="50" t="n"/>
      <c r="WWA379" s="50" t="n"/>
      <c r="WWB379" s="50" t="n"/>
      <c r="WWC379" s="50" t="n"/>
      <c r="WWD379" s="50" t="n"/>
      <c r="WWE379" s="50" t="n"/>
      <c r="WWF379" s="50" t="n"/>
      <c r="WWG379" s="50" t="n"/>
      <c r="WWH379" s="50" t="n"/>
      <c r="WWI379" s="50" t="n"/>
      <c r="WWJ379" s="50" t="n"/>
      <c r="WWK379" s="50" t="n"/>
      <c r="WWL379" s="56" t="n"/>
      <c r="WWM379" s="50" t="n"/>
      <c r="WWN379" s="53" t="n"/>
      <c r="WWO379" s="84" t="n"/>
      <c r="WWP379" s="85" t="n"/>
      <c r="WWQ379" s="31" t="n"/>
      <c r="WWR379" s="50" t="n"/>
      <c r="WWS379" s="50" t="n"/>
      <c r="WWT379" s="50" t="n"/>
      <c r="WWU379" s="50" t="n"/>
      <c r="WWV379" s="50" t="n"/>
      <c r="WWW379" s="50" t="n"/>
      <c r="WWX379" s="50" t="n"/>
      <c r="WWY379" s="50" t="n"/>
      <c r="WWZ379" s="50" t="n"/>
      <c r="WXA379" s="50" t="n"/>
      <c r="WXB379" s="50" t="n"/>
      <c r="WXC379" s="50" t="n"/>
      <c r="WXD379" s="50" t="n"/>
      <c r="WXE379" s="50" t="n"/>
      <c r="WXF379" s="50" t="n"/>
      <c r="WXG379" s="50" t="n"/>
      <c r="WXH379" s="50" t="n"/>
      <c r="WXI379" s="50" t="n"/>
      <c r="WXJ379" s="50" t="n"/>
      <c r="WXK379" s="50" t="n"/>
      <c r="WXL379" s="50" t="n"/>
      <c r="WXM379" s="50" t="n"/>
      <c r="WXN379" s="50" t="n"/>
      <c r="WXO379" s="50" t="n"/>
      <c r="WXP379" s="56" t="n"/>
      <c r="WXQ379" s="50" t="n"/>
      <c r="WXR379" s="53" t="n"/>
      <c r="WXS379" s="84" t="n"/>
      <c r="WXT379" s="85" t="n"/>
      <c r="WXU379" s="31" t="n"/>
      <c r="WXV379" s="50" t="n"/>
      <c r="WXW379" s="50" t="n"/>
      <c r="WXX379" s="50" t="n"/>
      <c r="WXY379" s="50" t="n"/>
      <c r="WXZ379" s="50" t="n"/>
      <c r="WYA379" s="50" t="n"/>
      <c r="WYB379" s="50" t="n"/>
      <c r="WYC379" s="50" t="n"/>
      <c r="WYD379" s="50" t="n"/>
      <c r="WYE379" s="50" t="n"/>
      <c r="WYF379" s="50" t="n"/>
      <c r="WYG379" s="50" t="n"/>
      <c r="WYH379" s="50" t="n"/>
      <c r="WYI379" s="50" t="n"/>
      <c r="WYJ379" s="50" t="n"/>
      <c r="WYK379" s="50" t="n"/>
      <c r="WYL379" s="50" t="n"/>
      <c r="WYM379" s="50" t="n"/>
      <c r="WYN379" s="50" t="n"/>
      <c r="WYO379" s="50" t="n"/>
      <c r="WYP379" s="50" t="n"/>
      <c r="WYQ379" s="50" t="n"/>
      <c r="WYR379" s="50" t="n"/>
      <c r="WYS379" s="50" t="n"/>
      <c r="WYT379" s="56" t="n"/>
      <c r="WYU379" s="50" t="n"/>
      <c r="WYV379" s="53" t="n"/>
      <c r="WYW379" s="84" t="n"/>
      <c r="WYX379" s="85" t="n"/>
      <c r="WYY379" s="31" t="n"/>
      <c r="WYZ379" s="50" t="n"/>
      <c r="WZA379" s="50" t="n"/>
      <c r="WZB379" s="50" t="n"/>
      <c r="WZC379" s="50" t="n"/>
      <c r="WZD379" s="50" t="n"/>
      <c r="WZE379" s="50" t="n"/>
      <c r="WZF379" s="50" t="n"/>
      <c r="WZG379" s="50" t="n"/>
      <c r="WZH379" s="50" t="n"/>
      <c r="WZI379" s="50" t="n"/>
      <c r="WZJ379" s="50" t="n"/>
      <c r="WZK379" s="50" t="n"/>
      <c r="WZL379" s="50" t="n"/>
      <c r="WZM379" s="50" t="n"/>
      <c r="WZN379" s="50" t="n"/>
      <c r="WZO379" s="50" t="n"/>
      <c r="WZP379" s="50" t="n"/>
      <c r="WZQ379" s="50" t="n"/>
      <c r="WZR379" s="50" t="n"/>
      <c r="WZS379" s="50" t="n"/>
      <c r="WZT379" s="50" t="n"/>
      <c r="WZU379" s="50" t="n"/>
      <c r="WZV379" s="50" t="n"/>
      <c r="WZW379" s="50" t="n"/>
      <c r="WZX379" s="56" t="n"/>
      <c r="WZY379" s="50" t="n"/>
      <c r="WZZ379" s="53" t="n"/>
      <c r="XAA379" s="84" t="n"/>
      <c r="XAB379" s="85" t="n"/>
      <c r="XAC379" s="31" t="n"/>
      <c r="XAD379" s="50" t="n"/>
      <c r="XAE379" s="50" t="n"/>
      <c r="XAF379" s="50" t="n"/>
      <c r="XAG379" s="50" t="n"/>
      <c r="XAH379" s="50" t="n"/>
      <c r="XAI379" s="50" t="n"/>
      <c r="XAJ379" s="50" t="n"/>
      <c r="XAK379" s="50" t="n"/>
      <c r="XAL379" s="50" t="n"/>
      <c r="XAM379" s="50" t="n"/>
      <c r="XAN379" s="50" t="n"/>
      <c r="XAO379" s="50" t="n"/>
      <c r="XAP379" s="50" t="n"/>
      <c r="XAQ379" s="50" t="n"/>
      <c r="XAR379" s="50" t="n"/>
      <c r="XAS379" s="50" t="n"/>
      <c r="XAT379" s="50" t="n"/>
      <c r="XAU379" s="50" t="n"/>
      <c r="XAV379" s="50" t="n"/>
      <c r="XAW379" s="50" t="n"/>
      <c r="XAX379" s="50" t="n"/>
      <c r="XAY379" s="50" t="n"/>
      <c r="XAZ379" s="50" t="n"/>
      <c r="XBA379" s="50" t="n"/>
      <c r="XBB379" s="56" t="n"/>
      <c r="XBC379" s="50" t="n"/>
      <c r="XBD379" s="53" t="n"/>
      <c r="XBE379" s="84" t="n"/>
      <c r="XBF379" s="85" t="n"/>
      <c r="XBG379" s="31" t="n"/>
      <c r="XBH379" s="50" t="n"/>
      <c r="XBI379" s="50" t="n"/>
      <c r="XBJ379" s="50" t="n"/>
      <c r="XBK379" s="50" t="n"/>
      <c r="XBL379" s="50" t="n"/>
      <c r="XBM379" s="50" t="n"/>
      <c r="XBN379" s="50" t="n"/>
      <c r="XBO379" s="50" t="n"/>
      <c r="XBP379" s="50" t="n"/>
      <c r="XBQ379" s="50" t="n"/>
      <c r="XBR379" s="50" t="n"/>
      <c r="XBS379" s="50" t="n"/>
      <c r="XBT379" s="50" t="n"/>
      <c r="XBU379" s="50" t="n"/>
      <c r="XBV379" s="50" t="n"/>
      <c r="XBW379" s="50" t="n"/>
      <c r="XBX379" s="50" t="n"/>
      <c r="XBY379" s="50" t="n"/>
      <c r="XBZ379" s="50" t="n"/>
      <c r="XCA379" s="50" t="n"/>
      <c r="XCB379" s="50" t="n"/>
      <c r="XCC379" s="50" t="n"/>
      <c r="XCD379" s="50" t="n"/>
      <c r="XCE379" s="50" t="n"/>
      <c r="XCF379" s="56" t="n"/>
      <c r="XCG379" s="50" t="n"/>
      <c r="XCH379" s="53" t="n"/>
      <c r="XCI379" s="84" t="n"/>
      <c r="XCJ379" s="85" t="n"/>
      <c r="XCK379" s="31" t="n"/>
      <c r="XCL379" s="50" t="n"/>
      <c r="XCM379" s="50" t="n"/>
      <c r="XCN379" s="50" t="n"/>
      <c r="XCO379" s="50" t="n"/>
      <c r="XCP379" s="50" t="n"/>
      <c r="XCQ379" s="50" t="n"/>
      <c r="XCR379" s="50" t="n"/>
      <c r="XCS379" s="50" t="n"/>
      <c r="XCT379" s="50" t="n"/>
      <c r="XCU379" s="50" t="n"/>
      <c r="XCV379" s="50" t="n"/>
      <c r="XCW379" s="50" t="n"/>
      <c r="XCX379" s="50" t="n"/>
      <c r="XCY379" s="50" t="n"/>
      <c r="XCZ379" s="50" t="n"/>
      <c r="XDA379" s="50" t="n"/>
      <c r="XDB379" s="50" t="n"/>
      <c r="XDC379" s="50" t="n"/>
      <c r="XDD379" s="50" t="n"/>
      <c r="XDE379" s="50" t="n"/>
      <c r="XDF379" s="50" t="n"/>
      <c r="XDG379" s="50" t="n"/>
      <c r="XDH379" s="50" t="n"/>
      <c r="XDI379" s="50" t="n"/>
      <c r="XDJ379" s="56" t="n"/>
      <c r="XDK379" s="50" t="n"/>
      <c r="XDL379" s="53" t="n"/>
      <c r="XDM379" s="84" t="n"/>
      <c r="XDN379" s="85" t="n"/>
      <c r="XDO379" s="31" t="n"/>
      <c r="XDP379" s="50" t="n"/>
      <c r="XDQ379" s="50" t="n"/>
      <c r="XDR379" s="50" t="n"/>
      <c r="XDS379" s="50" t="n"/>
      <c r="XDT379" s="50" t="n"/>
      <c r="XDU379" s="50" t="n"/>
      <c r="XDV379" s="50" t="n"/>
      <c r="XDW379" s="50" t="n"/>
      <c r="XDX379" s="50" t="n"/>
      <c r="XDY379" s="50" t="n"/>
      <c r="XDZ379" s="50" t="n"/>
      <c r="XEA379" s="50" t="n"/>
      <c r="XEB379" s="50" t="n"/>
      <c r="XEC379" s="50" t="n"/>
      <c r="XED379" s="50" t="n"/>
      <c r="XEE379" s="50" t="n"/>
      <c r="XEF379" s="50" t="n"/>
      <c r="XEG379" s="50" t="n"/>
      <c r="XEH379" s="50" t="n"/>
      <c r="XEI379" s="50" t="n"/>
      <c r="XEJ379" s="50" t="n"/>
      <c r="XEK379" s="50" t="n"/>
      <c r="XEL379" s="50" t="n"/>
      <c r="XEM379" s="50" t="n"/>
      <c r="XEN379" s="56" t="n"/>
      <c r="XEO379" s="50" t="n"/>
      <c r="XEP379" s="53" t="n"/>
      <c r="XEQ379" s="84" t="n"/>
      <c r="XER379" s="85" t="n"/>
      <c r="XES379" s="31" t="n"/>
      <c r="XET379" s="50" t="n"/>
      <c r="XEU379" s="50" t="n"/>
    </row>
    <row r="380" ht="12.75" customHeight="1" s="123">
      <c r="A380" s="85" t="n">
        <v>378</v>
      </c>
      <c r="B380" s="31" t="inlineStr">
        <is>
          <t xml:space="preserve">B&amp;P-041-5206-2RST   </t>
        </is>
      </c>
      <c r="C380" s="60" t="n">
        <v>23.813</v>
      </c>
      <c r="D380" s="50" t="n">
        <v>0</v>
      </c>
      <c r="E380" s="50" t="n">
        <v>-12</v>
      </c>
      <c r="F380" s="50" t="n">
        <v>62</v>
      </c>
      <c r="G380" s="50" t="n">
        <v>0</v>
      </c>
      <c r="H380" s="50" t="n">
        <v>-11</v>
      </c>
      <c r="I380" s="60" t="n">
        <v>23.813</v>
      </c>
      <c r="J380" s="50" t="n">
        <v>0</v>
      </c>
      <c r="K380" s="50" t="n">
        <v>-12</v>
      </c>
      <c r="L380" s="50" t="n">
        <v>30</v>
      </c>
      <c r="M380" s="50" t="n">
        <v>0</v>
      </c>
      <c r="N380" s="50" t="n">
        <v>-10</v>
      </c>
      <c r="O380" s="56" t="inlineStr">
        <is>
          <t>NO</t>
        </is>
      </c>
      <c r="P380" s="56" t="inlineStr">
        <is>
          <t>NO</t>
        </is>
      </c>
      <c r="Q380" s="56" t="inlineStr">
        <is>
          <t>NO</t>
        </is>
      </c>
      <c r="R380" s="56" t="inlineStr">
        <is>
          <t>C3</t>
        </is>
      </c>
      <c r="S380" s="50" t="n">
        <v>37</v>
      </c>
      <c r="T380" s="50" t="n">
        <v>18</v>
      </c>
      <c r="U380" s="50" t="n">
        <v>64</v>
      </c>
      <c r="V380" s="50" t="n">
        <v>58</v>
      </c>
      <c r="W380" s="50" t="n">
        <v>64</v>
      </c>
      <c r="X380" s="50" t="n">
        <v>58</v>
      </c>
      <c r="Y380" s="56" t="inlineStr">
        <is>
          <t>8.5 - 9.6 grs</t>
        </is>
      </c>
      <c r="Z380" s="50" t="inlineStr">
        <is>
          <t>Polyrex</t>
        </is>
      </c>
      <c r="AA380" s="56" t="inlineStr">
        <is>
          <t>0.12Nm</t>
        </is>
      </c>
      <c r="AB380" s="56" t="inlineStr">
        <is>
          <t>0.056Nm</t>
        </is>
      </c>
      <c r="AC380" s="53" t="n">
        <v>44123</v>
      </c>
      <c r="AD380" s="76" t="inlineStr">
        <is>
          <t>C</t>
        </is>
      </c>
    </row>
    <row r="381" ht="12.75" customHeight="1" s="123">
      <c r="A381" s="85" t="n">
        <v>379</v>
      </c>
      <c r="B381" s="31" t="inlineStr">
        <is>
          <t>BPB-041-HD06-2RST-YS</t>
        </is>
      </c>
      <c r="C381" s="50" t="n">
        <v>19</v>
      </c>
      <c r="D381" s="50" t="n">
        <v>0</v>
      </c>
      <c r="E381" s="50" t="n">
        <v>-120</v>
      </c>
      <c r="F381" s="50" t="n">
        <v>72</v>
      </c>
      <c r="G381" s="50" t="n">
        <v>0</v>
      </c>
      <c r="H381" s="50" t="n">
        <v>-13</v>
      </c>
      <c r="I381" s="50" t="n">
        <v>19</v>
      </c>
      <c r="J381" s="50" t="n">
        <v>0</v>
      </c>
      <c r="K381" s="50" t="n">
        <v>-120</v>
      </c>
      <c r="L381" s="50" t="n">
        <v>30</v>
      </c>
      <c r="M381" s="50" t="n">
        <v>0</v>
      </c>
      <c r="N381" s="50" t="n">
        <v>-10</v>
      </c>
      <c r="O381" s="50" t="inlineStr">
        <is>
          <t>C3</t>
        </is>
      </c>
      <c r="P381" s="50" t="n">
        <v>28</v>
      </c>
      <c r="Q381" s="50" t="n">
        <v>13</v>
      </c>
      <c r="R381" s="50" t="inlineStr">
        <is>
          <t>NO</t>
        </is>
      </c>
      <c r="S381" s="50" t="inlineStr">
        <is>
          <t>NO</t>
        </is>
      </c>
      <c r="T381" s="50" t="inlineStr">
        <is>
          <t>NO</t>
        </is>
      </c>
      <c r="U381" s="50" t="n">
        <v>64</v>
      </c>
      <c r="V381" s="50" t="n">
        <v>58</v>
      </c>
      <c r="W381" s="50" t="n">
        <v>64</v>
      </c>
      <c r="X381" s="50" t="n">
        <v>58</v>
      </c>
      <c r="Y381" s="50" t="inlineStr">
        <is>
          <t>9.9 - 11.3 gr</t>
        </is>
      </c>
      <c r="Z381" s="50" t="inlineStr">
        <is>
          <t>Polyrex</t>
        </is>
      </c>
      <c r="AA381" s="45" t="inlineStr">
        <is>
          <t>0.12Nm</t>
        </is>
      </c>
      <c r="AB381" s="45" t="inlineStr">
        <is>
          <t>0.05Nm</t>
        </is>
      </c>
      <c r="AC381" s="53" t="n">
        <v>42299</v>
      </c>
      <c r="AD381" s="84" t="n">
        <v>0</v>
      </c>
    </row>
    <row r="382" ht="12.75" customHeight="1" s="123">
      <c r="A382" s="85" t="n">
        <v>380</v>
      </c>
      <c r="B382" s="31" t="inlineStr">
        <is>
          <t>B&amp;P-031-DAC-39740039-XCYW</t>
        </is>
      </c>
      <c r="C382" s="50" t="n">
        <v>39</v>
      </c>
      <c r="D382" s="50" t="n">
        <v>0</v>
      </c>
      <c r="E382" s="50" t="n">
        <v>-120</v>
      </c>
      <c r="F382" s="50" t="n">
        <v>74</v>
      </c>
      <c r="G382" s="50" t="n">
        <v>0</v>
      </c>
      <c r="H382" s="50" t="n">
        <v>-13</v>
      </c>
      <c r="I382" s="50" t="n">
        <v>39</v>
      </c>
      <c r="J382" s="50" t="n">
        <v>0</v>
      </c>
      <c r="K382" s="50" t="n">
        <v>-120</v>
      </c>
      <c r="L382" s="50" t="n">
        <v>39</v>
      </c>
      <c r="M382" s="50" t="n">
        <v>0</v>
      </c>
      <c r="N382" s="50" t="n">
        <v>-12</v>
      </c>
      <c r="O382" s="56" t="inlineStr">
        <is>
          <t>NO</t>
        </is>
      </c>
      <c r="P382" s="56" t="inlineStr">
        <is>
          <t>NO</t>
        </is>
      </c>
      <c r="Q382" s="56" t="inlineStr">
        <is>
          <t>NO</t>
        </is>
      </c>
      <c r="R382" s="50" t="inlineStr">
        <is>
          <t>Axial</t>
        </is>
      </c>
      <c r="S382" s="50" t="n">
        <v>70</v>
      </c>
      <c r="T382" s="50" t="n">
        <v>50</v>
      </c>
      <c r="U382" s="50" t="n">
        <v>64</v>
      </c>
      <c r="V382" s="50" t="n">
        <v>58</v>
      </c>
      <c r="W382" s="50" t="n">
        <v>64</v>
      </c>
      <c r="X382" s="50" t="n">
        <v>58</v>
      </c>
      <c r="Y382" s="61" t="inlineStr">
        <is>
          <t>7 gr - 5 gr</t>
        </is>
      </c>
      <c r="Z382" s="50" t="inlineStr">
        <is>
          <t>Polyrex</t>
        </is>
      </c>
      <c r="AA382" s="56" t="inlineStr">
        <is>
          <t>NO</t>
        </is>
      </c>
      <c r="AB382" s="50" t="inlineStr">
        <is>
          <t>NO</t>
        </is>
      </c>
      <c r="AC382" s="53" t="n">
        <v>44795</v>
      </c>
      <c r="AD382" s="84" t="inlineStr">
        <is>
          <t>A</t>
        </is>
      </c>
    </row>
    <row r="383" ht="12.75" customHeight="1" s="123">
      <c r="A383" s="85" t="n">
        <v>381</v>
      </c>
      <c r="B383" s="31" t="inlineStr">
        <is>
          <t>B&amp;P-031-DAC-39740039</t>
        </is>
      </c>
      <c r="C383" s="50" t="n">
        <v>39</v>
      </c>
      <c r="D383" s="50" t="n">
        <v>0</v>
      </c>
      <c r="E383" s="50" t="n">
        <v>-120</v>
      </c>
      <c r="F383" s="50" t="n">
        <v>74</v>
      </c>
      <c r="G383" s="50" t="n">
        <v>0</v>
      </c>
      <c r="H383" s="50" t="n">
        <v>-13</v>
      </c>
      <c r="I383" s="50" t="n">
        <v>39</v>
      </c>
      <c r="J383" s="50" t="n">
        <v>0</v>
      </c>
      <c r="K383" s="50" t="n">
        <v>-120</v>
      </c>
      <c r="L383" s="50" t="n">
        <v>39</v>
      </c>
      <c r="M383" s="50" t="n">
        <v>0</v>
      </c>
      <c r="N383" s="50" t="n">
        <v>-12</v>
      </c>
      <c r="O383" s="56" t="inlineStr">
        <is>
          <t>NO</t>
        </is>
      </c>
      <c r="P383" s="56" t="inlineStr">
        <is>
          <t>NO</t>
        </is>
      </c>
      <c r="Q383" s="56" t="inlineStr">
        <is>
          <t>NO</t>
        </is>
      </c>
      <c r="R383" s="50" t="inlineStr">
        <is>
          <t>Axial</t>
        </is>
      </c>
      <c r="S383" s="50" t="n">
        <v>70</v>
      </c>
      <c r="T383" s="50" t="n">
        <v>50</v>
      </c>
      <c r="U383" s="50" t="n">
        <v>64</v>
      </c>
      <c r="V383" s="50" t="n">
        <v>58</v>
      </c>
      <c r="W383" s="50" t="n">
        <v>64</v>
      </c>
      <c r="X383" s="50" t="n">
        <v>58</v>
      </c>
      <c r="Y383" s="61" t="inlineStr">
        <is>
          <t>19.2 gr - 14.4 gr</t>
        </is>
      </c>
      <c r="Z383" s="50" t="inlineStr">
        <is>
          <t>YPF Limit</t>
        </is>
      </c>
      <c r="AA383" s="56" t="inlineStr">
        <is>
          <t>NO</t>
        </is>
      </c>
      <c r="AB383" s="50" t="inlineStr">
        <is>
          <t>NO</t>
        </is>
      </c>
      <c r="AC383" s="53" t="n">
        <v>44308</v>
      </c>
      <c r="AD383" s="84" t="n">
        <v>0</v>
      </c>
    </row>
    <row r="384" ht="12.75" customHeight="1" s="123">
      <c r="A384" s="85" t="n">
        <v>382</v>
      </c>
      <c r="B384" s="87" t="inlineStr">
        <is>
          <t>B&amp;P-040-1208-TN-C3-HLBR</t>
        </is>
      </c>
      <c r="C384" s="85" t="inlineStr">
        <is>
          <t>18</t>
        </is>
      </c>
      <c r="D384" s="85" t="inlineStr">
        <is>
          <t>0</t>
        </is>
      </c>
      <c r="E384" s="85" t="inlineStr">
        <is>
          <t>-120</t>
        </is>
      </c>
      <c r="F384" s="85" t="inlineStr">
        <is>
          <t>80</t>
        </is>
      </c>
      <c r="G384" s="85" t="inlineStr">
        <is>
          <t>0</t>
        </is>
      </c>
      <c r="H384" s="85" t="inlineStr">
        <is>
          <t>-13</t>
        </is>
      </c>
      <c r="I384" s="85" t="inlineStr">
        <is>
          <t>18</t>
        </is>
      </c>
      <c r="J384" s="85" t="inlineStr">
        <is>
          <t>0</t>
        </is>
      </c>
      <c r="K384" s="85" t="inlineStr">
        <is>
          <t>-120</t>
        </is>
      </c>
      <c r="L384" s="85" t="inlineStr">
        <is>
          <t>40</t>
        </is>
      </c>
      <c r="M384" s="85" t="inlineStr">
        <is>
          <t>0</t>
        </is>
      </c>
      <c r="N384" s="85" t="inlineStr">
        <is>
          <t>-10</t>
        </is>
      </c>
      <c r="O384" s="85" t="inlineStr">
        <is>
          <t>C3</t>
        </is>
      </c>
      <c r="P384" s="85" t="inlineStr">
        <is>
          <t>40</t>
        </is>
      </c>
      <c r="Q384" s="85" t="inlineStr">
        <is>
          <t>23</t>
        </is>
      </c>
      <c r="R384" s="85" t="inlineStr">
        <is>
          <t>-</t>
        </is>
      </c>
      <c r="S384" s="85" t="inlineStr">
        <is>
          <t>-</t>
        </is>
      </c>
      <c r="T384" s="85" t="inlineStr">
        <is>
          <t>-</t>
        </is>
      </c>
      <c r="U384" s="85" t="inlineStr">
        <is>
          <t>64</t>
        </is>
      </c>
      <c r="V384" s="85" t="inlineStr">
        <is>
          <t>58</t>
        </is>
      </c>
      <c r="W384" s="85" t="inlineStr">
        <is>
          <t>64</t>
        </is>
      </c>
      <c r="X384" s="85" t="inlineStr">
        <is>
          <t>58</t>
        </is>
      </c>
      <c r="Y384" s="85" t="inlineStr">
        <is>
          <t>-</t>
        </is>
      </c>
      <c r="Z384" s="85" t="inlineStr">
        <is>
          <t>-</t>
        </is>
      </c>
      <c r="AA384" s="88" t="inlineStr">
        <is>
          <t>-</t>
        </is>
      </c>
      <c r="AB384" s="85" t="inlineStr">
        <is>
          <t>-</t>
        </is>
      </c>
      <c r="AC384" s="89" t="inlineStr">
        <is>
          <t>08/03/2024</t>
        </is>
      </c>
      <c r="AD384" s="85" t="inlineStr">
        <is>
          <t>C</t>
        </is>
      </c>
    </row>
    <row r="385" ht="12.75" customHeight="1" s="123">
      <c r="A385" s="85" t="n">
        <v>383</v>
      </c>
      <c r="B385" s="31" t="inlineStr">
        <is>
          <t>BPB-041-LS04-2RST-YS</t>
        </is>
      </c>
      <c r="C385" s="50" t="n">
        <v>12</v>
      </c>
      <c r="D385" s="50" t="n">
        <v>0</v>
      </c>
      <c r="E385" s="50" t="n">
        <v>-120</v>
      </c>
      <c r="F385" s="50" t="n">
        <v>42</v>
      </c>
      <c r="G385" s="50" t="n">
        <v>0</v>
      </c>
      <c r="H385" s="50" t="n">
        <v>-11</v>
      </c>
      <c r="I385" s="50" t="n">
        <v>12</v>
      </c>
      <c r="J385" s="50" t="n">
        <v>0</v>
      </c>
      <c r="K385" s="50" t="n">
        <v>-120</v>
      </c>
      <c r="L385" s="50" t="n">
        <v>20</v>
      </c>
      <c r="M385" s="50" t="n">
        <v>0</v>
      </c>
      <c r="N385" s="50" t="n">
        <v>-10</v>
      </c>
      <c r="O385" s="56" t="inlineStr">
        <is>
          <t>C3</t>
        </is>
      </c>
      <c r="P385" s="50" t="n">
        <v>28</v>
      </c>
      <c r="Q385" s="50" t="n">
        <v>13</v>
      </c>
      <c r="R385" s="56" t="inlineStr">
        <is>
          <t>NO</t>
        </is>
      </c>
      <c r="S385" s="56" t="inlineStr">
        <is>
          <t>NO</t>
        </is>
      </c>
      <c r="T385" s="56" t="inlineStr">
        <is>
          <t>NO</t>
        </is>
      </c>
      <c r="U385" s="50" t="n">
        <v>62</v>
      </c>
      <c r="V385" s="50" t="n">
        <v>58</v>
      </c>
      <c r="W385" s="50" t="n">
        <v>62</v>
      </c>
      <c r="X385" s="50" t="n">
        <v>58</v>
      </c>
      <c r="Y385" s="62" t="n">
        <v>0.35</v>
      </c>
      <c r="Z385" s="56" t="inlineStr">
        <is>
          <t>Polyrex</t>
        </is>
      </c>
      <c r="AA385" s="56" t="inlineStr">
        <is>
          <t>0.0332 N.m</t>
        </is>
      </c>
      <c r="AB385" s="56" t="inlineStr">
        <is>
          <t>0.0155 N.m</t>
        </is>
      </c>
      <c r="AC385" s="53" t="n">
        <v>44049</v>
      </c>
      <c r="AD385" s="84" t="n">
        <v>0</v>
      </c>
    </row>
    <row r="386" ht="12.75" customHeight="1" s="123">
      <c r="A386" s="85" t="n">
        <v>384</v>
      </c>
      <c r="B386" s="31" t="inlineStr">
        <is>
          <t>BPB-041-MS02-2RS-ZJFD</t>
        </is>
      </c>
      <c r="C386" s="50" t="n">
        <v>11</v>
      </c>
      <c r="D386" s="50" t="n">
        <v>0</v>
      </c>
      <c r="E386" s="50" t="n">
        <v>-120</v>
      </c>
      <c r="F386" s="50" t="n">
        <v>35</v>
      </c>
      <c r="G386" s="50" t="n">
        <v>0</v>
      </c>
      <c r="H386" s="50" t="n">
        <v>-11</v>
      </c>
      <c r="I386" s="50" t="n">
        <v>11</v>
      </c>
      <c r="J386" s="50" t="n">
        <v>0</v>
      </c>
      <c r="K386" s="50" t="n">
        <v>-120</v>
      </c>
      <c r="L386" s="50" t="n">
        <v>15</v>
      </c>
      <c r="M386" s="50" t="n">
        <v>0</v>
      </c>
      <c r="N386" s="50" t="n">
        <v>-8</v>
      </c>
      <c r="O386" s="56" t="inlineStr">
        <is>
          <t>C3</t>
        </is>
      </c>
      <c r="P386" s="50" t="n">
        <v>25</v>
      </c>
      <c r="Q386" s="50" t="n">
        <v>11</v>
      </c>
      <c r="R386" s="56" t="inlineStr">
        <is>
          <t>NO</t>
        </is>
      </c>
      <c r="S386" s="56" t="inlineStr">
        <is>
          <t>NO</t>
        </is>
      </c>
      <c r="T386" s="56" t="inlineStr">
        <is>
          <t>NO</t>
        </is>
      </c>
      <c r="U386" s="50" t="n">
        <v>64</v>
      </c>
      <c r="V386" s="50" t="n">
        <v>58</v>
      </c>
      <c r="W386" s="50" t="n">
        <v>64</v>
      </c>
      <c r="X386" s="50" t="n">
        <v>58</v>
      </c>
      <c r="Y386" s="56" t="inlineStr">
        <is>
          <t>25%-35%</t>
        </is>
      </c>
      <c r="Z386" s="56" t="inlineStr">
        <is>
          <t>Grease</t>
        </is>
      </c>
      <c r="AA386" s="45" t="inlineStr">
        <is>
          <t>standard</t>
        </is>
      </c>
      <c r="AB386" s="45" t="inlineStr">
        <is>
          <t>standard</t>
        </is>
      </c>
      <c r="AC386" s="53" t="n">
        <v>44463</v>
      </c>
      <c r="AD386" s="84" t="inlineStr">
        <is>
          <t>B</t>
        </is>
      </c>
    </row>
    <row r="387" ht="12.75" customHeight="1" s="123">
      <c r="A387" s="85" t="n">
        <v>385</v>
      </c>
      <c r="B387" s="31" t="inlineStr">
        <is>
          <t>BPB-041-MS00-2RS-ZJFD</t>
        </is>
      </c>
      <c r="C387" s="50" t="n">
        <v>9</v>
      </c>
      <c r="D387" s="50" t="n">
        <v>0</v>
      </c>
      <c r="E387" s="50" t="n">
        <v>-120</v>
      </c>
      <c r="F387" s="50" t="n">
        <v>30</v>
      </c>
      <c r="G387" s="50" t="n">
        <v>0</v>
      </c>
      <c r="H387" s="50" t="n">
        <v>-9</v>
      </c>
      <c r="I387" s="50" t="n">
        <v>9</v>
      </c>
      <c r="J387" s="50" t="n">
        <v>0</v>
      </c>
      <c r="K387" s="50" t="n">
        <v>-120</v>
      </c>
      <c r="L387" s="50" t="n">
        <v>10</v>
      </c>
      <c r="M387" s="50" t="n">
        <v>0</v>
      </c>
      <c r="N387" s="50" t="n">
        <v>-8</v>
      </c>
      <c r="O387" s="50" t="inlineStr">
        <is>
          <t>C3</t>
        </is>
      </c>
      <c r="P387" s="50" t="n">
        <v>23</v>
      </c>
      <c r="Q387" s="50" t="n">
        <v>8</v>
      </c>
      <c r="R387" s="50" t="inlineStr">
        <is>
          <t>NO</t>
        </is>
      </c>
      <c r="S387" s="50" t="inlineStr">
        <is>
          <t>NO</t>
        </is>
      </c>
      <c r="T387" s="50" t="inlineStr">
        <is>
          <t>NO</t>
        </is>
      </c>
      <c r="U387" s="50" t="n">
        <v>64</v>
      </c>
      <c r="V387" s="50" t="n">
        <v>58</v>
      </c>
      <c r="W387" s="50" t="n">
        <v>64</v>
      </c>
      <c r="X387" s="50" t="n">
        <v>58</v>
      </c>
      <c r="Y387" s="50" t="inlineStr">
        <is>
          <t>0.89 gr - 0.78 gr</t>
        </is>
      </c>
      <c r="Z387" s="56" t="inlineStr">
        <is>
          <t>Polyrex</t>
        </is>
      </c>
      <c r="AA387" s="56" t="inlineStr">
        <is>
          <t>0.04 Nm</t>
        </is>
      </c>
      <c r="AB387" s="50" t="inlineStr">
        <is>
          <t>0.011 Nm</t>
        </is>
      </c>
      <c r="AC387" s="53" t="n">
        <v>44179</v>
      </c>
      <c r="AD387" s="84" t="n">
        <v>0</v>
      </c>
    </row>
    <row r="388" ht="12.75" customHeight="1" s="123">
      <c r="A388" s="85" t="n">
        <v>386</v>
      </c>
      <c r="B388" s="31" t="inlineStr">
        <is>
          <t>BPB-040-MG-206-RR3-CMI</t>
        </is>
      </c>
      <c r="C388" s="50" t="n">
        <v>19</v>
      </c>
      <c r="D388" s="50" t="n">
        <v>25</v>
      </c>
      <c r="E388" s="50" t="n">
        <v>-25</v>
      </c>
      <c r="F388" s="50" t="n">
        <v>70</v>
      </c>
      <c r="G388" s="50" t="n">
        <v>0</v>
      </c>
      <c r="H388" s="50" t="n">
        <v>-11</v>
      </c>
      <c r="I388" s="50" t="n">
        <v>23</v>
      </c>
      <c r="J388" s="50" t="inlineStr">
        <is>
          <t>NO</t>
        </is>
      </c>
      <c r="K388" s="50" t="inlineStr">
        <is>
          <t>NO</t>
        </is>
      </c>
      <c r="L388" s="50" t="n">
        <v>24</v>
      </c>
      <c r="M388" s="50" t="n">
        <v>15</v>
      </c>
      <c r="N388" s="50" t="n">
        <v>5</v>
      </c>
      <c r="O388" s="50" t="inlineStr">
        <is>
          <t>C0</t>
        </is>
      </c>
      <c r="P388" s="50" t="n">
        <v>20</v>
      </c>
      <c r="Q388" s="50" t="n">
        <v>5</v>
      </c>
      <c r="R388" s="50" t="inlineStr">
        <is>
          <t>NO</t>
        </is>
      </c>
      <c r="S388" s="50" t="inlineStr">
        <is>
          <t>NO</t>
        </is>
      </c>
      <c r="T388" s="50" t="inlineStr">
        <is>
          <t>NO</t>
        </is>
      </c>
      <c r="U388" s="50" t="n">
        <v>62</v>
      </c>
      <c r="V388" s="50" t="n">
        <v>58</v>
      </c>
      <c r="W388" s="50" t="n">
        <v>62</v>
      </c>
      <c r="X388" s="50" t="n">
        <v>58</v>
      </c>
      <c r="Y388" s="50" t="inlineStr">
        <is>
          <t>3.68 gr</t>
        </is>
      </c>
      <c r="Z388" s="50" t="inlineStr">
        <is>
          <t>Microlube GL 262</t>
        </is>
      </c>
      <c r="AA388" s="56" t="inlineStr">
        <is>
          <t>0.36 Nm</t>
        </is>
      </c>
      <c r="AB388" s="50" t="inlineStr">
        <is>
          <t>0.24 Nm</t>
        </is>
      </c>
      <c r="AC388" s="53" t="n">
        <v>45524</v>
      </c>
      <c r="AD388" s="84" t="inlineStr">
        <is>
          <t>E</t>
        </is>
      </c>
    </row>
    <row r="389" ht="12.75" customHeight="1" s="123">
      <c r="A389" s="85" t="n">
        <v>387</v>
      </c>
      <c r="B389" s="31" t="inlineStr">
        <is>
          <t>BPB-041-MS08-2RLD-ZJFD</t>
        </is>
      </c>
      <c r="C389" s="50" t="n">
        <v>18</v>
      </c>
      <c r="D389" s="50" t="n">
        <v>0</v>
      </c>
      <c r="E389" s="50" t="n">
        <v>-120</v>
      </c>
      <c r="F389" s="50" t="n">
        <v>80</v>
      </c>
      <c r="G389" s="50" t="n">
        <v>0</v>
      </c>
      <c r="H389" s="50" t="n">
        <v>-13</v>
      </c>
      <c r="I389" s="50" t="n">
        <v>18</v>
      </c>
      <c r="J389" s="50" t="n">
        <v>0</v>
      </c>
      <c r="K389" s="50" t="n">
        <v>-120</v>
      </c>
      <c r="L389" s="50" t="n">
        <v>40</v>
      </c>
      <c r="M389" s="50" t="n">
        <v>0</v>
      </c>
      <c r="N389" s="50" t="n">
        <v>-12</v>
      </c>
      <c r="O389" s="50" t="inlineStr">
        <is>
          <t>C3</t>
        </is>
      </c>
      <c r="P389" s="50" t="n">
        <v>33</v>
      </c>
      <c r="Q389" s="50" t="n">
        <v>15</v>
      </c>
      <c r="R389" s="50" t="inlineStr">
        <is>
          <t>C3</t>
        </is>
      </c>
      <c r="S389" s="50" t="n">
        <v>33</v>
      </c>
      <c r="T389" s="50" t="n">
        <v>15</v>
      </c>
      <c r="U389" s="50" t="n">
        <v>64</v>
      </c>
      <c r="V389" s="50" t="n">
        <v>58</v>
      </c>
      <c r="W389" s="50" t="n">
        <v>64</v>
      </c>
      <c r="X389" s="50" t="n">
        <v>58</v>
      </c>
      <c r="Y389" s="50" t="inlineStr">
        <is>
          <t>12.88 - 11.27 gr</t>
        </is>
      </c>
      <c r="Z389" s="50" t="inlineStr">
        <is>
          <t>Polyrex</t>
        </is>
      </c>
      <c r="AA389" s="56" t="inlineStr">
        <is>
          <t>0.17 Nm</t>
        </is>
      </c>
      <c r="AB389" s="50" t="inlineStr">
        <is>
          <t>0.1Nm</t>
        </is>
      </c>
      <c r="AC389" s="53" t="n">
        <v>44049</v>
      </c>
      <c r="AD389" s="84" t="n">
        <v>0</v>
      </c>
    </row>
    <row r="390" ht="12.75" customHeight="1" s="123">
      <c r="A390" s="85" t="n">
        <v>388</v>
      </c>
      <c r="B390" s="31" t="inlineStr">
        <is>
          <t>BPB-041-HD05-2RS-ZJFD</t>
        </is>
      </c>
      <c r="C390" s="50" t="n">
        <v>17</v>
      </c>
      <c r="D390" s="50" t="n">
        <v>0</v>
      </c>
      <c r="E390" s="50" t="n">
        <v>-120</v>
      </c>
      <c r="F390" s="50" t="n">
        <v>62</v>
      </c>
      <c r="G390" s="50" t="n">
        <v>0</v>
      </c>
      <c r="H390" s="50" t="n">
        <v>-13</v>
      </c>
      <c r="I390" s="50" t="n">
        <v>17</v>
      </c>
      <c r="J390" s="50" t="n">
        <v>0</v>
      </c>
      <c r="K390" s="50" t="n">
        <v>-120</v>
      </c>
      <c r="L390" s="50" t="n">
        <v>25</v>
      </c>
      <c r="M390" s="50" t="n">
        <v>0</v>
      </c>
      <c r="N390" s="50" t="n">
        <v>-10</v>
      </c>
      <c r="O390" s="50" t="inlineStr">
        <is>
          <t>C3</t>
        </is>
      </c>
      <c r="P390" s="50" t="n">
        <v>28</v>
      </c>
      <c r="Q390" s="50" t="n">
        <v>13</v>
      </c>
      <c r="R390" s="50" t="inlineStr">
        <is>
          <t>NO</t>
        </is>
      </c>
      <c r="S390" s="50" t="inlineStr">
        <is>
          <t>NO</t>
        </is>
      </c>
      <c r="T390" s="50" t="inlineStr">
        <is>
          <t>NO</t>
        </is>
      </c>
      <c r="U390" s="50" t="n">
        <v>64</v>
      </c>
      <c r="V390" s="50" t="n">
        <v>58</v>
      </c>
      <c r="W390" s="50" t="n">
        <v>64</v>
      </c>
      <c r="X390" s="50" t="n">
        <v>58</v>
      </c>
      <c r="Y390" s="50" t="inlineStr">
        <is>
          <t>2.667 - 3.7345 gr</t>
        </is>
      </c>
      <c r="Z390" s="50" t="inlineStr">
        <is>
          <t>GREASE</t>
        </is>
      </c>
      <c r="AA390" s="56" t="inlineStr">
        <is>
          <t>STANDARD</t>
        </is>
      </c>
      <c r="AB390" s="50" t="inlineStr">
        <is>
          <t>STANDARD</t>
        </is>
      </c>
      <c r="AC390" s="53" t="n">
        <v>44463</v>
      </c>
      <c r="AD390" s="84" t="inlineStr">
        <is>
          <t>A</t>
        </is>
      </c>
    </row>
    <row r="391" ht="12.75" customHeight="1" s="123">
      <c r="A391" s="85" t="n">
        <v>389</v>
      </c>
      <c r="B391" s="31" t="inlineStr">
        <is>
          <t>BPB-041-MS07-D-ZJFD</t>
        </is>
      </c>
      <c r="C391" s="50" t="n">
        <v>17</v>
      </c>
      <c r="D391" s="50" t="n">
        <v>0</v>
      </c>
      <c r="E391" s="50" t="n">
        <v>-120</v>
      </c>
      <c r="F391" s="50" t="n">
        <v>72</v>
      </c>
      <c r="G391" s="50" t="n">
        <v>0</v>
      </c>
      <c r="H391" s="50" t="n">
        <v>-13</v>
      </c>
      <c r="I391" s="50" t="n">
        <v>17</v>
      </c>
      <c r="J391" s="50" t="n">
        <v>0</v>
      </c>
      <c r="K391" s="50" t="n">
        <v>-120</v>
      </c>
      <c r="L391" s="50" t="n">
        <v>35</v>
      </c>
      <c r="M391" s="50" t="n">
        <v>0</v>
      </c>
      <c r="N391" s="50" t="n">
        <v>-12</v>
      </c>
      <c r="O391" s="50" t="inlineStr">
        <is>
          <t>C3</t>
        </is>
      </c>
      <c r="P391" s="50" t="n">
        <v>33</v>
      </c>
      <c r="Q391" s="50" t="n">
        <v>15</v>
      </c>
      <c r="R391" s="50" t="inlineStr">
        <is>
          <t>NO</t>
        </is>
      </c>
      <c r="S391" s="50" t="inlineStr">
        <is>
          <t>NO</t>
        </is>
      </c>
      <c r="T391" s="50" t="inlineStr">
        <is>
          <t>NO</t>
        </is>
      </c>
      <c r="U391" s="50" t="n">
        <v>64</v>
      </c>
      <c r="V391" s="50" t="n">
        <v>58</v>
      </c>
      <c r="W391" s="50" t="n">
        <v>64</v>
      </c>
      <c r="X391" s="50" t="n">
        <v>58</v>
      </c>
      <c r="Y391" s="50" t="inlineStr">
        <is>
          <t>-</t>
        </is>
      </c>
      <c r="Z391" s="50" t="inlineStr">
        <is>
          <t>-</t>
        </is>
      </c>
      <c r="AA391" s="56" t="inlineStr">
        <is>
          <t>-</t>
        </is>
      </c>
      <c r="AB391" s="50" t="inlineStr">
        <is>
          <t>-</t>
        </is>
      </c>
      <c r="AC391" s="53" t="n">
        <v>44452</v>
      </c>
      <c r="AD391" s="84" t="inlineStr">
        <is>
          <t>A</t>
        </is>
      </c>
    </row>
    <row r="392" ht="12.75" customHeight="1" s="123">
      <c r="A392" s="85" t="n">
        <v>390</v>
      </c>
      <c r="B392" s="31" t="inlineStr">
        <is>
          <t>BPB-041-HD01-2RS-ZJFD</t>
        </is>
      </c>
      <c r="C392" s="50" t="n">
        <v>12</v>
      </c>
      <c r="D392" s="50" t="n">
        <v>0</v>
      </c>
      <c r="E392" s="50" t="n">
        <v>-120</v>
      </c>
      <c r="F392" s="50" t="n">
        <v>37</v>
      </c>
      <c r="G392" s="50" t="n">
        <v>0</v>
      </c>
      <c r="H392" s="50" t="n">
        <v>-11</v>
      </c>
      <c r="I392" s="50" t="n">
        <v>12</v>
      </c>
      <c r="J392" s="50" t="n">
        <v>0</v>
      </c>
      <c r="K392" s="50" t="n">
        <v>-120</v>
      </c>
      <c r="L392" s="50" t="n">
        <v>12</v>
      </c>
      <c r="M392" s="50" t="n">
        <v>0</v>
      </c>
      <c r="N392" s="50" t="n">
        <v>-8</v>
      </c>
      <c r="O392" s="50" t="inlineStr">
        <is>
          <t>C3</t>
        </is>
      </c>
      <c r="P392" s="50" t="n">
        <v>25</v>
      </c>
      <c r="Q392" s="50" t="n">
        <v>11</v>
      </c>
      <c r="R392" s="50" t="inlineStr">
        <is>
          <t>NO</t>
        </is>
      </c>
      <c r="S392" s="50" t="inlineStr">
        <is>
          <t>NO</t>
        </is>
      </c>
      <c r="T392" s="50" t="inlineStr">
        <is>
          <t>NO</t>
        </is>
      </c>
      <c r="U392" s="50" t="n">
        <v>64</v>
      </c>
      <c r="V392" s="50" t="n">
        <v>58</v>
      </c>
      <c r="W392" s="50" t="n">
        <v>64</v>
      </c>
      <c r="X392" s="50" t="n">
        <v>58</v>
      </c>
      <c r="Y392" s="50" t="inlineStr">
        <is>
          <t>0.83 - 1.16 gr</t>
        </is>
      </c>
      <c r="Z392" s="50" t="inlineStr">
        <is>
          <t>Grease</t>
        </is>
      </c>
      <c r="AA392" s="56" t="inlineStr">
        <is>
          <t>standard</t>
        </is>
      </c>
      <c r="AB392" s="50" t="inlineStr">
        <is>
          <t>standard</t>
        </is>
      </c>
      <c r="AC392" s="53" t="n">
        <v>44463</v>
      </c>
      <c r="AD392" s="84" t="inlineStr">
        <is>
          <t>A</t>
        </is>
      </c>
    </row>
    <row r="393" ht="12.75" customHeight="1" s="123">
      <c r="A393" s="85" t="n">
        <v>391</v>
      </c>
      <c r="B393" s="31" t="inlineStr">
        <is>
          <t>BPB-041-HD06-2RS-ZJFD</t>
        </is>
      </c>
      <c r="C393" s="50" t="n">
        <v>19</v>
      </c>
      <c r="D393" s="50" t="n">
        <v>0</v>
      </c>
      <c r="E393" s="50" t="n">
        <v>-120</v>
      </c>
      <c r="F393" s="50" t="n">
        <v>72</v>
      </c>
      <c r="G393" s="50" t="n">
        <v>0</v>
      </c>
      <c r="H393" s="50" t="n">
        <v>-13</v>
      </c>
      <c r="I393" s="50" t="n">
        <v>19</v>
      </c>
      <c r="J393" s="50" t="n">
        <v>0</v>
      </c>
      <c r="K393" s="50" t="n">
        <v>-120</v>
      </c>
      <c r="L393" s="50" t="n">
        <v>30</v>
      </c>
      <c r="M393" s="50" t="n">
        <v>0</v>
      </c>
      <c r="N393" s="50" t="n">
        <v>-10</v>
      </c>
      <c r="O393" s="50" t="inlineStr">
        <is>
          <t>C3</t>
        </is>
      </c>
      <c r="P393" s="50" t="n">
        <v>28</v>
      </c>
      <c r="Q393" s="50" t="n">
        <v>13</v>
      </c>
      <c r="R393" s="50" t="inlineStr">
        <is>
          <t>NO</t>
        </is>
      </c>
      <c r="S393" s="50" t="inlineStr">
        <is>
          <t>NO</t>
        </is>
      </c>
      <c r="T393" s="50" t="inlineStr">
        <is>
          <t>NO</t>
        </is>
      </c>
      <c r="U393" s="50" t="n">
        <v>64</v>
      </c>
      <c r="V393" s="50" t="n">
        <v>58</v>
      </c>
      <c r="W393" s="50" t="n">
        <v>64</v>
      </c>
      <c r="X393" s="50" t="n">
        <v>58</v>
      </c>
      <c r="Y393" s="50" t="inlineStr">
        <is>
          <t>3.525-4.935gr</t>
        </is>
      </c>
      <c r="Z393" s="50" t="inlineStr">
        <is>
          <t>Grease</t>
        </is>
      </c>
      <c r="AA393" s="56" t="inlineStr">
        <is>
          <t>standard</t>
        </is>
      </c>
      <c r="AB393" s="50" t="inlineStr">
        <is>
          <t>standard</t>
        </is>
      </c>
      <c r="AC393" s="53" t="n">
        <v>44463</v>
      </c>
      <c r="AD393" s="84" t="inlineStr">
        <is>
          <t>A</t>
        </is>
      </c>
    </row>
    <row r="394" ht="12.75" customHeight="1" s="123">
      <c r="A394" s="85" t="n">
        <v>392</v>
      </c>
      <c r="B394" s="31" t="inlineStr">
        <is>
          <t>BPB-041-HD07-2RS-ZJFD</t>
        </is>
      </c>
      <c r="C394" s="50" t="n">
        <v>21</v>
      </c>
      <c r="D394" s="50" t="n">
        <v>0</v>
      </c>
      <c r="E394" s="50" t="n">
        <v>-120</v>
      </c>
      <c r="F394" s="50" t="n">
        <v>80</v>
      </c>
      <c r="G394" s="50" t="n">
        <v>0</v>
      </c>
      <c r="H394" s="50" t="n">
        <v>-13</v>
      </c>
      <c r="I394" s="50" t="n">
        <v>21</v>
      </c>
      <c r="J394" s="50" t="n">
        <v>0</v>
      </c>
      <c r="K394" s="50" t="n">
        <v>-120</v>
      </c>
      <c r="L394" s="50" t="n">
        <v>35</v>
      </c>
      <c r="M394" s="50" t="n">
        <v>0</v>
      </c>
      <c r="N394" s="50" t="n">
        <v>-12</v>
      </c>
      <c r="O394" s="50" t="inlineStr">
        <is>
          <t>C3</t>
        </is>
      </c>
      <c r="P394" s="50" t="n">
        <v>33</v>
      </c>
      <c r="Q394" s="50" t="n">
        <v>15</v>
      </c>
      <c r="R394" s="50" t="inlineStr">
        <is>
          <t>NO</t>
        </is>
      </c>
      <c r="S394" s="50" t="inlineStr">
        <is>
          <t>NO</t>
        </is>
      </c>
      <c r="T394" s="50" t="inlineStr">
        <is>
          <t>NO</t>
        </is>
      </c>
      <c r="U394" s="50" t="n">
        <v>64</v>
      </c>
      <c r="V394" s="50" t="n">
        <v>58</v>
      </c>
      <c r="W394" s="50" t="n">
        <v>64</v>
      </c>
      <c r="X394" s="50" t="n">
        <v>58</v>
      </c>
      <c r="Y394" s="50" t="inlineStr">
        <is>
          <t>5.03-7.04gr</t>
        </is>
      </c>
      <c r="Z394" s="50" t="inlineStr">
        <is>
          <t>Grease</t>
        </is>
      </c>
      <c r="AA394" s="56" t="inlineStr">
        <is>
          <t>standard</t>
        </is>
      </c>
      <c r="AB394" s="50" t="inlineStr">
        <is>
          <t>standard</t>
        </is>
      </c>
      <c r="AC394" s="53" t="n">
        <v>44463</v>
      </c>
      <c r="AD394" s="84" t="inlineStr">
        <is>
          <t>A</t>
        </is>
      </c>
    </row>
    <row r="395" ht="12.75" customHeight="1" s="123">
      <c r="A395" s="85" t="n">
        <v>393</v>
      </c>
      <c r="B395" s="31" t="inlineStr">
        <is>
          <t>BPB-041-HD07-D-ZJFD</t>
        </is>
      </c>
      <c r="C395" s="50" t="n">
        <v>21</v>
      </c>
      <c r="D395" s="50" t="n">
        <v>0</v>
      </c>
      <c r="E395" s="50" t="n">
        <v>-120</v>
      </c>
      <c r="F395" s="50" t="n">
        <v>80</v>
      </c>
      <c r="G395" s="50" t="n">
        <v>0</v>
      </c>
      <c r="H395" s="50" t="n">
        <v>-13</v>
      </c>
      <c r="I395" s="50" t="n">
        <v>21</v>
      </c>
      <c r="J395" s="50" t="n">
        <v>0</v>
      </c>
      <c r="K395" s="50" t="n">
        <v>-120</v>
      </c>
      <c r="L395" s="50" t="n">
        <v>35</v>
      </c>
      <c r="M395" s="50" t="n">
        <v>0</v>
      </c>
      <c r="N395" s="50" t="n">
        <v>-12</v>
      </c>
      <c r="O395" s="50" t="inlineStr">
        <is>
          <t>C3</t>
        </is>
      </c>
      <c r="P395" s="50" t="n">
        <v>33</v>
      </c>
      <c r="Q395" s="50" t="n">
        <v>15</v>
      </c>
      <c r="R395" s="50" t="inlineStr">
        <is>
          <t>NO</t>
        </is>
      </c>
      <c r="S395" s="50" t="inlineStr">
        <is>
          <t>NO</t>
        </is>
      </c>
      <c r="T395" s="50" t="inlineStr">
        <is>
          <t>NO</t>
        </is>
      </c>
      <c r="U395" s="50" t="n">
        <v>64</v>
      </c>
      <c r="V395" s="50" t="n">
        <v>58</v>
      </c>
      <c r="W395" s="50" t="n">
        <v>64</v>
      </c>
      <c r="X395" s="50" t="n">
        <v>58</v>
      </c>
      <c r="Y395" s="50" t="inlineStr">
        <is>
          <t>-</t>
        </is>
      </c>
      <c r="Z395" s="50" t="inlineStr">
        <is>
          <t>-</t>
        </is>
      </c>
      <c r="AA395" s="56" t="inlineStr">
        <is>
          <t>-</t>
        </is>
      </c>
      <c r="AB395" s="50" t="inlineStr">
        <is>
          <t>-</t>
        </is>
      </c>
      <c r="AC395" s="53" t="n">
        <v>44463</v>
      </c>
      <c r="AD395" s="84" t="inlineStr">
        <is>
          <t>A</t>
        </is>
      </c>
    </row>
    <row r="396" ht="12.75" customHeight="1" s="123">
      <c r="A396" s="85" t="n">
        <v>394</v>
      </c>
      <c r="B396" s="31" t="inlineStr">
        <is>
          <t>B&amp;P-041-608-2RS-YS</t>
        </is>
      </c>
      <c r="C396" s="50" t="n">
        <v>7</v>
      </c>
      <c r="D396" s="50" t="n">
        <v>0</v>
      </c>
      <c r="E396" s="50" t="n">
        <v>-120</v>
      </c>
      <c r="F396" s="50" t="n">
        <v>22</v>
      </c>
      <c r="G396" s="50" t="n">
        <v>0</v>
      </c>
      <c r="H396" s="50" t="n">
        <v>-8</v>
      </c>
      <c r="I396" s="50" t="n">
        <v>7</v>
      </c>
      <c r="J396" s="50" t="n">
        <v>0</v>
      </c>
      <c r="K396" s="50" t="n">
        <v>-120</v>
      </c>
      <c r="L396" s="50" t="n">
        <v>8</v>
      </c>
      <c r="M396" s="50" t="n">
        <v>0</v>
      </c>
      <c r="N396" s="50" t="n">
        <v>-7</v>
      </c>
      <c r="O396" s="50" t="inlineStr">
        <is>
          <t>C3</t>
        </is>
      </c>
      <c r="P396" s="50" t="n">
        <v>23</v>
      </c>
      <c r="Q396" s="50" t="n">
        <v>8</v>
      </c>
      <c r="R396" s="50" t="inlineStr">
        <is>
          <t>NO</t>
        </is>
      </c>
      <c r="S396" s="50" t="inlineStr">
        <is>
          <t>NO</t>
        </is>
      </c>
      <c r="T396" s="50" t="inlineStr">
        <is>
          <t>NO</t>
        </is>
      </c>
      <c r="U396" s="50" t="n">
        <v>64</v>
      </c>
      <c r="V396" s="50" t="n">
        <v>58</v>
      </c>
      <c r="W396" s="50" t="n">
        <v>64</v>
      </c>
      <c r="X396" s="50" t="n">
        <v>58</v>
      </c>
      <c r="Y396" s="50" t="inlineStr">
        <is>
          <t>25-35%</t>
        </is>
      </c>
      <c r="Z396" s="50" t="inlineStr">
        <is>
          <t>Polyrex</t>
        </is>
      </c>
      <c r="AA396" s="56" t="inlineStr">
        <is>
          <t>standard</t>
        </is>
      </c>
      <c r="AB396" s="50" t="inlineStr">
        <is>
          <t>standard</t>
        </is>
      </c>
      <c r="AC396" s="53" t="n">
        <v>45755</v>
      </c>
      <c r="AD396" s="84" t="inlineStr">
        <is>
          <t>E</t>
        </is>
      </c>
    </row>
    <row r="397" ht="12.75" customHeight="1" s="123">
      <c r="A397" s="85" t="n">
        <v>395</v>
      </c>
      <c r="B397" s="31" t="inlineStr">
        <is>
          <t>B&amp;P-041-TS05-2RS-YS</t>
        </is>
      </c>
      <c r="C397" s="50" t="n">
        <v>9</v>
      </c>
      <c r="D397" s="50" t="n">
        <v>0</v>
      </c>
      <c r="E397" s="50" t="n">
        <v>-120</v>
      </c>
      <c r="F397" s="50" t="n">
        <v>42</v>
      </c>
      <c r="G397" s="50" t="n">
        <v>0</v>
      </c>
      <c r="H397" s="50" t="n">
        <v>-9</v>
      </c>
      <c r="I397" s="50" t="n">
        <v>9</v>
      </c>
      <c r="J397" s="50" t="n">
        <v>0</v>
      </c>
      <c r="K397" s="50" t="n">
        <v>-120</v>
      </c>
      <c r="L397" s="50" t="n">
        <v>25</v>
      </c>
      <c r="M397" s="50" t="n">
        <v>0</v>
      </c>
      <c r="N397" s="50" t="n">
        <v>-8</v>
      </c>
      <c r="O397" s="56" t="inlineStr">
        <is>
          <t>C0</t>
        </is>
      </c>
      <c r="P397" s="50" t="n">
        <v>20</v>
      </c>
      <c r="Q397" s="50" t="n">
        <v>5</v>
      </c>
      <c r="R397" s="50" t="inlineStr">
        <is>
          <t>NO</t>
        </is>
      </c>
      <c r="S397" s="50" t="inlineStr">
        <is>
          <t>NO</t>
        </is>
      </c>
      <c r="T397" s="50" t="inlineStr">
        <is>
          <t>NO</t>
        </is>
      </c>
      <c r="U397" s="50" t="n">
        <v>64</v>
      </c>
      <c r="V397" s="50" t="n">
        <v>60</v>
      </c>
      <c r="W397" s="50" t="n">
        <v>64</v>
      </c>
      <c r="X397" s="50" t="n">
        <v>60</v>
      </c>
      <c r="Y397" s="56" t="inlineStr">
        <is>
          <t>25-35%</t>
        </is>
      </c>
      <c r="Z397" s="56" t="inlineStr">
        <is>
          <t>Polyrex</t>
        </is>
      </c>
      <c r="AA397" s="56" t="inlineStr">
        <is>
          <t>standard</t>
        </is>
      </c>
      <c r="AB397" s="50" t="inlineStr">
        <is>
          <t>standard</t>
        </is>
      </c>
      <c r="AC397" s="53" t="n">
        <v>45516</v>
      </c>
      <c r="AD397" s="84" t="n">
        <v>0</v>
      </c>
    </row>
    <row r="398" ht="12.75" customHeight="1" s="123">
      <c r="A398" s="85" t="n">
        <v>396</v>
      </c>
      <c r="B398" s="31" t="inlineStr">
        <is>
          <t>B&amp;P-041-MS07-2RST-YS</t>
        </is>
      </c>
      <c r="C398" s="50" t="n">
        <v>17</v>
      </c>
      <c r="D398" s="50" t="n">
        <v>0</v>
      </c>
      <c r="E398" s="50" t="n">
        <v>-120</v>
      </c>
      <c r="F398" s="50" t="n">
        <v>72</v>
      </c>
      <c r="G398" s="50" t="n">
        <v>0</v>
      </c>
      <c r="H398" s="50" t="n">
        <v>-13</v>
      </c>
      <c r="I398" s="50" t="n">
        <v>17</v>
      </c>
      <c r="J398" s="50" t="n">
        <v>0</v>
      </c>
      <c r="K398" s="50" t="n">
        <v>-120</v>
      </c>
      <c r="L398" s="50" t="n">
        <v>35</v>
      </c>
      <c r="M398" s="50" t="n">
        <v>0</v>
      </c>
      <c r="N398" s="50" t="n">
        <v>-12</v>
      </c>
      <c r="O398" s="50" t="inlineStr">
        <is>
          <t>C3</t>
        </is>
      </c>
      <c r="P398" s="50" t="n">
        <v>33</v>
      </c>
      <c r="Q398" s="50" t="n">
        <v>15</v>
      </c>
      <c r="R398" s="50" t="inlineStr">
        <is>
          <t>NO</t>
        </is>
      </c>
      <c r="S398" s="50" t="inlineStr">
        <is>
          <t>NO</t>
        </is>
      </c>
      <c r="T398" s="50" t="inlineStr">
        <is>
          <t>NO</t>
        </is>
      </c>
      <c r="U398" s="50" t="n">
        <v>62</v>
      </c>
      <c r="V398" s="50" t="n">
        <v>58</v>
      </c>
      <c r="W398" s="50" t="n">
        <v>62</v>
      </c>
      <c r="X398" s="50" t="n">
        <v>58</v>
      </c>
      <c r="Y398" s="50" t="inlineStr">
        <is>
          <t>9.12 - 10.43 gr</t>
        </is>
      </c>
      <c r="Z398" s="50" t="inlineStr">
        <is>
          <t>Polyrex</t>
        </is>
      </c>
      <c r="AA398" s="56" t="inlineStr">
        <is>
          <t>0.12Nm</t>
        </is>
      </c>
      <c r="AB398" s="50" t="inlineStr">
        <is>
          <t>0.05Nm</t>
        </is>
      </c>
      <c r="AC398" s="53" t="n">
        <v>44958</v>
      </c>
      <c r="AD398" s="84" t="inlineStr">
        <is>
          <t>D</t>
        </is>
      </c>
    </row>
    <row r="399" ht="12.75" customHeight="1" s="123">
      <c r="A399" s="85" t="n">
        <v>397</v>
      </c>
      <c r="B399" s="31" t="inlineStr">
        <is>
          <t>B&amp;P-041-HD03-2RST-YS</t>
        </is>
      </c>
      <c r="C399" s="50" t="n">
        <v>14</v>
      </c>
      <c r="D399" s="50" t="n">
        <v>0</v>
      </c>
      <c r="E399" s="50" t="n">
        <v>-120</v>
      </c>
      <c r="F399" s="50" t="n">
        <v>47</v>
      </c>
      <c r="G399" s="50" t="n">
        <v>0</v>
      </c>
      <c r="H399" s="50" t="n">
        <v>-9</v>
      </c>
      <c r="I399" s="50" t="n">
        <v>14</v>
      </c>
      <c r="J399" s="50" t="n">
        <v>0</v>
      </c>
      <c r="K399" s="50" t="n">
        <v>-120</v>
      </c>
      <c r="L399" s="50" t="n">
        <v>17</v>
      </c>
      <c r="M399" s="50" t="n">
        <v>0</v>
      </c>
      <c r="N399" s="50" t="n">
        <v>-7</v>
      </c>
      <c r="O399" s="50" t="inlineStr">
        <is>
          <t>C3</t>
        </is>
      </c>
      <c r="P399" s="50" t="n">
        <v>25</v>
      </c>
      <c r="Q399" s="50" t="n">
        <v>11</v>
      </c>
      <c r="R399" s="50" t="inlineStr">
        <is>
          <t>NO</t>
        </is>
      </c>
      <c r="S399" s="50" t="inlineStr">
        <is>
          <t>NO</t>
        </is>
      </c>
      <c r="T399" s="50" t="inlineStr">
        <is>
          <t>NO</t>
        </is>
      </c>
      <c r="U399" s="50" t="n">
        <v>64</v>
      </c>
      <c r="V399" s="50" t="n">
        <v>58</v>
      </c>
      <c r="W399" s="50" t="n">
        <v>64</v>
      </c>
      <c r="X399" s="50" t="n">
        <v>58</v>
      </c>
      <c r="Y399" s="50" t="inlineStr">
        <is>
          <t>3.584 - 4.096 gr</t>
        </is>
      </c>
      <c r="Z399" s="50" t="inlineStr">
        <is>
          <t>Polyrex</t>
        </is>
      </c>
      <c r="AA399" s="56" t="inlineStr">
        <is>
          <t>0.0388Nm</t>
        </is>
      </c>
      <c r="AB399" s="50" t="inlineStr">
        <is>
          <t>0.0225Nm</t>
        </is>
      </c>
      <c r="AC399" s="53" t="inlineStr">
        <is>
          <t>12/09/203</t>
        </is>
      </c>
      <c r="AD399" s="84" t="inlineStr">
        <is>
          <t>B</t>
        </is>
      </c>
    </row>
    <row r="400" ht="12.75" customHeight="1" s="123">
      <c r="A400" s="85" t="n">
        <v>398</v>
      </c>
      <c r="B400" s="31" t="inlineStr">
        <is>
          <t>BPB-041-6202-ZZ</t>
        </is>
      </c>
      <c r="C400" s="50" t="n">
        <v>11</v>
      </c>
      <c r="D400" s="50" t="n">
        <v>0</v>
      </c>
      <c r="E400" s="50" t="n">
        <v>-12</v>
      </c>
      <c r="F400" s="50" t="n">
        <v>35</v>
      </c>
      <c r="G400" s="50" t="n">
        <v>0</v>
      </c>
      <c r="H400" s="50" t="n">
        <v>-11</v>
      </c>
      <c r="I400" s="50" t="n">
        <v>11</v>
      </c>
      <c r="J400" s="50" t="n">
        <v>0</v>
      </c>
      <c r="K400" s="50" t="n">
        <v>-12</v>
      </c>
      <c r="L400" s="50" t="n">
        <v>15</v>
      </c>
      <c r="M400" s="50" t="n">
        <v>0</v>
      </c>
      <c r="N400" s="50" t="n">
        <v>-8</v>
      </c>
      <c r="O400" s="50" t="inlineStr">
        <is>
          <t>c3</t>
        </is>
      </c>
      <c r="P400" s="50" t="n">
        <v>25</v>
      </c>
      <c r="Q400" s="50" t="n">
        <v>11</v>
      </c>
      <c r="R400" s="50" t="inlineStr">
        <is>
          <t>NO</t>
        </is>
      </c>
      <c r="S400" s="50" t="inlineStr">
        <is>
          <t>NO</t>
        </is>
      </c>
      <c r="T400" s="50" t="inlineStr">
        <is>
          <t>NO</t>
        </is>
      </c>
      <c r="U400" s="50" t="n">
        <v>64</v>
      </c>
      <c r="V400" s="50" t="n">
        <v>58</v>
      </c>
      <c r="W400" s="50" t="n">
        <v>64</v>
      </c>
      <c r="X400" s="50" t="n">
        <v>58</v>
      </c>
      <c r="Y400" s="50" t="inlineStr">
        <is>
          <t>0.75 - 1.05 gr</t>
        </is>
      </c>
      <c r="Z400" s="50" t="inlineStr">
        <is>
          <t>GREASE</t>
        </is>
      </c>
      <c r="AA400" s="56" t="inlineStr">
        <is>
          <t>no</t>
        </is>
      </c>
      <c r="AB400" s="50" t="inlineStr">
        <is>
          <t>no</t>
        </is>
      </c>
      <c r="AC400" s="53" t="n">
        <v>42303</v>
      </c>
      <c r="AD400" s="84" t="n">
        <v>0</v>
      </c>
    </row>
    <row r="401" ht="12.75" customHeight="1" s="123">
      <c r="A401" s="85" t="n">
        <v>399</v>
      </c>
      <c r="B401" s="31" t="inlineStr">
        <is>
          <t>B&amp;P-041-LS11-D-ZJFD</t>
        </is>
      </c>
      <c r="C401" s="50" t="n">
        <v>18</v>
      </c>
      <c r="D401" s="50" t="n">
        <v>0</v>
      </c>
      <c r="E401" s="50" t="n">
        <v>-150</v>
      </c>
      <c r="F401" s="50" t="n">
        <v>90</v>
      </c>
      <c r="G401" s="50" t="n">
        <v>0</v>
      </c>
      <c r="H401" s="50" t="n">
        <v>-13</v>
      </c>
      <c r="I401" s="50" t="n">
        <v>18</v>
      </c>
      <c r="J401" s="50" t="n">
        <v>0</v>
      </c>
      <c r="K401" s="50" t="n">
        <v>-150</v>
      </c>
      <c r="L401" s="50" t="n">
        <v>55</v>
      </c>
      <c r="M401" s="50" t="n">
        <v>0</v>
      </c>
      <c r="N401" s="50" t="n">
        <v>-12</v>
      </c>
      <c r="O401" s="50" t="inlineStr">
        <is>
          <t>C3</t>
        </is>
      </c>
      <c r="P401" s="50" t="n">
        <v>43</v>
      </c>
      <c r="Q401" s="50" t="n">
        <v>23</v>
      </c>
      <c r="R401" s="50" t="inlineStr">
        <is>
          <t>NO</t>
        </is>
      </c>
      <c r="S401" s="50" t="inlineStr">
        <is>
          <t>NO</t>
        </is>
      </c>
      <c r="T401" s="50" t="inlineStr">
        <is>
          <t>NO</t>
        </is>
      </c>
      <c r="U401" s="50" t="n">
        <v>65</v>
      </c>
      <c r="V401" s="50" t="n">
        <v>60</v>
      </c>
      <c r="W401" s="50" t="n">
        <v>65</v>
      </c>
      <c r="X401" s="50" t="n">
        <v>60</v>
      </c>
      <c r="Y401" s="50" t="inlineStr">
        <is>
          <t>-</t>
        </is>
      </c>
      <c r="Z401" s="50" t="inlineStr">
        <is>
          <t>-</t>
        </is>
      </c>
      <c r="AA401" s="56" t="inlineStr">
        <is>
          <t>-</t>
        </is>
      </c>
      <c r="AB401" s="50" t="inlineStr">
        <is>
          <t>-</t>
        </is>
      </c>
      <c r="AC401" s="53" t="n">
        <v>44795</v>
      </c>
      <c r="AD401" s="84" t="inlineStr">
        <is>
          <t>D</t>
        </is>
      </c>
    </row>
    <row r="402" ht="12.75" customHeight="1" s="123">
      <c r="A402" s="85" t="n">
        <v>400</v>
      </c>
      <c r="B402" s="31" t="inlineStr">
        <is>
          <t>BPB-041-HD04-2RS-ZJFD</t>
        </is>
      </c>
      <c r="C402" s="50" t="n">
        <v>15</v>
      </c>
      <c r="D402" s="50" t="n">
        <v>0</v>
      </c>
      <c r="E402" s="50" t="n">
        <v>-120</v>
      </c>
      <c r="F402" s="50" t="n">
        <v>52</v>
      </c>
      <c r="G402" s="50" t="n">
        <v>0</v>
      </c>
      <c r="H402" s="50" t="n">
        <v>-13</v>
      </c>
      <c r="I402" s="50" t="n">
        <v>15</v>
      </c>
      <c r="J402" s="50" t="n">
        <v>0</v>
      </c>
      <c r="K402" s="50" t="n">
        <v>-120</v>
      </c>
      <c r="L402" s="50" t="n">
        <v>20</v>
      </c>
      <c r="M402" s="50" t="n">
        <v>0</v>
      </c>
      <c r="N402" s="50" t="n">
        <v>-10</v>
      </c>
      <c r="O402" s="50" t="inlineStr">
        <is>
          <t>C3</t>
        </is>
      </c>
      <c r="P402" s="50" t="n">
        <v>28</v>
      </c>
      <c r="Q402" s="50" t="n">
        <v>13</v>
      </c>
      <c r="R402" s="50" t="inlineStr">
        <is>
          <t>NO</t>
        </is>
      </c>
      <c r="S402" s="50" t="inlineStr">
        <is>
          <t>NO</t>
        </is>
      </c>
      <c r="T402" s="50" t="inlineStr">
        <is>
          <t>NO</t>
        </is>
      </c>
      <c r="U402" s="50" t="n">
        <v>64</v>
      </c>
      <c r="V402" s="50" t="n">
        <v>58</v>
      </c>
      <c r="W402" s="50" t="n">
        <v>64</v>
      </c>
      <c r="X402" s="50" t="n">
        <v>58</v>
      </c>
      <c r="Y402" s="50" t="inlineStr">
        <is>
          <t>1.5225-2.1315gr</t>
        </is>
      </c>
      <c r="Z402" s="50" t="inlineStr">
        <is>
          <t>standard</t>
        </is>
      </c>
      <c r="AA402" s="56" t="inlineStr">
        <is>
          <t>standard</t>
        </is>
      </c>
      <c r="AB402" s="50" t="inlineStr">
        <is>
          <t>standard</t>
        </is>
      </c>
      <c r="AC402" s="53" t="n">
        <v>44463</v>
      </c>
      <c r="AD402" s="84" t="inlineStr">
        <is>
          <t>A</t>
        </is>
      </c>
    </row>
    <row r="403" ht="12.75" customHeight="1" s="123">
      <c r="A403" s="85" t="n">
        <v>401</v>
      </c>
      <c r="B403" s="31" t="inlineStr">
        <is>
          <t>BPB-041-LS04-2RS-ZJFD</t>
        </is>
      </c>
      <c r="C403" s="50" t="n">
        <v>12</v>
      </c>
      <c r="D403" s="50" t="n">
        <v>0</v>
      </c>
      <c r="E403" s="50" t="n">
        <v>-120</v>
      </c>
      <c r="F403" s="50" t="n">
        <v>42</v>
      </c>
      <c r="G403" s="50" t="n">
        <v>0</v>
      </c>
      <c r="H403" s="50" t="n">
        <v>-11</v>
      </c>
      <c r="I403" s="50" t="n">
        <v>12</v>
      </c>
      <c r="J403" s="50" t="n">
        <v>0</v>
      </c>
      <c r="K403" s="50" t="n">
        <v>-120</v>
      </c>
      <c r="L403" s="50" t="n">
        <v>20</v>
      </c>
      <c r="M403" s="50" t="n">
        <v>0</v>
      </c>
      <c r="N403" s="50" t="n">
        <v>-10</v>
      </c>
      <c r="O403" s="50" t="inlineStr">
        <is>
          <t>C3</t>
        </is>
      </c>
      <c r="P403" s="50" t="n">
        <v>28</v>
      </c>
      <c r="Q403" s="50" t="n">
        <v>13</v>
      </c>
      <c r="R403" s="50" t="inlineStr">
        <is>
          <t>NO</t>
        </is>
      </c>
      <c r="S403" s="50" t="inlineStr">
        <is>
          <t>NO</t>
        </is>
      </c>
      <c r="T403" s="50" t="inlineStr">
        <is>
          <t>NO</t>
        </is>
      </c>
      <c r="U403" s="50" t="n">
        <v>64</v>
      </c>
      <c r="V403" s="50" t="n">
        <v>58</v>
      </c>
      <c r="W403" s="50" t="n">
        <v>64</v>
      </c>
      <c r="X403" s="50" t="n">
        <v>58</v>
      </c>
      <c r="Y403" s="50" t="inlineStr">
        <is>
          <t>30-40%</t>
        </is>
      </c>
      <c r="Z403" s="50" t="inlineStr">
        <is>
          <t>standard</t>
        </is>
      </c>
      <c r="AA403" s="56" t="inlineStr">
        <is>
          <t>0.0332Nm</t>
        </is>
      </c>
      <c r="AB403" s="50" t="inlineStr">
        <is>
          <t>0.0155Nm</t>
        </is>
      </c>
      <c r="AC403" s="53" t="n">
        <v>44463</v>
      </c>
      <c r="AD403" s="84" t="inlineStr">
        <is>
          <t>A</t>
        </is>
      </c>
    </row>
    <row r="404" ht="12.75" customHeight="1" s="123">
      <c r="A404" s="85" t="n">
        <v>402</v>
      </c>
      <c r="B404" s="30" t="inlineStr">
        <is>
          <t>BPB-041-LS06-2RS -ZJFD</t>
        </is>
      </c>
      <c r="C404" s="38" t="n">
        <v>13</v>
      </c>
      <c r="D404" s="38" t="n">
        <v>0</v>
      </c>
      <c r="E404" s="38" t="n">
        <v>-120</v>
      </c>
      <c r="F404" s="38" t="n">
        <v>55</v>
      </c>
      <c r="G404" s="38" t="n">
        <v>0</v>
      </c>
      <c r="H404" s="38" t="n">
        <v>-13</v>
      </c>
      <c r="I404" s="38" t="n">
        <v>13</v>
      </c>
      <c r="J404" s="38" t="n">
        <v>0</v>
      </c>
      <c r="K404" s="38" t="n">
        <v>-120</v>
      </c>
      <c r="L404" s="38" t="n">
        <v>30</v>
      </c>
      <c r="M404" s="38" t="n">
        <v>0</v>
      </c>
      <c r="N404" s="38" t="n">
        <v>-10</v>
      </c>
      <c r="O404" s="38" t="inlineStr">
        <is>
          <t>C3</t>
        </is>
      </c>
      <c r="P404" s="38" t="n">
        <v>28</v>
      </c>
      <c r="Q404" s="38" t="n">
        <v>13</v>
      </c>
      <c r="R404" s="38" t="inlineStr">
        <is>
          <t>NO</t>
        </is>
      </c>
      <c r="S404" s="38" t="inlineStr">
        <is>
          <t>NO</t>
        </is>
      </c>
      <c r="T404" s="38" t="inlineStr">
        <is>
          <t>NO</t>
        </is>
      </c>
      <c r="U404" s="38" t="n">
        <v>64</v>
      </c>
      <c r="V404" s="38" t="n">
        <v>58</v>
      </c>
      <c r="W404" s="38" t="n">
        <v>64</v>
      </c>
      <c r="X404" s="38" t="n">
        <v>58</v>
      </c>
      <c r="Y404" s="38" t="inlineStr">
        <is>
          <t>3,4 - 3,9</t>
        </is>
      </c>
      <c r="Z404" s="38" t="inlineStr">
        <is>
          <t>Polyrex</t>
        </is>
      </c>
      <c r="AA404" s="45" t="inlineStr">
        <is>
          <t>3,1cNm / 0,031Nm</t>
        </is>
      </c>
      <c r="AB404" s="45" t="inlineStr">
        <is>
          <t>2,4cNm / 0,024Nm</t>
        </is>
      </c>
      <c r="AC404" s="44" t="n">
        <v>44452</v>
      </c>
      <c r="AD404" s="57" t="n">
        <v>0</v>
      </c>
    </row>
    <row r="405" ht="12.75" customHeight="1" s="123">
      <c r="A405" s="85" t="n">
        <v>403</v>
      </c>
      <c r="B405" s="30" t="inlineStr">
        <is>
          <t>BPB-041-MS10-2RS-ZJFD</t>
        </is>
      </c>
      <c r="C405" s="38" t="n">
        <v>20</v>
      </c>
      <c r="D405" s="38" t="n">
        <v>0</v>
      </c>
      <c r="E405" s="38" t="n">
        <v>-120</v>
      </c>
      <c r="F405" s="38" t="n">
        <v>90</v>
      </c>
      <c r="G405" s="38" t="n">
        <v>0</v>
      </c>
      <c r="H405" s="38" t="n">
        <v>-15</v>
      </c>
      <c r="I405" s="38" t="n">
        <v>20</v>
      </c>
      <c r="J405" s="38" t="n">
        <v>0</v>
      </c>
      <c r="K405" s="38" t="n">
        <v>-120</v>
      </c>
      <c r="L405" s="38" t="n">
        <v>50</v>
      </c>
      <c r="M405" s="38" t="n">
        <v>0</v>
      </c>
      <c r="N405" s="38" t="n">
        <v>-12</v>
      </c>
      <c r="O405" s="38" t="inlineStr">
        <is>
          <t>C3</t>
        </is>
      </c>
      <c r="P405" s="38" t="n">
        <v>13</v>
      </c>
      <c r="Q405" s="38" t="n">
        <v>28</v>
      </c>
      <c r="R405" s="38" t="inlineStr">
        <is>
          <t>NO</t>
        </is>
      </c>
      <c r="S405" s="38" t="inlineStr">
        <is>
          <t>NO</t>
        </is>
      </c>
      <c r="T405" s="38" t="inlineStr">
        <is>
          <t>NO</t>
        </is>
      </c>
      <c r="U405" s="38" t="n">
        <v>64</v>
      </c>
      <c r="V405" s="38" t="n">
        <v>58</v>
      </c>
      <c r="W405" s="38" t="n">
        <v>64</v>
      </c>
      <c r="X405" s="38" t="n">
        <v>58</v>
      </c>
      <c r="Y405" s="38" t="inlineStr">
        <is>
          <t>5,29 - 7,4</t>
        </is>
      </c>
      <c r="Z405" s="38" t="inlineStr">
        <is>
          <t>standard</t>
        </is>
      </c>
      <c r="AA405" s="45" t="inlineStr">
        <is>
          <t>17,6cNm / 0,176Nm</t>
        </is>
      </c>
      <c r="AB405" s="45" t="inlineStr">
        <is>
          <t>10,5cNm / 0,105Nm</t>
        </is>
      </c>
      <c r="AC405" s="44" t="n">
        <v>44463</v>
      </c>
      <c r="AD405" s="57" t="inlineStr">
        <is>
          <t>C</t>
        </is>
      </c>
    </row>
    <row r="406" ht="12.75" customHeight="1" s="123">
      <c r="A406" s="85" t="n">
        <v>404</v>
      </c>
      <c r="B406" s="31" t="inlineStr">
        <is>
          <t>BPB-041-LS10-2RS-ZJFD</t>
        </is>
      </c>
      <c r="C406" s="50" t="n">
        <v>16</v>
      </c>
      <c r="D406" s="50" t="n">
        <v>0</v>
      </c>
      <c r="E406" s="50" t="n">
        <v>-120</v>
      </c>
      <c r="F406" s="50" t="n">
        <v>80</v>
      </c>
      <c r="G406" s="50" t="n">
        <v>0</v>
      </c>
      <c r="H406" s="50" t="n">
        <v>-13</v>
      </c>
      <c r="I406" s="50" t="n">
        <v>16</v>
      </c>
      <c r="J406" s="50" t="n">
        <v>0</v>
      </c>
      <c r="K406" s="50" t="n">
        <v>-120</v>
      </c>
      <c r="L406" s="50" t="n">
        <v>50</v>
      </c>
      <c r="M406" s="50" t="n">
        <v>0</v>
      </c>
      <c r="N406" s="50" t="n">
        <v>-12</v>
      </c>
      <c r="O406" s="50" t="inlineStr">
        <is>
          <t>c3</t>
        </is>
      </c>
      <c r="P406" s="50" t="n">
        <v>36</v>
      </c>
      <c r="Q406" s="50" t="n">
        <v>18</v>
      </c>
      <c r="R406" s="50" t="inlineStr">
        <is>
          <t>NO</t>
        </is>
      </c>
      <c r="S406" s="50" t="inlineStr">
        <is>
          <t>NO</t>
        </is>
      </c>
      <c r="T406" s="50" t="inlineStr">
        <is>
          <t>NO</t>
        </is>
      </c>
      <c r="U406" s="50" t="n">
        <v>64</v>
      </c>
      <c r="V406" s="50" t="n">
        <v>58</v>
      </c>
      <c r="W406" s="50" t="n">
        <v>64</v>
      </c>
      <c r="X406" s="50" t="n">
        <v>58</v>
      </c>
      <c r="Y406" s="50" t="inlineStr">
        <is>
          <t>3.07 - 4.298 gr</t>
        </is>
      </c>
      <c r="Z406" s="50" t="inlineStr">
        <is>
          <t>standard</t>
        </is>
      </c>
      <c r="AA406" s="56" t="inlineStr">
        <is>
          <t>-</t>
        </is>
      </c>
      <c r="AB406" s="50" t="inlineStr">
        <is>
          <t>-</t>
        </is>
      </c>
      <c r="AC406" s="53" t="n">
        <v>44463</v>
      </c>
      <c r="AD406" s="84" t="inlineStr">
        <is>
          <t>A</t>
        </is>
      </c>
    </row>
    <row r="407" ht="12.75" customHeight="1" s="123">
      <c r="A407" s="85" t="n">
        <v>405</v>
      </c>
      <c r="B407" s="27" t="inlineStr">
        <is>
          <t>B&amp;P-041-5206-2RST - HNHS</t>
        </is>
      </c>
      <c r="C407" s="38" t="n">
        <v>23.813</v>
      </c>
      <c r="D407" s="38" t="n">
        <v>0</v>
      </c>
      <c r="E407" s="38" t="n">
        <v>-120</v>
      </c>
      <c r="F407" s="38" t="n">
        <v>62</v>
      </c>
      <c r="G407" s="38" t="n">
        <v>0</v>
      </c>
      <c r="H407" s="38" t="n">
        <v>-11</v>
      </c>
      <c r="I407" s="38" t="n">
        <v>23.813</v>
      </c>
      <c r="J407" s="38" t="n">
        <v>0</v>
      </c>
      <c r="K407" s="38" t="n">
        <v>-120</v>
      </c>
      <c r="L407" s="38" t="n">
        <v>30</v>
      </c>
      <c r="M407" s="38" t="n">
        <v>0</v>
      </c>
      <c r="N407" s="38" t="n">
        <v>-10</v>
      </c>
      <c r="O407" s="38" t="inlineStr">
        <is>
          <t>NO</t>
        </is>
      </c>
      <c r="P407" s="38" t="inlineStr">
        <is>
          <t>NO</t>
        </is>
      </c>
      <c r="Q407" s="38" t="inlineStr">
        <is>
          <t>NO</t>
        </is>
      </c>
      <c r="R407" s="38" t="inlineStr">
        <is>
          <t>C3</t>
        </is>
      </c>
      <c r="S407" s="38" t="n">
        <v>37</v>
      </c>
      <c r="T407" s="38" t="n">
        <v>18</v>
      </c>
      <c r="U407" s="38" t="n">
        <v>64</v>
      </c>
      <c r="V407" s="38" t="n">
        <v>58</v>
      </c>
      <c r="W407" s="38" t="n">
        <v>64</v>
      </c>
      <c r="X407" s="38" t="n">
        <v>58</v>
      </c>
      <c r="Y407" s="36" t="inlineStr">
        <is>
          <t>8,5 - 9,6</t>
        </is>
      </c>
      <c r="Z407" s="38" t="inlineStr">
        <is>
          <t>Polyrex</t>
        </is>
      </c>
      <c r="AA407" s="45" t="inlineStr">
        <is>
          <t>0,56cNm / 0,056Nm</t>
        </is>
      </c>
      <c r="AB407" s="45" t="inlineStr">
        <is>
          <t>1,2cNm / 0,12Nm</t>
        </is>
      </c>
      <c r="AC407" s="44" t="n">
        <v>44530</v>
      </c>
      <c r="AD407" s="57" t="inlineStr">
        <is>
          <t>A</t>
        </is>
      </c>
    </row>
    <row r="408" ht="12.75" customHeight="1" s="123">
      <c r="A408" s="85" t="n">
        <v>406</v>
      </c>
      <c r="B408" s="30" t="inlineStr">
        <is>
          <t xml:space="preserve">B&amp;P-041-MS12-2RS - LFK </t>
        </is>
      </c>
      <c r="C408" s="38" t="n">
        <v>22</v>
      </c>
      <c r="D408" s="38" t="n">
        <v>-10</v>
      </c>
      <c r="E408" s="38" t="n">
        <v>-50</v>
      </c>
      <c r="F408" s="38" t="n">
        <v>110</v>
      </c>
      <c r="G408" s="38" t="n">
        <v>0</v>
      </c>
      <c r="H408" s="38" t="n">
        <v>-13</v>
      </c>
      <c r="I408" s="38" t="n">
        <v>22</v>
      </c>
      <c r="J408" s="38" t="n">
        <v>-10</v>
      </c>
      <c r="K408" s="38" t="n">
        <v>-50</v>
      </c>
      <c r="L408" s="38" t="n">
        <v>60</v>
      </c>
      <c r="M408" s="38" t="n">
        <v>0</v>
      </c>
      <c r="N408" s="38" t="n">
        <v>-10</v>
      </c>
      <c r="O408" s="38" t="inlineStr">
        <is>
          <t>C3</t>
        </is>
      </c>
      <c r="P408" s="38" t="n">
        <v>43</v>
      </c>
      <c r="Q408" s="38" t="n">
        <v>23</v>
      </c>
      <c r="R408" s="38" t="inlineStr">
        <is>
          <t>NO</t>
        </is>
      </c>
      <c r="S408" s="38" t="inlineStr">
        <is>
          <t>NO</t>
        </is>
      </c>
      <c r="T408" s="38" t="inlineStr">
        <is>
          <t>NO</t>
        </is>
      </c>
      <c r="U408" s="38" t="n">
        <v>64</v>
      </c>
      <c r="V408" s="38" t="n">
        <v>58</v>
      </c>
      <c r="W408" s="38" t="n">
        <v>64</v>
      </c>
      <c r="X408" s="38" t="n">
        <v>58</v>
      </c>
      <c r="Y408" s="38" t="inlineStr">
        <is>
          <t>24.857 - 28.408 gr</t>
        </is>
      </c>
      <c r="Z408" s="38" t="inlineStr">
        <is>
          <t>Polyrex</t>
        </is>
      </c>
      <c r="AA408" s="45" t="inlineStr">
        <is>
          <t>standard</t>
        </is>
      </c>
      <c r="AB408" s="38" t="inlineStr">
        <is>
          <t>standard</t>
        </is>
      </c>
      <c r="AC408" s="52" t="n">
        <v>44530</v>
      </c>
      <c r="AD408" s="51" t="n">
        <v>0</v>
      </c>
    </row>
    <row r="409" ht="12.75" customHeight="1" s="123">
      <c r="A409" s="85" t="n">
        <v>407</v>
      </c>
      <c r="B409" s="30" t="inlineStr">
        <is>
          <t>B&amp;P-041-MS11-D - LFK</t>
        </is>
      </c>
      <c r="C409" s="38" t="n">
        <v>21</v>
      </c>
      <c r="D409" s="38" t="n">
        <v>-10</v>
      </c>
      <c r="E409" s="38" t="n">
        <v>-50</v>
      </c>
      <c r="F409" s="38" t="n">
        <v>100</v>
      </c>
      <c r="G409" s="38" t="n">
        <v>0</v>
      </c>
      <c r="H409" s="38" t="n">
        <v>-13</v>
      </c>
      <c r="I409" s="38" t="n">
        <v>21</v>
      </c>
      <c r="J409" s="38" t="n">
        <v>-10</v>
      </c>
      <c r="K409" s="38" t="n">
        <v>-50</v>
      </c>
      <c r="L409" s="38" t="n">
        <v>55</v>
      </c>
      <c r="M409" s="38" t="n">
        <v>0</v>
      </c>
      <c r="N409" s="38" t="n">
        <v>-10</v>
      </c>
      <c r="O409" s="38" t="inlineStr">
        <is>
          <t>C3</t>
        </is>
      </c>
      <c r="P409" s="38" t="n">
        <v>43</v>
      </c>
      <c r="Q409" s="38" t="n">
        <v>23</v>
      </c>
      <c r="R409" s="38" t="inlineStr">
        <is>
          <t>NO</t>
        </is>
      </c>
      <c r="S409" s="38" t="inlineStr">
        <is>
          <t>NO</t>
        </is>
      </c>
      <c r="T409" s="38" t="inlineStr">
        <is>
          <t>NO</t>
        </is>
      </c>
      <c r="U409" s="38" t="n">
        <v>64</v>
      </c>
      <c r="V409" s="38" t="n">
        <v>58</v>
      </c>
      <c r="W409" s="38" t="n">
        <v>64</v>
      </c>
      <c r="X409" s="38" t="n">
        <v>58</v>
      </c>
      <c r="Y409" s="38" t="inlineStr">
        <is>
          <t>NO</t>
        </is>
      </c>
      <c r="Z409" s="38" t="inlineStr">
        <is>
          <t>NO</t>
        </is>
      </c>
      <c r="AA409" s="45" t="inlineStr">
        <is>
          <t>NO</t>
        </is>
      </c>
      <c r="AB409" s="38" t="inlineStr">
        <is>
          <t>NO</t>
        </is>
      </c>
      <c r="AC409" s="52" t="n">
        <v>44581</v>
      </c>
      <c r="AD409" s="51" t="inlineStr">
        <is>
          <t>A</t>
        </is>
      </c>
    </row>
    <row r="410" ht="12.75" customHeight="1" s="123">
      <c r="A410" s="85" t="n">
        <v>408</v>
      </c>
      <c r="B410" s="30" t="inlineStr">
        <is>
          <t>B&amp;P-041-MS11-2RS -LFK</t>
        </is>
      </c>
      <c r="C410" s="38" t="n">
        <v>21</v>
      </c>
      <c r="D410" s="38" t="n">
        <v>-10</v>
      </c>
      <c r="E410" s="38" t="n">
        <v>-50</v>
      </c>
      <c r="F410" s="38" t="n">
        <v>100</v>
      </c>
      <c r="G410" s="38" t="n">
        <v>0</v>
      </c>
      <c r="H410" s="38" t="n">
        <v>-13</v>
      </c>
      <c r="I410" s="38" t="n">
        <v>21</v>
      </c>
      <c r="J410" s="38" t="n">
        <v>-10</v>
      </c>
      <c r="K410" s="38" t="n">
        <v>-50</v>
      </c>
      <c r="L410" s="38" t="n">
        <v>55</v>
      </c>
      <c r="M410" s="38" t="n">
        <v>0</v>
      </c>
      <c r="N410" s="38" t="n">
        <v>-10</v>
      </c>
      <c r="O410" s="38" t="inlineStr">
        <is>
          <t>C3</t>
        </is>
      </c>
      <c r="P410" s="38" t="n">
        <v>43</v>
      </c>
      <c r="Q410" s="38" t="n">
        <v>23</v>
      </c>
      <c r="R410" s="38" t="inlineStr">
        <is>
          <t>NO</t>
        </is>
      </c>
      <c r="S410" s="38" t="inlineStr">
        <is>
          <t>NO</t>
        </is>
      </c>
      <c r="T410" s="38" t="inlineStr">
        <is>
          <t>NO</t>
        </is>
      </c>
      <c r="U410" s="38" t="n">
        <v>64</v>
      </c>
      <c r="V410" s="38" t="n">
        <v>58</v>
      </c>
      <c r="W410" s="38" t="n">
        <v>64</v>
      </c>
      <c r="X410" s="38" t="n">
        <v>58</v>
      </c>
      <c r="Y410" s="38" t="inlineStr">
        <is>
          <t>19.733 - 22.552 gr</t>
        </is>
      </c>
      <c r="Z410" s="38" t="inlineStr">
        <is>
          <t>Polyrex</t>
        </is>
      </c>
      <c r="AA410" s="45" t="inlineStr">
        <is>
          <t>standard</t>
        </is>
      </c>
      <c r="AB410" s="38" t="inlineStr">
        <is>
          <t>standard</t>
        </is>
      </c>
      <c r="AC410" s="52" t="n">
        <v>44530</v>
      </c>
      <c r="AD410" s="51" t="n">
        <v>0</v>
      </c>
    </row>
    <row r="411" ht="12.75" customHeight="1" s="123">
      <c r="A411" s="85" t="n">
        <v>409</v>
      </c>
      <c r="B411" s="31" t="inlineStr">
        <is>
          <t>B&amp;P-041-LS19-2RS-LFK</t>
        </is>
      </c>
      <c r="C411" s="50" t="n">
        <v>24</v>
      </c>
      <c r="D411" s="50" t="n">
        <v>-10</v>
      </c>
      <c r="E411" s="50" t="n">
        <v>-50</v>
      </c>
      <c r="F411" s="50" t="n">
        <v>145</v>
      </c>
      <c r="G411" s="50" t="n">
        <v>0</v>
      </c>
      <c r="H411" s="50" t="n">
        <v>-13</v>
      </c>
      <c r="I411" s="50" t="n">
        <v>24</v>
      </c>
      <c r="J411" s="50" t="n">
        <v>-10</v>
      </c>
      <c r="K411" s="50" t="n">
        <v>-50</v>
      </c>
      <c r="L411" s="50" t="n">
        <v>95</v>
      </c>
      <c r="M411" s="50" t="n">
        <v>0</v>
      </c>
      <c r="N411" s="50" t="n">
        <v>-10</v>
      </c>
      <c r="O411" s="50" t="inlineStr">
        <is>
          <t>C3</t>
        </is>
      </c>
      <c r="P411" s="50" t="n">
        <v>58</v>
      </c>
      <c r="Q411" s="50" t="n">
        <v>30</v>
      </c>
      <c r="R411" s="50" t="inlineStr">
        <is>
          <t>NO</t>
        </is>
      </c>
      <c r="S411" s="50" t="inlineStr">
        <is>
          <t>NO</t>
        </is>
      </c>
      <c r="T411" s="50" t="inlineStr">
        <is>
          <t>NO</t>
        </is>
      </c>
      <c r="U411" s="50" t="n">
        <v>64</v>
      </c>
      <c r="V411" s="50" t="n">
        <v>58</v>
      </c>
      <c r="W411" s="50" t="n">
        <v>64</v>
      </c>
      <c r="X411" s="50" t="n">
        <v>58</v>
      </c>
      <c r="Y411" s="50" t="inlineStr">
        <is>
          <t>70-80%</t>
        </is>
      </c>
      <c r="Z411" s="50" t="inlineStr">
        <is>
          <t>polyrex</t>
        </is>
      </c>
      <c r="AA411" s="56" t="inlineStr">
        <is>
          <t>standard</t>
        </is>
      </c>
      <c r="AB411" s="50" t="inlineStr">
        <is>
          <t>standard</t>
        </is>
      </c>
      <c r="AC411" s="52" t="n">
        <v>44530</v>
      </c>
      <c r="AD411" s="51" t="n">
        <v>0</v>
      </c>
    </row>
    <row r="412" ht="12.75" customHeight="1" s="123">
      <c r="A412" s="85" t="n">
        <v>410</v>
      </c>
      <c r="B412" s="31" t="inlineStr">
        <is>
          <t>B&amp;P-041-LS11-2RS-LFK</t>
        </is>
      </c>
      <c r="C412" s="50" t="n">
        <v>18</v>
      </c>
      <c r="D412" s="50" t="n">
        <v>-10</v>
      </c>
      <c r="E412" s="50" t="n">
        <v>-50</v>
      </c>
      <c r="F412" s="50" t="n">
        <v>90</v>
      </c>
      <c r="G412" s="50" t="n">
        <v>0</v>
      </c>
      <c r="H412" s="50" t="n">
        <v>-13</v>
      </c>
      <c r="I412" s="50" t="n">
        <v>18</v>
      </c>
      <c r="J412" s="50" t="n">
        <v>-10</v>
      </c>
      <c r="K412" s="50" t="n">
        <v>-50</v>
      </c>
      <c r="L412" s="50" t="n">
        <v>55</v>
      </c>
      <c r="M412" s="50" t="n">
        <v>0</v>
      </c>
      <c r="N412" s="50" t="n">
        <v>-10</v>
      </c>
      <c r="O412" s="50" t="inlineStr">
        <is>
          <t>C3</t>
        </is>
      </c>
      <c r="P412" s="50" t="n">
        <v>43</v>
      </c>
      <c r="Q412" s="50" t="n">
        <v>23</v>
      </c>
      <c r="R412" s="50" t="inlineStr">
        <is>
          <t>NO</t>
        </is>
      </c>
      <c r="S412" s="50" t="inlineStr">
        <is>
          <t>NO</t>
        </is>
      </c>
      <c r="T412" s="50" t="inlineStr">
        <is>
          <t>NO</t>
        </is>
      </c>
      <c r="U412" s="50" t="n">
        <v>64</v>
      </c>
      <c r="V412" s="50" t="n">
        <v>58</v>
      </c>
      <c r="W412" s="50" t="n">
        <v>64</v>
      </c>
      <c r="X412" s="50" t="n">
        <v>58</v>
      </c>
      <c r="Y412" s="50" t="inlineStr">
        <is>
          <t>12.103-13.832 gr</t>
        </is>
      </c>
      <c r="Z412" s="50" t="inlineStr">
        <is>
          <t>polyrex</t>
        </is>
      </c>
      <c r="AA412" s="56" t="inlineStr">
        <is>
          <t>standard</t>
        </is>
      </c>
      <c r="AB412" s="50" t="inlineStr">
        <is>
          <t>standard</t>
        </is>
      </c>
      <c r="AC412" s="52" t="n">
        <v>44529</v>
      </c>
      <c r="AD412" s="51" t="n">
        <v>0</v>
      </c>
    </row>
    <row r="413" ht="12.75" customHeight="1" s="123">
      <c r="A413" s="85" t="n">
        <v>411</v>
      </c>
      <c r="B413" s="31" t="inlineStr">
        <is>
          <t>B&amp;P-041-LS14-2RS-LFK</t>
        </is>
      </c>
      <c r="C413" s="50" t="n">
        <v>20</v>
      </c>
      <c r="D413" s="50" t="n">
        <v>-10</v>
      </c>
      <c r="E413" s="50" t="n">
        <v>-50</v>
      </c>
      <c r="F413" s="50" t="n">
        <v>110</v>
      </c>
      <c r="G413" s="50" t="n">
        <v>0</v>
      </c>
      <c r="H413" s="50" t="n">
        <v>-13</v>
      </c>
      <c r="I413" s="50" t="n">
        <v>20</v>
      </c>
      <c r="J413" s="50" t="n">
        <v>-10</v>
      </c>
      <c r="K413" s="50" t="n">
        <v>-50</v>
      </c>
      <c r="L413" s="50" t="n">
        <v>70</v>
      </c>
      <c r="M413" s="50" t="n">
        <v>0</v>
      </c>
      <c r="N413" s="50" t="n">
        <v>-10</v>
      </c>
      <c r="O413" s="50" t="inlineStr">
        <is>
          <t>C3</t>
        </is>
      </c>
      <c r="P413" s="50" t="n">
        <v>51</v>
      </c>
      <c r="Q413" s="50" t="n">
        <v>25</v>
      </c>
      <c r="R413" s="50" t="inlineStr">
        <is>
          <t>NO</t>
        </is>
      </c>
      <c r="S413" s="50" t="inlineStr">
        <is>
          <t>NO</t>
        </is>
      </c>
      <c r="T413" s="50" t="inlineStr">
        <is>
          <t>NO</t>
        </is>
      </c>
      <c r="U413" s="50" t="n">
        <v>64</v>
      </c>
      <c r="V413" s="50" t="n">
        <v>58</v>
      </c>
      <c r="W413" s="50" t="n">
        <v>64</v>
      </c>
      <c r="X413" s="50" t="n">
        <v>58</v>
      </c>
      <c r="Y413" s="50" t="inlineStr">
        <is>
          <t>20.748-23.712 gr</t>
        </is>
      </c>
      <c r="Z413" s="50" t="inlineStr">
        <is>
          <t>polyrex</t>
        </is>
      </c>
      <c r="AA413" s="56" t="inlineStr">
        <is>
          <t>standard</t>
        </is>
      </c>
      <c r="AB413" s="50" t="inlineStr">
        <is>
          <t>standard</t>
        </is>
      </c>
      <c r="AC413" s="52" t="n">
        <v>44529</v>
      </c>
      <c r="AD413" s="51" t="n">
        <v>0</v>
      </c>
    </row>
    <row r="414" ht="12.75" customHeight="1" s="123">
      <c r="A414" s="85" t="n">
        <v>412</v>
      </c>
      <c r="B414" s="31" t="inlineStr">
        <is>
          <t>B&amp;P-041-MS10-2RSTX-LFK</t>
        </is>
      </c>
      <c r="C414" s="50" t="n">
        <v>20</v>
      </c>
      <c r="D414" s="50" t="n">
        <v>-10</v>
      </c>
      <c r="E414" s="50" t="n">
        <v>-50</v>
      </c>
      <c r="F414" s="50" t="n">
        <v>90</v>
      </c>
      <c r="G414" s="50" t="n">
        <v>0</v>
      </c>
      <c r="H414" s="50" t="n">
        <v>-13</v>
      </c>
      <c r="I414" s="50" t="n">
        <v>20</v>
      </c>
      <c r="J414" s="50" t="n">
        <v>-10</v>
      </c>
      <c r="K414" s="50" t="n">
        <v>-50</v>
      </c>
      <c r="L414" s="50" t="n">
        <v>50</v>
      </c>
      <c r="M414" s="50" t="n">
        <v>0</v>
      </c>
      <c r="N414" s="50" t="n">
        <v>-10</v>
      </c>
      <c r="O414" s="50" t="inlineStr">
        <is>
          <t>C3</t>
        </is>
      </c>
      <c r="P414" s="50" t="n">
        <v>36</v>
      </c>
      <c r="Q414" s="50" t="n">
        <v>18</v>
      </c>
      <c r="R414" s="50" t="inlineStr">
        <is>
          <t>NO</t>
        </is>
      </c>
      <c r="S414" s="50" t="inlineStr">
        <is>
          <t>NO</t>
        </is>
      </c>
      <c r="T414" s="50" t="inlineStr">
        <is>
          <t>NO</t>
        </is>
      </c>
      <c r="U414" s="50" t="n">
        <v>64</v>
      </c>
      <c r="V414" s="50" t="n">
        <v>58</v>
      </c>
      <c r="W414" s="50" t="n">
        <v>64</v>
      </c>
      <c r="X414" s="50" t="n">
        <v>58</v>
      </c>
      <c r="Y414" s="50" t="inlineStr">
        <is>
          <t>14.812-16.928gr</t>
        </is>
      </c>
      <c r="Z414" s="50" t="inlineStr">
        <is>
          <t>polyrex</t>
        </is>
      </c>
      <c r="AA414" s="56" t="inlineStr">
        <is>
          <t>standard</t>
        </is>
      </c>
      <c r="AB414" s="50" t="inlineStr">
        <is>
          <t>standard</t>
        </is>
      </c>
      <c r="AC414" s="52" t="n">
        <v>44571</v>
      </c>
      <c r="AD414" s="51" t="n">
        <v>0</v>
      </c>
    </row>
    <row r="415" ht="12.75" customHeight="1" s="123">
      <c r="A415" s="85" t="n">
        <v>413</v>
      </c>
      <c r="B415" s="31" t="inlineStr">
        <is>
          <t>B&amp;P-041-MS08-2RSTX-LFK</t>
        </is>
      </c>
      <c r="C415" s="50" t="n">
        <v>18</v>
      </c>
      <c r="D415" s="50" t="n">
        <v>-10</v>
      </c>
      <c r="E415" s="50" t="n">
        <v>-50</v>
      </c>
      <c r="F415" s="50" t="n">
        <v>80</v>
      </c>
      <c r="G415" s="50" t="n">
        <v>0</v>
      </c>
      <c r="H415" s="50" t="n">
        <v>-13</v>
      </c>
      <c r="I415" s="50" t="n">
        <v>18</v>
      </c>
      <c r="J415" s="50" t="n">
        <v>-10</v>
      </c>
      <c r="K415" s="50" t="n">
        <v>-50</v>
      </c>
      <c r="L415" s="50" t="n">
        <v>40</v>
      </c>
      <c r="M415" s="50" t="n">
        <v>0</v>
      </c>
      <c r="N415" s="50" t="n">
        <v>-10</v>
      </c>
      <c r="O415" s="50" t="inlineStr">
        <is>
          <t>C3</t>
        </is>
      </c>
      <c r="P415" s="50" t="n">
        <v>33</v>
      </c>
      <c r="Q415" s="50" t="n">
        <v>15</v>
      </c>
      <c r="R415" s="50" t="inlineStr">
        <is>
          <t>NO</t>
        </is>
      </c>
      <c r="S415" s="50" t="inlineStr">
        <is>
          <t>NO</t>
        </is>
      </c>
      <c r="T415" s="50" t="inlineStr">
        <is>
          <t>NO</t>
        </is>
      </c>
      <c r="U415" s="50" t="n">
        <v>64</v>
      </c>
      <c r="V415" s="50" t="n">
        <v>58</v>
      </c>
      <c r="W415" s="50" t="n">
        <v>64</v>
      </c>
      <c r="X415" s="50" t="n">
        <v>58</v>
      </c>
      <c r="Y415" s="50" t="inlineStr">
        <is>
          <t>11.27-12.88gr</t>
        </is>
      </c>
      <c r="Z415" s="50" t="inlineStr">
        <is>
          <t>polyrex</t>
        </is>
      </c>
      <c r="AA415" s="56" t="inlineStr">
        <is>
          <t>standard</t>
        </is>
      </c>
      <c r="AB415" s="50" t="inlineStr">
        <is>
          <t>standard</t>
        </is>
      </c>
      <c r="AC415" s="52" t="n">
        <v>44571</v>
      </c>
      <c r="AD415" s="51" t="n">
        <v>0</v>
      </c>
    </row>
    <row r="416" ht="12.75" customHeight="1" s="123">
      <c r="A416" s="85" t="n">
        <v>414</v>
      </c>
      <c r="B416" s="31" t="inlineStr">
        <is>
          <t>B&amp;P-041-LS10-2RSTX-LFK</t>
        </is>
      </c>
      <c r="C416" s="50" t="n">
        <v>16</v>
      </c>
      <c r="D416" s="50" t="n">
        <v>-10</v>
      </c>
      <c r="E416" s="50" t="n">
        <v>-50</v>
      </c>
      <c r="F416" s="50" t="n">
        <v>80</v>
      </c>
      <c r="G416" s="50" t="n">
        <v>0</v>
      </c>
      <c r="H416" s="50" t="n">
        <v>-13</v>
      </c>
      <c r="I416" s="50" t="n">
        <v>16</v>
      </c>
      <c r="J416" s="50" t="n">
        <v>-10</v>
      </c>
      <c r="K416" s="50" t="n">
        <v>-50</v>
      </c>
      <c r="L416" s="50" t="n">
        <v>50</v>
      </c>
      <c r="M416" s="50" t="n">
        <v>0</v>
      </c>
      <c r="N416" s="50" t="n">
        <v>-10</v>
      </c>
      <c r="O416" s="50" t="inlineStr">
        <is>
          <t>C3</t>
        </is>
      </c>
      <c r="P416" s="50" t="n">
        <v>36</v>
      </c>
      <c r="Q416" s="50" t="n">
        <v>18</v>
      </c>
      <c r="R416" s="50" t="inlineStr">
        <is>
          <t>NO</t>
        </is>
      </c>
      <c r="S416" s="50" t="inlineStr">
        <is>
          <t>NO</t>
        </is>
      </c>
      <c r="T416" s="50" t="inlineStr">
        <is>
          <t>NO</t>
        </is>
      </c>
      <c r="U416" s="50" t="n">
        <v>64</v>
      </c>
      <c r="V416" s="50" t="n">
        <v>58</v>
      </c>
      <c r="W416" s="50" t="n">
        <v>64</v>
      </c>
      <c r="X416" s="50" t="n">
        <v>58</v>
      </c>
      <c r="Y416" s="50" t="inlineStr">
        <is>
          <t>9.824-8.596gr</t>
        </is>
      </c>
      <c r="Z416" s="50" t="inlineStr">
        <is>
          <t>polyrex</t>
        </is>
      </c>
      <c r="AA416" s="56" t="inlineStr">
        <is>
          <t>standard</t>
        </is>
      </c>
      <c r="AB416" s="50" t="inlineStr">
        <is>
          <t>standard</t>
        </is>
      </c>
      <c r="AC416" s="52" t="n">
        <v>44571</v>
      </c>
      <c r="AD416" s="51" t="n">
        <v>0</v>
      </c>
    </row>
    <row r="417" ht="12.75" customHeight="1" s="123">
      <c r="A417" s="85" t="n">
        <v>415</v>
      </c>
      <c r="B417" s="31" t="inlineStr">
        <is>
          <t>B&amp;P-041-LS18-2RS-HLBR</t>
        </is>
      </c>
      <c r="C417" s="50" t="n">
        <v>24</v>
      </c>
      <c r="D417" s="50" t="n">
        <v>0</v>
      </c>
      <c r="E417" s="50" t="n">
        <v>-200</v>
      </c>
      <c r="F417" s="50" t="n">
        <v>140</v>
      </c>
      <c r="G417" s="50" t="n">
        <v>0</v>
      </c>
      <c r="H417" s="50" t="n">
        <v>-18</v>
      </c>
      <c r="I417" s="50" t="n">
        <v>24</v>
      </c>
      <c r="J417" s="50" t="n">
        <v>0</v>
      </c>
      <c r="K417" s="50" t="n">
        <v>-200</v>
      </c>
      <c r="L417" s="50" t="n">
        <v>90</v>
      </c>
      <c r="M417" s="50" t="n">
        <v>0</v>
      </c>
      <c r="N417" s="50" t="n">
        <v>-20</v>
      </c>
      <c r="O417" s="50" t="inlineStr">
        <is>
          <t>C3</t>
        </is>
      </c>
      <c r="P417" s="50" t="n">
        <v>58</v>
      </c>
      <c r="Q417" s="50" t="n">
        <v>30</v>
      </c>
      <c r="R417" s="50" t="inlineStr">
        <is>
          <t>NO</t>
        </is>
      </c>
      <c r="S417" s="50" t="inlineStr">
        <is>
          <t>NO</t>
        </is>
      </c>
      <c r="T417" s="50" t="inlineStr">
        <is>
          <t>NO</t>
        </is>
      </c>
      <c r="U417" s="50" t="n">
        <v>64</v>
      </c>
      <c r="V417" s="50" t="n">
        <v>58</v>
      </c>
      <c r="W417" s="50" t="n">
        <v>64</v>
      </c>
      <c r="X417" s="50" t="n">
        <v>58</v>
      </c>
      <c r="Y417" s="50" t="inlineStr">
        <is>
          <t>25-35%</t>
        </is>
      </c>
      <c r="Z417" s="50" t="inlineStr">
        <is>
          <t>polyrex</t>
        </is>
      </c>
      <c r="AA417" s="56" t="inlineStr">
        <is>
          <t>0.30Nm</t>
        </is>
      </c>
      <c r="AB417" s="50" t="inlineStr">
        <is>
          <t>0.20Nm</t>
        </is>
      </c>
      <c r="AC417" s="53" t="n">
        <v>44599</v>
      </c>
      <c r="AD417" s="84" t="inlineStr">
        <is>
          <t>B</t>
        </is>
      </c>
    </row>
    <row r="418" ht="12.75" customHeight="1" s="123">
      <c r="A418" s="85" t="n">
        <v>416</v>
      </c>
      <c r="B418" s="31" t="inlineStr">
        <is>
          <t>B&amp;P-040-2205-TN-C3-HLBR</t>
        </is>
      </c>
      <c r="C418" s="50" t="n">
        <v>18</v>
      </c>
      <c r="D418" s="50" t="n">
        <v>0</v>
      </c>
      <c r="E418" s="50" t="n">
        <v>-120</v>
      </c>
      <c r="F418" s="50" t="n">
        <v>52</v>
      </c>
      <c r="G418" s="50" t="n">
        <v>0</v>
      </c>
      <c r="H418" s="50" t="n">
        <v>-13</v>
      </c>
      <c r="I418" s="50" t="n">
        <v>18</v>
      </c>
      <c r="J418" s="50" t="n">
        <v>0</v>
      </c>
      <c r="K418" s="50" t="n">
        <v>-120</v>
      </c>
      <c r="L418" s="50" t="n">
        <v>25</v>
      </c>
      <c r="M418" s="50" t="n">
        <v>0</v>
      </c>
      <c r="N418" s="50" t="n">
        <v>-10</v>
      </c>
      <c r="O418" s="50" t="inlineStr">
        <is>
          <t>C3</t>
        </is>
      </c>
      <c r="P418" s="50" t="n">
        <v>35</v>
      </c>
      <c r="Q418" s="50" t="n">
        <v>19</v>
      </c>
      <c r="R418" s="50" t="inlineStr">
        <is>
          <t>NO</t>
        </is>
      </c>
      <c r="S418" s="50" t="inlineStr">
        <is>
          <t>NO</t>
        </is>
      </c>
      <c r="T418" s="50" t="inlineStr">
        <is>
          <t>NO</t>
        </is>
      </c>
      <c r="U418" s="50" t="n">
        <v>64</v>
      </c>
      <c r="V418" s="50" t="n">
        <v>58</v>
      </c>
      <c r="W418" s="50" t="n">
        <v>64</v>
      </c>
      <c r="X418" s="50" t="n">
        <v>58</v>
      </c>
      <c r="Y418" s="50" t="inlineStr">
        <is>
          <t>NO</t>
        </is>
      </c>
      <c r="Z418" s="50" t="inlineStr">
        <is>
          <t>NO</t>
        </is>
      </c>
      <c r="AA418" s="56" t="inlineStr">
        <is>
          <t>NO</t>
        </is>
      </c>
      <c r="AB418" s="50" t="inlineStr">
        <is>
          <t>NO</t>
        </is>
      </c>
      <c r="AC418" s="53" t="n">
        <v>45359</v>
      </c>
      <c r="AD418" s="84" t="inlineStr">
        <is>
          <t>D</t>
        </is>
      </c>
    </row>
    <row r="419" ht="12.75" customHeight="1" s="123">
      <c r="A419" s="85" t="n">
        <v>417</v>
      </c>
      <c r="B419" s="31" t="inlineStr">
        <is>
          <t>B&amp;P-041-MS01-2RS-ZJFD</t>
        </is>
      </c>
      <c r="C419" s="50" t="n">
        <v>10</v>
      </c>
      <c r="D419" s="50" t="n">
        <v>0</v>
      </c>
      <c r="E419" s="50" t="n">
        <v>-120</v>
      </c>
      <c r="F419" s="50" t="n">
        <v>32</v>
      </c>
      <c r="G419" s="50" t="n">
        <v>0</v>
      </c>
      <c r="H419" s="50" t="n">
        <v>-9</v>
      </c>
      <c r="I419" s="50" t="n">
        <v>10</v>
      </c>
      <c r="J419" s="50" t="n">
        <v>0</v>
      </c>
      <c r="K419" s="50" t="n">
        <v>-120</v>
      </c>
      <c r="L419" s="50" t="n">
        <v>12</v>
      </c>
      <c r="M419" s="50" t="n">
        <v>0</v>
      </c>
      <c r="N419" s="50" t="n">
        <v>-7</v>
      </c>
      <c r="O419" s="50" t="inlineStr">
        <is>
          <t>C3</t>
        </is>
      </c>
      <c r="P419" s="50" t="n">
        <v>25</v>
      </c>
      <c r="Q419" s="50" t="n">
        <v>11</v>
      </c>
      <c r="R419" s="50" t="inlineStr">
        <is>
          <t>NO</t>
        </is>
      </c>
      <c r="S419" s="50" t="inlineStr">
        <is>
          <t>NO</t>
        </is>
      </c>
      <c r="T419" s="50" t="inlineStr">
        <is>
          <t>NO</t>
        </is>
      </c>
      <c r="U419" s="50" t="n">
        <v>65</v>
      </c>
      <c r="V419" s="50" t="n">
        <v>60</v>
      </c>
      <c r="W419" s="50" t="n">
        <v>65</v>
      </c>
      <c r="X419" s="50" t="n">
        <v>60</v>
      </c>
      <c r="Y419" s="56" t="inlineStr">
        <is>
          <t>0.38gr</t>
        </is>
      </c>
      <c r="Z419" s="56" t="inlineStr">
        <is>
          <t>0.53gr</t>
        </is>
      </c>
      <c r="AA419" s="56" t="inlineStr">
        <is>
          <t>polyrex</t>
        </is>
      </c>
      <c r="AB419" s="56" t="inlineStr">
        <is>
          <t>standard</t>
        </is>
      </c>
      <c r="AC419" s="53" t="n">
        <v>44774</v>
      </c>
      <c r="AD419" s="76" t="inlineStr">
        <is>
          <t>E</t>
        </is>
      </c>
    </row>
    <row r="420" ht="12.75" customHeight="1" s="123">
      <c r="A420" s="85" t="n">
        <v>418</v>
      </c>
      <c r="B420" s="31" t="inlineStr">
        <is>
          <t>B&amp;P-041-MS02-2RS-ZJFD</t>
        </is>
      </c>
      <c r="C420" s="50" t="n">
        <v>11</v>
      </c>
      <c r="D420" s="50" t="n">
        <v>0</v>
      </c>
      <c r="E420" s="50" t="n">
        <v>-120</v>
      </c>
      <c r="F420" s="50" t="n">
        <v>35</v>
      </c>
      <c r="G420" s="50" t="n">
        <v>0</v>
      </c>
      <c r="H420" s="50" t="n">
        <v>-11</v>
      </c>
      <c r="I420" s="50" t="n">
        <v>11</v>
      </c>
      <c r="J420" s="50" t="n">
        <v>0</v>
      </c>
      <c r="K420" s="50" t="n">
        <v>-120</v>
      </c>
      <c r="L420" s="50" t="n">
        <v>15</v>
      </c>
      <c r="M420" s="50" t="n">
        <v>0</v>
      </c>
      <c r="N420" s="50" t="n">
        <v>-8</v>
      </c>
      <c r="O420" s="56" t="inlineStr">
        <is>
          <t>C3</t>
        </is>
      </c>
      <c r="P420" s="50" t="n">
        <v>25</v>
      </c>
      <c r="Q420" s="50" t="n">
        <v>11</v>
      </c>
      <c r="R420" s="56" t="inlineStr">
        <is>
          <t>NO</t>
        </is>
      </c>
      <c r="S420" s="56" t="inlineStr">
        <is>
          <t>NO</t>
        </is>
      </c>
      <c r="T420" s="56" t="inlineStr">
        <is>
          <t>NO</t>
        </is>
      </c>
      <c r="U420" s="50" t="n">
        <v>65</v>
      </c>
      <c r="V420" s="50" t="n">
        <v>60</v>
      </c>
      <c r="W420" s="50" t="n">
        <v>65</v>
      </c>
      <c r="X420" s="50" t="n">
        <v>60</v>
      </c>
      <c r="Y420" s="56" t="inlineStr">
        <is>
          <t>25%-35%</t>
        </is>
      </c>
      <c r="Z420" s="56" t="inlineStr">
        <is>
          <t>Grease</t>
        </is>
      </c>
      <c r="AA420" s="45" t="inlineStr">
        <is>
          <t>standard</t>
        </is>
      </c>
      <c r="AB420" s="45" t="inlineStr">
        <is>
          <t>standard</t>
        </is>
      </c>
      <c r="AC420" s="53" t="n">
        <v>45252</v>
      </c>
      <c r="AD420" s="84" t="inlineStr">
        <is>
          <t>E</t>
        </is>
      </c>
    </row>
    <row r="421" ht="12.75" customHeight="1" s="123">
      <c r="A421" s="85" t="n">
        <v>419</v>
      </c>
      <c r="B421" s="31" t="inlineStr">
        <is>
          <t>BPB-041-MS03-2RS-ZJFD</t>
        </is>
      </c>
      <c r="C421" s="50" t="n">
        <v>12</v>
      </c>
      <c r="D421" s="50" t="n">
        <v>0</v>
      </c>
      <c r="E421" s="50" t="n">
        <v>-120</v>
      </c>
      <c r="F421" s="50" t="n">
        <v>40</v>
      </c>
      <c r="G421" s="50" t="n">
        <v>0</v>
      </c>
      <c r="H421" s="50" t="n">
        <v>-11</v>
      </c>
      <c r="I421" s="50" t="n">
        <v>12</v>
      </c>
      <c r="J421" s="50" t="n">
        <v>0</v>
      </c>
      <c r="K421" s="50" t="n">
        <v>-120</v>
      </c>
      <c r="L421" s="50" t="n">
        <v>17</v>
      </c>
      <c r="M421" s="50" t="n">
        <v>0</v>
      </c>
      <c r="N421" s="50" t="n">
        <v>-8</v>
      </c>
      <c r="O421" s="50" t="inlineStr">
        <is>
          <t>C3</t>
        </is>
      </c>
      <c r="P421" s="50" t="n">
        <v>25</v>
      </c>
      <c r="Q421" s="50" t="n">
        <v>11</v>
      </c>
      <c r="R421" s="50" t="inlineStr">
        <is>
          <t>NO</t>
        </is>
      </c>
      <c r="S421" s="50" t="inlineStr">
        <is>
          <t>NO</t>
        </is>
      </c>
      <c r="T421" s="50" t="inlineStr">
        <is>
          <t>NO</t>
        </is>
      </c>
      <c r="U421" s="50" t="n">
        <v>64</v>
      </c>
      <c r="V421" s="50" t="n">
        <v>58</v>
      </c>
      <c r="W421" s="50" t="n">
        <v>64</v>
      </c>
      <c r="X421" s="50" t="n">
        <v>58</v>
      </c>
      <c r="Y421" s="50" t="inlineStr">
        <is>
          <t>1.92 - 2.2 gr</t>
        </is>
      </c>
      <c r="Z421" s="50" t="inlineStr">
        <is>
          <t>Grease</t>
        </is>
      </c>
      <c r="AA421" s="56" t="inlineStr">
        <is>
          <t>0.0268 Nm</t>
        </is>
      </c>
      <c r="AB421" s="50" t="inlineStr">
        <is>
          <t>0.0162 Nm</t>
        </is>
      </c>
      <c r="AC421" s="53" t="n">
        <v>44581</v>
      </c>
      <c r="AD421" s="84" t="inlineStr">
        <is>
          <t>B</t>
        </is>
      </c>
    </row>
    <row r="422" ht="12.75" customHeight="1" s="123">
      <c r="A422" s="85" t="n">
        <v>420</v>
      </c>
      <c r="B422" s="31" t="inlineStr">
        <is>
          <t>B&amp;P-041-MS04-2RS-ZJFD</t>
        </is>
      </c>
      <c r="C422" s="50" t="n">
        <v>14</v>
      </c>
      <c r="D422" s="50" t="n">
        <v>0</v>
      </c>
      <c r="E422" s="50" t="n">
        <v>-120</v>
      </c>
      <c r="F422" s="50" t="n">
        <v>47</v>
      </c>
      <c r="G422" s="50" t="n">
        <v>0</v>
      </c>
      <c r="H422" s="50" t="n">
        <v>-9</v>
      </c>
      <c r="I422" s="50" t="n">
        <v>14</v>
      </c>
      <c r="J422" s="50" t="n">
        <v>0</v>
      </c>
      <c r="K422" s="50" t="n">
        <v>-120</v>
      </c>
      <c r="L422" s="50" t="n">
        <v>20</v>
      </c>
      <c r="M422" s="50" t="n">
        <v>0</v>
      </c>
      <c r="N422" s="50" t="n">
        <v>-8</v>
      </c>
      <c r="O422" s="50" t="inlineStr">
        <is>
          <t>C3</t>
        </is>
      </c>
      <c r="P422" s="50" t="n">
        <v>13</v>
      </c>
      <c r="Q422" s="50" t="n">
        <v>28</v>
      </c>
      <c r="R422" s="50" t="inlineStr">
        <is>
          <t>NO</t>
        </is>
      </c>
      <c r="S422" s="50" t="inlineStr">
        <is>
          <t>NO</t>
        </is>
      </c>
      <c r="T422" s="50" t="inlineStr">
        <is>
          <t>NO</t>
        </is>
      </c>
      <c r="U422" s="50" t="n">
        <v>65</v>
      </c>
      <c r="V422" s="50" t="n">
        <v>60</v>
      </c>
      <c r="W422" s="50" t="n">
        <v>65</v>
      </c>
      <c r="X422" s="50" t="n">
        <v>60</v>
      </c>
      <c r="Y422" s="56" t="inlineStr">
        <is>
          <t>1.23-1.72gr</t>
        </is>
      </c>
      <c r="Z422" s="56" t="inlineStr">
        <is>
          <t>Polyrex</t>
        </is>
      </c>
      <c r="AA422" s="56" t="inlineStr">
        <is>
          <t>standard</t>
        </is>
      </c>
      <c r="AB422" s="56" t="inlineStr">
        <is>
          <t>standard</t>
        </is>
      </c>
      <c r="AC422" s="53" t="n">
        <v>44795</v>
      </c>
      <c r="AD422" s="76" t="inlineStr">
        <is>
          <t>D</t>
        </is>
      </c>
    </row>
    <row r="423" ht="12.75" customHeight="1" s="123">
      <c r="A423" s="85" t="n">
        <v>421</v>
      </c>
      <c r="B423" s="30" t="inlineStr">
        <is>
          <t>B&amp;P-041-LS01-2RS-ZJFD</t>
        </is>
      </c>
      <c r="C423" s="50" t="n">
        <v>8</v>
      </c>
      <c r="D423" s="50" t="n">
        <v>0</v>
      </c>
      <c r="E423" s="50" t="n">
        <v>-120</v>
      </c>
      <c r="F423" s="50" t="n">
        <v>28</v>
      </c>
      <c r="G423" s="50" t="n">
        <v>0</v>
      </c>
      <c r="H423" s="50" t="n">
        <v>-9</v>
      </c>
      <c r="I423" s="50" t="n">
        <v>8</v>
      </c>
      <c r="J423" s="50" t="n">
        <v>0</v>
      </c>
      <c r="K423" s="50" t="n">
        <v>-120</v>
      </c>
      <c r="L423" s="50" t="n">
        <v>12</v>
      </c>
      <c r="M423" s="50" t="n">
        <v>0</v>
      </c>
      <c r="N423" s="50" t="n">
        <v>-8</v>
      </c>
      <c r="O423" s="50" t="inlineStr">
        <is>
          <t>C3</t>
        </is>
      </c>
      <c r="P423" s="50" t="n">
        <v>28</v>
      </c>
      <c r="Q423" s="50" t="n">
        <v>13</v>
      </c>
      <c r="R423" s="50" t="inlineStr">
        <is>
          <t>NO</t>
        </is>
      </c>
      <c r="S423" s="50" t="inlineStr">
        <is>
          <t>NO</t>
        </is>
      </c>
      <c r="T423" s="50" t="inlineStr">
        <is>
          <t>NO</t>
        </is>
      </c>
      <c r="U423" s="50" t="n">
        <v>65</v>
      </c>
      <c r="V423" s="50" t="n">
        <v>60</v>
      </c>
      <c r="W423" s="50" t="n">
        <v>65</v>
      </c>
      <c r="X423" s="50" t="n">
        <v>60</v>
      </c>
      <c r="Y423" s="50" t="inlineStr">
        <is>
          <t>0.23-0.32gr</t>
        </is>
      </c>
      <c r="Z423" s="50" t="inlineStr">
        <is>
          <t>polyrex</t>
        </is>
      </c>
      <c r="AA423" s="56" t="inlineStr">
        <is>
          <t>0.0162Nm</t>
        </is>
      </c>
      <c r="AB423" s="50" t="inlineStr">
        <is>
          <t>0.0063Nm</t>
        </is>
      </c>
      <c r="AC423" s="53" t="n">
        <v>45252</v>
      </c>
      <c r="AD423" s="84" t="inlineStr">
        <is>
          <t>C</t>
        </is>
      </c>
    </row>
    <row r="424" ht="12.75" customHeight="1" s="123">
      <c r="A424" s="85" t="n">
        <v>422</v>
      </c>
      <c r="B424" s="30" t="inlineStr">
        <is>
          <t>B&amp;P-041-LS02-2RS-ZJFD</t>
        </is>
      </c>
      <c r="C424" s="38" t="n">
        <v>9</v>
      </c>
      <c r="D424" s="38" t="n">
        <v>0</v>
      </c>
      <c r="E424" s="38" t="n">
        <v>-120</v>
      </c>
      <c r="F424" s="38" t="n">
        <v>32</v>
      </c>
      <c r="G424" s="38" t="n">
        <v>0</v>
      </c>
      <c r="H424" s="38" t="n">
        <v>-11</v>
      </c>
      <c r="I424" s="38" t="n">
        <v>9</v>
      </c>
      <c r="J424" s="38" t="n">
        <v>0</v>
      </c>
      <c r="K424" s="38" t="n">
        <v>-120</v>
      </c>
      <c r="L424" s="38" t="n">
        <v>15</v>
      </c>
      <c r="M424" s="38" t="n">
        <v>0</v>
      </c>
      <c r="N424" s="38" t="n">
        <v>-8</v>
      </c>
      <c r="O424" s="38" t="inlineStr">
        <is>
          <t>C3</t>
        </is>
      </c>
      <c r="P424" s="38" t="n">
        <v>13</v>
      </c>
      <c r="Q424" s="38" t="n">
        <v>28</v>
      </c>
      <c r="R424" s="38" t="inlineStr">
        <is>
          <t>NO</t>
        </is>
      </c>
      <c r="S424" s="38" t="inlineStr">
        <is>
          <t>NO</t>
        </is>
      </c>
      <c r="T424" s="38" t="inlineStr">
        <is>
          <t>NO</t>
        </is>
      </c>
      <c r="U424" s="38" t="n">
        <v>64</v>
      </c>
      <c r="V424" s="38" t="n">
        <v>58</v>
      </c>
      <c r="W424" s="38" t="n">
        <v>64</v>
      </c>
      <c r="X424" s="38" t="n">
        <v>58</v>
      </c>
      <c r="Y424" s="50" t="inlineStr">
        <is>
          <t>0.385-0.539gr</t>
        </is>
      </c>
      <c r="Z424" s="38" t="inlineStr">
        <is>
          <t>Polyrex</t>
        </is>
      </c>
      <c r="AA424" s="56" t="inlineStr">
        <is>
          <t>0.0162Nm</t>
        </is>
      </c>
      <c r="AB424" s="50" t="inlineStr">
        <is>
          <t>0.0063Nm</t>
        </is>
      </c>
      <c r="AC424" s="53" t="n">
        <v>44580</v>
      </c>
      <c r="AD424" s="84" t="inlineStr">
        <is>
          <t>A</t>
        </is>
      </c>
    </row>
    <row r="425" ht="12.75" customHeight="1" s="123">
      <c r="A425" s="85" t="n">
        <v>423</v>
      </c>
      <c r="B425" s="31" t="inlineStr">
        <is>
          <t>B&amp;P-041-HD01-2RS-ZJFD</t>
        </is>
      </c>
      <c r="C425" s="50" t="n">
        <v>12</v>
      </c>
      <c r="D425" s="50" t="n">
        <v>0</v>
      </c>
      <c r="E425" s="50" t="n">
        <v>-120</v>
      </c>
      <c r="F425" s="50" t="n">
        <v>37</v>
      </c>
      <c r="G425" s="50" t="n">
        <v>0</v>
      </c>
      <c r="H425" s="50" t="n">
        <v>-9</v>
      </c>
      <c r="I425" s="50" t="n">
        <v>12</v>
      </c>
      <c r="J425" s="50" t="n">
        <v>0</v>
      </c>
      <c r="K425" s="50" t="n">
        <v>-120</v>
      </c>
      <c r="L425" s="50" t="n">
        <v>12</v>
      </c>
      <c r="M425" s="50" t="n">
        <v>0</v>
      </c>
      <c r="N425" s="50" t="n">
        <v>-7</v>
      </c>
      <c r="O425" s="50" t="inlineStr">
        <is>
          <t>C3</t>
        </is>
      </c>
      <c r="P425" s="50" t="n">
        <v>25</v>
      </c>
      <c r="Q425" s="50" t="n">
        <v>11</v>
      </c>
      <c r="R425" s="50" t="inlineStr">
        <is>
          <t>NO</t>
        </is>
      </c>
      <c r="S425" s="50" t="inlineStr">
        <is>
          <t>NO</t>
        </is>
      </c>
      <c r="T425" s="50" t="inlineStr">
        <is>
          <t>NO</t>
        </is>
      </c>
      <c r="U425" s="50" t="n">
        <v>65</v>
      </c>
      <c r="V425" s="50" t="n">
        <v>60</v>
      </c>
      <c r="W425" s="50" t="n">
        <v>65</v>
      </c>
      <c r="X425" s="50" t="n">
        <v>60</v>
      </c>
      <c r="Y425" s="50" t="inlineStr">
        <is>
          <t>0.62-0.87gr</t>
        </is>
      </c>
      <c r="Z425" s="50" t="inlineStr">
        <is>
          <t>Grease polyrex standard</t>
        </is>
      </c>
      <c r="AA425" s="56" t="inlineStr">
        <is>
          <t>standard</t>
        </is>
      </c>
      <c r="AB425" s="50" t="inlineStr">
        <is>
          <t>standard</t>
        </is>
      </c>
      <c r="AC425" s="53" t="n">
        <v>45378</v>
      </c>
      <c r="AD425" s="84" t="inlineStr">
        <is>
          <t>F</t>
        </is>
      </c>
    </row>
    <row r="426" ht="12.75" customHeight="1" s="123">
      <c r="A426" s="85" t="n">
        <v>424</v>
      </c>
      <c r="B426" s="31" t="inlineStr">
        <is>
          <t>BPB-041-HD07-D-ZJFD</t>
        </is>
      </c>
      <c r="C426" s="50" t="n">
        <v>21</v>
      </c>
      <c r="D426" s="50" t="n">
        <v>0</v>
      </c>
      <c r="E426" s="50" t="n">
        <v>-120</v>
      </c>
      <c r="F426" s="50" t="n">
        <v>80</v>
      </c>
      <c r="G426" s="50" t="n">
        <v>0</v>
      </c>
      <c r="H426" s="50" t="n">
        <v>-13</v>
      </c>
      <c r="I426" s="50" t="n">
        <v>21</v>
      </c>
      <c r="J426" s="50" t="n">
        <v>0</v>
      </c>
      <c r="K426" s="50" t="n">
        <v>-120</v>
      </c>
      <c r="L426" s="50" t="n">
        <v>35</v>
      </c>
      <c r="M426" s="50" t="n">
        <v>0</v>
      </c>
      <c r="N426" s="50" t="n">
        <v>-12</v>
      </c>
      <c r="O426" s="50" t="inlineStr">
        <is>
          <t>C3</t>
        </is>
      </c>
      <c r="P426" s="50" t="n">
        <v>33</v>
      </c>
      <c r="Q426" s="50" t="n">
        <v>15</v>
      </c>
      <c r="R426" s="50" t="inlineStr">
        <is>
          <t>NO</t>
        </is>
      </c>
      <c r="S426" s="50" t="inlineStr">
        <is>
          <t>NO</t>
        </is>
      </c>
      <c r="T426" s="50" t="inlineStr">
        <is>
          <t>NO</t>
        </is>
      </c>
      <c r="U426" s="50" t="n">
        <v>64</v>
      </c>
      <c r="V426" s="50" t="n">
        <v>58</v>
      </c>
      <c r="W426" s="50" t="n">
        <v>64</v>
      </c>
      <c r="X426" s="50" t="n">
        <v>58</v>
      </c>
      <c r="Y426" s="50" t="inlineStr">
        <is>
          <t>-</t>
        </is>
      </c>
      <c r="Z426" s="50" t="inlineStr">
        <is>
          <t>-</t>
        </is>
      </c>
      <c r="AA426" s="56" t="inlineStr">
        <is>
          <t>-</t>
        </is>
      </c>
      <c r="AB426" s="50" t="inlineStr">
        <is>
          <t>-</t>
        </is>
      </c>
      <c r="AC426" s="53" t="n">
        <v>43841</v>
      </c>
      <c r="AD426" s="84" t="inlineStr">
        <is>
          <t>B</t>
        </is>
      </c>
    </row>
    <row r="427" ht="12.75" customHeight="1" s="123">
      <c r="A427" s="85" t="n">
        <v>425</v>
      </c>
      <c r="B427" s="31" t="inlineStr">
        <is>
          <t>B&amp;P-031-DAC-35720033-BBS</t>
        </is>
      </c>
      <c r="C427" s="50" t="n">
        <v>33</v>
      </c>
      <c r="D427" s="50" t="n">
        <v>0</v>
      </c>
      <c r="E427" s="50" t="n">
        <v>-120</v>
      </c>
      <c r="F427" s="50" t="n">
        <v>72</v>
      </c>
      <c r="G427" s="50" t="n">
        <v>0</v>
      </c>
      <c r="H427" s="50" t="n">
        <v>-13</v>
      </c>
      <c r="I427" s="50" t="n">
        <v>33</v>
      </c>
      <c r="J427" s="50" t="n">
        <v>0</v>
      </c>
      <c r="K427" s="50" t="n">
        <v>-120</v>
      </c>
      <c r="L427" s="50" t="n">
        <v>35</v>
      </c>
      <c r="M427" s="50" t="n">
        <v>0</v>
      </c>
      <c r="N427" s="50" t="n">
        <v>-12</v>
      </c>
      <c r="O427" s="50" t="inlineStr">
        <is>
          <t>NO</t>
        </is>
      </c>
      <c r="P427" s="50" t="inlineStr">
        <is>
          <t>NO</t>
        </is>
      </c>
      <c r="Q427" s="50" t="inlineStr">
        <is>
          <t>NO</t>
        </is>
      </c>
      <c r="R427" s="50" t="inlineStr">
        <is>
          <t>AXIAL</t>
        </is>
      </c>
      <c r="S427" s="50" t="n">
        <v>30</v>
      </c>
      <c r="T427" s="50" t="n">
        <v>80</v>
      </c>
      <c r="U427" s="50" t="n">
        <v>64</v>
      </c>
      <c r="V427" s="50" t="n">
        <v>58</v>
      </c>
      <c r="W427" s="50" t="n">
        <v>64</v>
      </c>
      <c r="X427" s="50" t="n">
        <v>58</v>
      </c>
      <c r="Y427" s="50" t="inlineStr">
        <is>
          <t>50-60%</t>
        </is>
      </c>
      <c r="Z427" s="50" t="inlineStr">
        <is>
          <t>MOBIL MOBILUX</t>
        </is>
      </c>
      <c r="AA427" s="56" t="inlineStr">
        <is>
          <t>-</t>
        </is>
      </c>
      <c r="AB427" s="50" t="inlineStr">
        <is>
          <t>-</t>
        </is>
      </c>
      <c r="AC427" s="53" t="n">
        <v>45386</v>
      </c>
      <c r="AD427" s="84" t="inlineStr">
        <is>
          <t>C</t>
        </is>
      </c>
    </row>
    <row r="428" ht="12.75" customHeight="1" s="123">
      <c r="A428" s="85" t="n">
        <v>426</v>
      </c>
      <c r="B428" s="31" t="inlineStr">
        <is>
          <t>B&amp;P-041-MS00-2RST-YS</t>
        </is>
      </c>
      <c r="C428" s="50" t="n">
        <v>9</v>
      </c>
      <c r="D428" s="50" t="n">
        <v>0</v>
      </c>
      <c r="E428" s="50" t="n">
        <v>-120</v>
      </c>
      <c r="F428" s="50" t="n">
        <v>30</v>
      </c>
      <c r="G428" s="50" t="n">
        <v>0</v>
      </c>
      <c r="H428" s="50" t="n">
        <v>-8</v>
      </c>
      <c r="I428" s="50" t="n">
        <v>9</v>
      </c>
      <c r="J428" s="50" t="n">
        <v>0</v>
      </c>
      <c r="K428" s="50" t="n">
        <v>-120</v>
      </c>
      <c r="L428" s="50" t="n">
        <v>10</v>
      </c>
      <c r="M428" s="50" t="n">
        <v>0</v>
      </c>
      <c r="N428" s="50" t="n">
        <v>-7</v>
      </c>
      <c r="O428" s="50" t="inlineStr">
        <is>
          <t>C3</t>
        </is>
      </c>
      <c r="P428" s="50" t="n">
        <v>23</v>
      </c>
      <c r="Q428" s="50" t="n">
        <v>8</v>
      </c>
      <c r="R428" s="50" t="inlineStr">
        <is>
          <t>NO</t>
        </is>
      </c>
      <c r="S428" s="50" t="inlineStr">
        <is>
          <t>NO</t>
        </is>
      </c>
      <c r="T428" s="50" t="inlineStr">
        <is>
          <t>NO</t>
        </is>
      </c>
      <c r="U428" s="50" t="n">
        <v>64</v>
      </c>
      <c r="V428" s="50" t="n">
        <v>58</v>
      </c>
      <c r="W428" s="50" t="n">
        <v>64</v>
      </c>
      <c r="X428" s="50" t="n">
        <v>58</v>
      </c>
      <c r="Y428" s="50" t="inlineStr">
        <is>
          <t>0.78 - 0.89gr</t>
        </is>
      </c>
      <c r="Z428" s="50" t="inlineStr">
        <is>
          <t>Polyrex</t>
        </is>
      </c>
      <c r="AA428" s="56" t="inlineStr">
        <is>
          <t>0.040Nm</t>
        </is>
      </c>
      <c r="AB428" s="50" t="inlineStr">
        <is>
          <t>0.011Nm</t>
        </is>
      </c>
      <c r="AC428" s="53" t="n">
        <v>45181</v>
      </c>
      <c r="AD428" s="84" t="inlineStr">
        <is>
          <t>E</t>
        </is>
      </c>
    </row>
    <row r="429" ht="12.75" customHeight="1" s="123">
      <c r="A429" s="85" t="n">
        <v>427</v>
      </c>
      <c r="B429" s="31" t="inlineStr">
        <is>
          <t>B&amp;P-048-5204-KPP3-ZJXY</t>
        </is>
      </c>
      <c r="C429" s="50" t="n">
        <v>42.6</v>
      </c>
      <c r="D429" s="50" t="n">
        <v>0.05</v>
      </c>
      <c r="E429" s="50" t="n">
        <v>-0.05</v>
      </c>
      <c r="F429" s="50" t="n">
        <v>47</v>
      </c>
      <c r="G429" s="50" t="n">
        <v>0</v>
      </c>
      <c r="H429" s="50" t="n">
        <v>-15</v>
      </c>
      <c r="I429" s="50" t="n">
        <v>48</v>
      </c>
      <c r="J429" s="50" t="n">
        <v>0</v>
      </c>
      <c r="K429" s="50" t="n">
        <v>-120</v>
      </c>
      <c r="L429" s="50" t="n">
        <v>20</v>
      </c>
      <c r="M429" s="50" t="n">
        <v>127</v>
      </c>
      <c r="N429" s="50" t="n">
        <v>0</v>
      </c>
      <c r="O429" s="50" t="inlineStr">
        <is>
          <t>NO</t>
        </is>
      </c>
      <c r="P429" s="50" t="inlineStr">
        <is>
          <t>NO</t>
        </is>
      </c>
      <c r="Q429" s="50" t="inlineStr">
        <is>
          <t>NO</t>
        </is>
      </c>
      <c r="R429" s="50" t="inlineStr">
        <is>
          <t>AXIAL</t>
        </is>
      </c>
      <c r="S429" s="50" t="n">
        <v>20</v>
      </c>
      <c r="T429" s="50" t="n">
        <v>35</v>
      </c>
      <c r="U429" s="50" t="n">
        <v>62</v>
      </c>
      <c r="V429" s="50" t="n">
        <v>58</v>
      </c>
      <c r="W429" s="50" t="n">
        <v>62</v>
      </c>
      <c r="X429" s="50" t="n">
        <v>58</v>
      </c>
      <c r="Y429" s="50" t="inlineStr">
        <is>
          <t>65-75%</t>
        </is>
      </c>
      <c r="Z429" s="50" t="inlineStr">
        <is>
          <t>polyrex</t>
        </is>
      </c>
      <c r="AA429" s="56" t="inlineStr">
        <is>
          <t>High</t>
        </is>
      </c>
      <c r="AB429" s="63" t="inlineStr">
        <is>
          <t>-</t>
        </is>
      </c>
      <c r="AC429" s="53" t="n">
        <v>43174</v>
      </c>
      <c r="AD429" s="84" t="inlineStr">
        <is>
          <t>G</t>
        </is>
      </c>
    </row>
    <row r="430" ht="12.75" customHeight="1" s="123">
      <c r="A430" s="85" t="n">
        <v>428</v>
      </c>
      <c r="B430" s="30" t="inlineStr">
        <is>
          <t>B&amp;P-041-LS12-2RLD - ZJFD</t>
        </is>
      </c>
      <c r="C430" s="38" t="n">
        <v>18</v>
      </c>
      <c r="D430" s="38" t="n">
        <v>0</v>
      </c>
      <c r="E430" s="38" t="n">
        <v>-150</v>
      </c>
      <c r="F430" s="38" t="n">
        <v>95</v>
      </c>
      <c r="G430" s="38" t="n">
        <v>0</v>
      </c>
      <c r="H430" s="38" t="n">
        <v>-13</v>
      </c>
      <c r="I430" s="38" t="n">
        <v>18</v>
      </c>
      <c r="J430" s="38" t="n">
        <v>0</v>
      </c>
      <c r="K430" s="38" t="n">
        <v>-150</v>
      </c>
      <c r="L430" s="38" t="n">
        <v>60</v>
      </c>
      <c r="M430" s="38" t="n">
        <v>0</v>
      </c>
      <c r="N430" s="38" t="n">
        <v>-12</v>
      </c>
      <c r="O430" s="38" t="inlineStr">
        <is>
          <t>C3</t>
        </is>
      </c>
      <c r="P430" s="38" t="n">
        <v>43</v>
      </c>
      <c r="Q430" s="38" t="n">
        <v>23</v>
      </c>
      <c r="R430" s="38" t="inlineStr">
        <is>
          <t>NO</t>
        </is>
      </c>
      <c r="S430" s="38" t="inlineStr">
        <is>
          <t>NO</t>
        </is>
      </c>
      <c r="T430" s="38" t="inlineStr">
        <is>
          <t>NO</t>
        </is>
      </c>
      <c r="U430" s="38" t="n">
        <v>64</v>
      </c>
      <c r="V430" s="38" t="n">
        <v>58</v>
      </c>
      <c r="W430" s="38" t="n">
        <v>64</v>
      </c>
      <c r="X430" s="38" t="n">
        <v>58</v>
      </c>
      <c r="Y430" s="56" t="inlineStr">
        <is>
          <t>25%-35%</t>
        </is>
      </c>
      <c r="Z430" s="38" t="inlineStr">
        <is>
          <t>Polyrex</t>
        </is>
      </c>
      <c r="AA430" s="45" t="inlineStr">
        <is>
          <t>standard</t>
        </is>
      </c>
      <c r="AB430" s="38" t="inlineStr">
        <is>
          <t>standard</t>
        </is>
      </c>
      <c r="AC430" s="52" t="n">
        <v>42656</v>
      </c>
      <c r="AD430" s="51" t="n">
        <v>0</v>
      </c>
    </row>
    <row r="431" ht="12.75" customHeight="1" s="123">
      <c r="A431" s="85" t="n">
        <v>429</v>
      </c>
      <c r="B431" s="31" t="inlineStr">
        <is>
          <t>B&amp;P-041-MS04-2RSTX-YS</t>
        </is>
      </c>
      <c r="C431" s="50" t="n">
        <v>14</v>
      </c>
      <c r="D431" s="50" t="n">
        <v>0</v>
      </c>
      <c r="E431" s="50" t="n">
        <v>-120</v>
      </c>
      <c r="F431" s="50" t="n">
        <v>47</v>
      </c>
      <c r="G431" s="50" t="n">
        <v>0</v>
      </c>
      <c r="H431" s="50" t="n">
        <v>-11</v>
      </c>
      <c r="I431" s="50" t="n">
        <v>14</v>
      </c>
      <c r="J431" s="50" t="n">
        <v>0</v>
      </c>
      <c r="K431" s="50" t="n">
        <v>-120</v>
      </c>
      <c r="L431" s="50" t="n">
        <v>20</v>
      </c>
      <c r="M431" s="50" t="n">
        <v>0</v>
      </c>
      <c r="N431" s="50" t="n">
        <v>-10</v>
      </c>
      <c r="O431" s="50" t="inlineStr">
        <is>
          <t>C3</t>
        </is>
      </c>
      <c r="P431" s="50" t="n">
        <v>28</v>
      </c>
      <c r="Q431" s="50" t="n">
        <v>13</v>
      </c>
      <c r="R431" s="38" t="inlineStr">
        <is>
          <t>NO</t>
        </is>
      </c>
      <c r="S431" s="38" t="inlineStr">
        <is>
          <t>NO</t>
        </is>
      </c>
      <c r="T431" s="38" t="inlineStr">
        <is>
          <t>NO</t>
        </is>
      </c>
      <c r="U431" s="50" t="n">
        <v>64</v>
      </c>
      <c r="V431" s="50" t="n">
        <v>58</v>
      </c>
      <c r="W431" s="50" t="n">
        <v>64</v>
      </c>
      <c r="X431" s="50" t="n">
        <v>58</v>
      </c>
      <c r="Y431" s="50" t="inlineStr">
        <is>
          <t>70%-80%</t>
        </is>
      </c>
      <c r="Z431" s="50" t="inlineStr">
        <is>
          <t>polyrex</t>
        </is>
      </c>
      <c r="AA431" s="56" t="inlineStr">
        <is>
          <t>standard</t>
        </is>
      </c>
      <c r="AB431" s="50" t="inlineStr">
        <is>
          <t>standard</t>
        </is>
      </c>
      <c r="AC431" s="53" t="n">
        <v>44663</v>
      </c>
      <c r="AD431" s="84" t="inlineStr">
        <is>
          <t>A</t>
        </is>
      </c>
    </row>
    <row r="432" ht="12.75" customHeight="1" s="123">
      <c r="A432" s="85" t="n">
        <v>430</v>
      </c>
      <c r="B432" s="31" t="inlineStr">
        <is>
          <t>B&amp;P-041-MS05-2RSTX-YS</t>
        </is>
      </c>
      <c r="C432" s="50" t="n">
        <v>15</v>
      </c>
      <c r="D432" s="50" t="n">
        <v>0</v>
      </c>
      <c r="E432" s="50" t="n">
        <v>-120</v>
      </c>
      <c r="F432" s="50" t="n">
        <v>52</v>
      </c>
      <c r="G432" s="50" t="n">
        <v>0</v>
      </c>
      <c r="H432" s="50" t="n">
        <v>-13</v>
      </c>
      <c r="I432" s="50" t="n">
        <v>15</v>
      </c>
      <c r="J432" s="50" t="n">
        <v>0</v>
      </c>
      <c r="K432" s="50" t="n">
        <v>-120</v>
      </c>
      <c r="L432" s="50" t="n">
        <v>25</v>
      </c>
      <c r="M432" s="50" t="n">
        <v>0</v>
      </c>
      <c r="N432" s="50" t="n">
        <v>-10</v>
      </c>
      <c r="O432" s="50" t="inlineStr">
        <is>
          <t>C3</t>
        </is>
      </c>
      <c r="P432" s="50" t="n">
        <v>28</v>
      </c>
      <c r="Q432" s="50" t="n">
        <v>13</v>
      </c>
      <c r="R432" s="38" t="inlineStr">
        <is>
          <t>NO</t>
        </is>
      </c>
      <c r="S432" s="38" t="inlineStr">
        <is>
          <t>NO</t>
        </is>
      </c>
      <c r="T432" s="38" t="inlineStr">
        <is>
          <t>NO</t>
        </is>
      </c>
      <c r="U432" s="50" t="n">
        <v>64</v>
      </c>
      <c r="V432" s="50" t="n">
        <v>58</v>
      </c>
      <c r="W432" s="50" t="n">
        <v>64</v>
      </c>
      <c r="X432" s="50" t="n">
        <v>58</v>
      </c>
      <c r="Y432" s="50" t="inlineStr">
        <is>
          <t>70%-80%</t>
        </is>
      </c>
      <c r="Z432" s="50" t="inlineStr">
        <is>
          <t>polyrex</t>
        </is>
      </c>
      <c r="AA432" s="56" t="inlineStr">
        <is>
          <t>standard</t>
        </is>
      </c>
      <c r="AB432" s="50" t="inlineStr">
        <is>
          <t>standard</t>
        </is>
      </c>
      <c r="AC432" s="53" t="n">
        <v>44518</v>
      </c>
      <c r="AD432" s="84" t="n">
        <v>0</v>
      </c>
    </row>
    <row r="433" ht="12.75" customHeight="1" s="123">
      <c r="A433" s="85" t="n">
        <v>431</v>
      </c>
      <c r="B433" s="31" t="inlineStr">
        <is>
          <t>B&amp;P-041-MS06-2RSTX-YS</t>
        </is>
      </c>
      <c r="C433" s="50" t="n">
        <v>16</v>
      </c>
      <c r="D433" s="50" t="n">
        <v>0</v>
      </c>
      <c r="E433" s="50" t="n">
        <v>-120</v>
      </c>
      <c r="F433" s="50" t="n">
        <v>62</v>
      </c>
      <c r="G433" s="50" t="n">
        <v>0</v>
      </c>
      <c r="H433" s="50" t="n">
        <v>-13</v>
      </c>
      <c r="I433" s="50" t="n">
        <v>16</v>
      </c>
      <c r="J433" s="50" t="n">
        <v>0</v>
      </c>
      <c r="K433" s="50" t="n">
        <v>-120</v>
      </c>
      <c r="L433" s="50" t="n">
        <v>30</v>
      </c>
      <c r="M433" s="50" t="n">
        <v>0</v>
      </c>
      <c r="N433" s="50" t="n">
        <v>-10</v>
      </c>
      <c r="O433" s="50" t="inlineStr">
        <is>
          <t>C3</t>
        </is>
      </c>
      <c r="P433" s="50" t="n">
        <v>28</v>
      </c>
      <c r="Q433" s="50" t="n">
        <v>13</v>
      </c>
      <c r="R433" s="38" t="inlineStr">
        <is>
          <t>NO</t>
        </is>
      </c>
      <c r="S433" s="38" t="inlineStr">
        <is>
          <t>NO</t>
        </is>
      </c>
      <c r="T433" s="38" t="inlineStr">
        <is>
          <t>NO</t>
        </is>
      </c>
      <c r="U433" s="50" t="n">
        <v>64</v>
      </c>
      <c r="V433" s="50" t="n">
        <v>58</v>
      </c>
      <c r="W433" s="50" t="n">
        <v>64</v>
      </c>
      <c r="X433" s="50" t="n">
        <v>58</v>
      </c>
      <c r="Y433" s="50" t="inlineStr">
        <is>
          <t>70%-80%</t>
        </is>
      </c>
      <c r="Z433" s="50" t="inlineStr">
        <is>
          <t>polyrex</t>
        </is>
      </c>
      <c r="AA433" s="56" t="inlineStr">
        <is>
          <t>standard</t>
        </is>
      </c>
      <c r="AB433" s="50" t="inlineStr">
        <is>
          <t>standard</t>
        </is>
      </c>
      <c r="AC433" s="53" t="n">
        <v>44663</v>
      </c>
      <c r="AD433" s="84" t="inlineStr">
        <is>
          <t>A</t>
        </is>
      </c>
    </row>
    <row r="434" ht="12.75" customHeight="1" s="123">
      <c r="A434" s="85" t="n">
        <v>432</v>
      </c>
      <c r="B434" s="31" t="inlineStr">
        <is>
          <t>B&amp;P-041-MS03-2RSTX-YS</t>
        </is>
      </c>
      <c r="C434" s="50" t="n">
        <v>12</v>
      </c>
      <c r="D434" s="50" t="n">
        <v>0</v>
      </c>
      <c r="E434" s="50" t="n">
        <v>-120</v>
      </c>
      <c r="F434" s="50" t="n">
        <v>40</v>
      </c>
      <c r="G434" s="50" t="n">
        <v>0</v>
      </c>
      <c r="H434" s="50" t="n">
        <v>-11</v>
      </c>
      <c r="I434" s="50" t="n">
        <v>12</v>
      </c>
      <c r="J434" s="50" t="n">
        <v>0</v>
      </c>
      <c r="K434" s="50" t="n">
        <v>-120</v>
      </c>
      <c r="L434" s="50" t="n">
        <v>17</v>
      </c>
      <c r="M434" s="50" t="n">
        <v>0</v>
      </c>
      <c r="N434" s="50" t="n">
        <v>-8</v>
      </c>
      <c r="O434" s="50" t="inlineStr">
        <is>
          <t>C3</t>
        </is>
      </c>
      <c r="P434" s="50" t="n">
        <v>25</v>
      </c>
      <c r="Q434" s="50" t="n">
        <v>11</v>
      </c>
      <c r="R434" s="38" t="inlineStr">
        <is>
          <t>NO</t>
        </is>
      </c>
      <c r="S434" s="38" t="inlineStr">
        <is>
          <t>NO</t>
        </is>
      </c>
      <c r="T434" s="38" t="inlineStr">
        <is>
          <t>NO</t>
        </is>
      </c>
      <c r="U434" s="50" t="n">
        <v>64</v>
      </c>
      <c r="V434" s="50" t="n">
        <v>58</v>
      </c>
      <c r="W434" s="50" t="n">
        <v>64</v>
      </c>
      <c r="X434" s="50" t="n">
        <v>58</v>
      </c>
      <c r="Y434" s="50" t="inlineStr">
        <is>
          <t>70%-80%</t>
        </is>
      </c>
      <c r="Z434" s="50" t="inlineStr">
        <is>
          <t>polyrex</t>
        </is>
      </c>
      <c r="AA434" s="56" t="inlineStr">
        <is>
          <t>standard</t>
        </is>
      </c>
      <c r="AB434" s="50" t="inlineStr">
        <is>
          <t>standard</t>
        </is>
      </c>
      <c r="AC434" s="53" t="n">
        <v>44663</v>
      </c>
      <c r="AD434" s="84" t="inlineStr">
        <is>
          <t>A</t>
        </is>
      </c>
    </row>
    <row r="435" ht="12.75" customHeight="1" s="123">
      <c r="A435" s="85" t="n">
        <v>433</v>
      </c>
      <c r="B435" s="31" t="inlineStr">
        <is>
          <t>B&amp;P-041-MS02-ZZ-YS</t>
        </is>
      </c>
      <c r="C435" s="50" t="n">
        <v>11</v>
      </c>
      <c r="D435" s="50" t="n">
        <v>0</v>
      </c>
      <c r="E435" s="50" t="n">
        <v>-12</v>
      </c>
      <c r="F435" s="50" t="n">
        <v>35</v>
      </c>
      <c r="G435" s="50" t="n">
        <v>0</v>
      </c>
      <c r="H435" s="50" t="n">
        <v>-11</v>
      </c>
      <c r="I435" s="50" t="n">
        <v>11</v>
      </c>
      <c r="J435" s="50" t="n">
        <v>0</v>
      </c>
      <c r="K435" s="50" t="n">
        <v>-12</v>
      </c>
      <c r="L435" s="50" t="n">
        <v>15</v>
      </c>
      <c r="M435" s="50" t="n">
        <v>0</v>
      </c>
      <c r="N435" s="50" t="n">
        <v>-8</v>
      </c>
      <c r="O435" s="50" t="inlineStr">
        <is>
          <t>C3</t>
        </is>
      </c>
      <c r="P435" s="50" t="n">
        <v>25</v>
      </c>
      <c r="Q435" s="50" t="n">
        <v>11</v>
      </c>
      <c r="R435" s="50" t="inlineStr">
        <is>
          <t>NO</t>
        </is>
      </c>
      <c r="S435" s="50" t="inlineStr">
        <is>
          <t>NO</t>
        </is>
      </c>
      <c r="T435" s="50" t="inlineStr">
        <is>
          <t>NO</t>
        </is>
      </c>
      <c r="U435" s="50" t="n">
        <v>64</v>
      </c>
      <c r="V435" s="50" t="n">
        <v>58</v>
      </c>
      <c r="W435" s="50" t="n">
        <v>64</v>
      </c>
      <c r="X435" s="50" t="n">
        <v>58</v>
      </c>
      <c r="Y435" s="50" t="inlineStr">
        <is>
          <t>25-35%</t>
        </is>
      </c>
      <c r="Z435" s="50" t="inlineStr">
        <is>
          <t>shell gadus s2 v100 2</t>
        </is>
      </c>
      <c r="AA435" s="56" t="inlineStr">
        <is>
          <t>NO</t>
        </is>
      </c>
      <c r="AB435" s="50" t="inlineStr">
        <is>
          <t>NO</t>
        </is>
      </c>
      <c r="AC435" s="53" t="n">
        <v>44760</v>
      </c>
      <c r="AD435" s="84" t="inlineStr">
        <is>
          <t>A</t>
        </is>
      </c>
    </row>
    <row r="436" ht="12.75" customHeight="1" s="123">
      <c r="A436" s="85" t="n">
        <v>434</v>
      </c>
      <c r="B436" s="31" t="inlineStr">
        <is>
          <t>B&amp;P-041-SS-MS04-2RS-ZJSC</t>
        </is>
      </c>
      <c r="C436" s="50" t="n">
        <v>14</v>
      </c>
      <c r="D436" s="50" t="n">
        <v>0</v>
      </c>
      <c r="E436" s="50" t="n">
        <v>-120</v>
      </c>
      <c r="F436" s="50" t="n">
        <v>47</v>
      </c>
      <c r="G436" s="50" t="n">
        <v>0</v>
      </c>
      <c r="H436" s="50" t="n">
        <v>-11</v>
      </c>
      <c r="I436" s="50" t="n">
        <v>14</v>
      </c>
      <c r="J436" s="50" t="n">
        <v>0</v>
      </c>
      <c r="K436" s="50" t="n">
        <v>-120</v>
      </c>
      <c r="L436" s="50" t="n">
        <v>20</v>
      </c>
      <c r="M436" s="50" t="n">
        <v>0</v>
      </c>
      <c r="N436" s="50" t="n">
        <v>-10</v>
      </c>
      <c r="O436" s="50" t="inlineStr">
        <is>
          <t>C3</t>
        </is>
      </c>
      <c r="P436" s="50" t="n">
        <v>28</v>
      </c>
      <c r="Q436" s="50" t="n">
        <v>13</v>
      </c>
      <c r="R436" s="38" t="inlineStr">
        <is>
          <t>NO</t>
        </is>
      </c>
      <c r="S436" s="38" t="inlineStr">
        <is>
          <t>NO</t>
        </is>
      </c>
      <c r="T436" s="38" t="inlineStr">
        <is>
          <t>NO</t>
        </is>
      </c>
      <c r="U436" s="50" t="n">
        <v>55</v>
      </c>
      <c r="V436" s="50" t="n">
        <v>52</v>
      </c>
      <c r="W436" s="50" t="n">
        <v>55</v>
      </c>
      <c r="X436" s="50" t="n">
        <v>52</v>
      </c>
      <c r="Y436" s="50" t="inlineStr">
        <is>
          <t>3.35-3.38gr</t>
        </is>
      </c>
      <c r="Z436" s="50" t="inlineStr">
        <is>
          <t>Polyrex</t>
        </is>
      </c>
      <c r="AA436" s="56" t="inlineStr">
        <is>
          <t>0.024Nm</t>
        </is>
      </c>
      <c r="AB436" s="50" t="inlineStr">
        <is>
          <t>0.012Nm</t>
        </is>
      </c>
      <c r="AC436" s="53" t="n">
        <v>44938</v>
      </c>
      <c r="AD436" s="84" t="inlineStr">
        <is>
          <t>C</t>
        </is>
      </c>
    </row>
    <row r="437" ht="12.75" customHeight="1" s="123">
      <c r="A437" s="85" t="n">
        <v>435</v>
      </c>
      <c r="B437" s="31" t="inlineStr">
        <is>
          <t>B&amp;P-041-1635-2RLD-HLBR</t>
        </is>
      </c>
      <c r="C437" s="50" t="n">
        <v>12.7</v>
      </c>
      <c r="D437" s="50" t="n">
        <v>0</v>
      </c>
      <c r="E437" s="50" t="n">
        <v>-120</v>
      </c>
      <c r="F437" s="50" t="n">
        <v>44.45</v>
      </c>
      <c r="G437" s="50" t="n">
        <v>0</v>
      </c>
      <c r="H437" s="50" t="n">
        <v>-11</v>
      </c>
      <c r="I437" s="50" t="n">
        <v>12.7</v>
      </c>
      <c r="J437" s="50" t="n">
        <v>0</v>
      </c>
      <c r="K437" s="50" t="n">
        <v>-120</v>
      </c>
      <c r="L437" s="50" t="n">
        <v>19.05</v>
      </c>
      <c r="M437" s="50" t="n">
        <v>0</v>
      </c>
      <c r="N437" s="50" t="n">
        <v>-12</v>
      </c>
      <c r="O437" s="50" t="inlineStr">
        <is>
          <t>C3</t>
        </is>
      </c>
      <c r="P437" s="50" t="n">
        <v>28</v>
      </c>
      <c r="Q437" s="50" t="n">
        <v>13</v>
      </c>
      <c r="R437" s="50" t="inlineStr">
        <is>
          <t>NO</t>
        </is>
      </c>
      <c r="S437" s="50" t="inlineStr">
        <is>
          <t>NO</t>
        </is>
      </c>
      <c r="T437" s="50" t="inlineStr">
        <is>
          <t>NO</t>
        </is>
      </c>
      <c r="U437" s="50" t="n">
        <v>64</v>
      </c>
      <c r="V437" s="50" t="n">
        <v>58</v>
      </c>
      <c r="W437" s="50" t="n">
        <v>64</v>
      </c>
      <c r="X437" s="50" t="n">
        <v>58</v>
      </c>
      <c r="Y437" s="50" t="inlineStr">
        <is>
          <t>35-25%</t>
        </is>
      </c>
      <c r="Z437" s="50" t="inlineStr">
        <is>
          <t>Polyrex</t>
        </is>
      </c>
      <c r="AA437" s="56" t="inlineStr">
        <is>
          <t>0.01Nm</t>
        </is>
      </c>
      <c r="AB437" s="50" t="inlineStr">
        <is>
          <t>0.026Nm</t>
        </is>
      </c>
      <c r="AC437" s="53" t="n">
        <v>44869</v>
      </c>
      <c r="AD437" s="84" t="inlineStr">
        <is>
          <t>C</t>
        </is>
      </c>
    </row>
    <row r="438" ht="12.75" customHeight="1" s="123">
      <c r="A438" s="85" t="n">
        <v>436</v>
      </c>
      <c r="B438" s="31" t="inlineStr">
        <is>
          <t>B&amp;P-042-22222-CKW33C-HLBR</t>
        </is>
      </c>
      <c r="C438" s="50" t="n">
        <v>53</v>
      </c>
      <c r="D438" s="50" t="n">
        <v>0</v>
      </c>
      <c r="E438" s="50" t="n">
        <v>-200</v>
      </c>
      <c r="F438" s="50" t="n">
        <v>200</v>
      </c>
      <c r="G438" s="50" t="n">
        <v>0</v>
      </c>
      <c r="H438" s="50" t="n">
        <v>-30</v>
      </c>
      <c r="I438" s="50" t="n">
        <v>53</v>
      </c>
      <c r="J438" s="50" t="n">
        <v>0</v>
      </c>
      <c r="K438" s="50" t="n">
        <v>-200</v>
      </c>
      <c r="L438" s="50" t="n">
        <v>110</v>
      </c>
      <c r="M438" s="50" t="n">
        <v>35</v>
      </c>
      <c r="N438" s="50" t="n">
        <v>0</v>
      </c>
      <c r="O438" s="50" t="inlineStr">
        <is>
          <t>C3</t>
        </is>
      </c>
      <c r="P438" s="50" t="n">
        <v>170</v>
      </c>
      <c r="Q438" s="50" t="n">
        <v>135</v>
      </c>
      <c r="R438" s="50" t="inlineStr">
        <is>
          <t>NO</t>
        </is>
      </c>
      <c r="S438" s="50" t="inlineStr">
        <is>
          <t>NO</t>
        </is>
      </c>
      <c r="T438" s="50" t="inlineStr">
        <is>
          <t>NO</t>
        </is>
      </c>
      <c r="U438" s="50" t="inlineStr">
        <is>
          <t>-</t>
        </is>
      </c>
      <c r="V438" s="50" t="inlineStr">
        <is>
          <t>-</t>
        </is>
      </c>
      <c r="W438" s="50" t="inlineStr">
        <is>
          <t>-</t>
        </is>
      </c>
      <c r="X438" s="50" t="inlineStr">
        <is>
          <t>-</t>
        </is>
      </c>
      <c r="Y438" s="50" t="inlineStr">
        <is>
          <t>-</t>
        </is>
      </c>
      <c r="Z438" s="50" t="inlineStr">
        <is>
          <t>-</t>
        </is>
      </c>
      <c r="AA438" s="56" t="inlineStr">
        <is>
          <t>-</t>
        </is>
      </c>
      <c r="AB438" s="50" t="inlineStr">
        <is>
          <t>-</t>
        </is>
      </c>
      <c r="AC438" s="53" t="n">
        <v>44803</v>
      </c>
      <c r="AD438" s="84" t="inlineStr">
        <is>
          <t>B</t>
        </is>
      </c>
    </row>
    <row r="439" ht="12.75" customHeight="1" s="123">
      <c r="A439" s="85" t="n">
        <v>437</v>
      </c>
      <c r="B439" s="31" t="inlineStr">
        <is>
          <t>B&amp;P-041-TS04-2RS-YS</t>
        </is>
      </c>
      <c r="C439" s="50" t="n">
        <v>9</v>
      </c>
      <c r="D439" s="50" t="n">
        <v>0</v>
      </c>
      <c r="E439" s="50" t="n">
        <v>-120</v>
      </c>
      <c r="F439" s="50" t="n">
        <v>37</v>
      </c>
      <c r="G439" s="50" t="n">
        <v>0</v>
      </c>
      <c r="H439" s="50" t="n">
        <v>-9</v>
      </c>
      <c r="I439" s="50" t="n">
        <v>9</v>
      </c>
      <c r="J439" s="50" t="n">
        <v>0</v>
      </c>
      <c r="K439" s="50" t="n">
        <v>-120</v>
      </c>
      <c r="L439" s="50" t="n">
        <v>20</v>
      </c>
      <c r="M439" s="50" t="n">
        <v>0</v>
      </c>
      <c r="N439" s="50" t="n">
        <v>-8</v>
      </c>
      <c r="O439" s="50" t="inlineStr">
        <is>
          <t>C3</t>
        </is>
      </c>
      <c r="P439" s="50" t="n">
        <v>28</v>
      </c>
      <c r="Q439" s="50" t="n">
        <v>13</v>
      </c>
      <c r="R439" s="50" t="inlineStr">
        <is>
          <t>NO</t>
        </is>
      </c>
      <c r="S439" s="50" t="inlineStr">
        <is>
          <t>NO</t>
        </is>
      </c>
      <c r="T439" s="50" t="inlineStr">
        <is>
          <t>NO</t>
        </is>
      </c>
      <c r="U439" s="50" t="n">
        <v>64</v>
      </c>
      <c r="V439" s="50" t="n">
        <v>58</v>
      </c>
      <c r="W439" s="50" t="n">
        <v>64</v>
      </c>
      <c r="X439" s="50" t="n">
        <v>58</v>
      </c>
      <c r="Y439" s="50" t="inlineStr">
        <is>
          <t>0.38-0.53gr</t>
        </is>
      </c>
      <c r="Z439" s="50" t="inlineStr">
        <is>
          <t>Polyrex</t>
        </is>
      </c>
      <c r="AA439" s="56" t="inlineStr">
        <is>
          <t>0.027Nm</t>
        </is>
      </c>
      <c r="AB439" s="50" t="inlineStr">
        <is>
          <t>0.016Nm</t>
        </is>
      </c>
      <c r="AC439" s="53" t="n">
        <v>44783</v>
      </c>
      <c r="AD439" s="84" t="inlineStr">
        <is>
          <t>C</t>
        </is>
      </c>
    </row>
    <row r="440" ht="12.75" customHeight="1" s="123">
      <c r="A440" s="85" t="n">
        <v>438</v>
      </c>
      <c r="B440" s="31" t="inlineStr">
        <is>
          <t>B&amp;P-041-MS01-2RST-YS</t>
        </is>
      </c>
      <c r="C440" s="50" t="n">
        <v>10</v>
      </c>
      <c r="D440" s="50" t="n">
        <v>0</v>
      </c>
      <c r="E440" s="50" t="n">
        <v>-120</v>
      </c>
      <c r="F440" s="50" t="n">
        <v>32</v>
      </c>
      <c r="G440" s="50" t="n">
        <v>0</v>
      </c>
      <c r="H440" s="50" t="n">
        <v>-9</v>
      </c>
      <c r="I440" s="50" t="n">
        <v>10</v>
      </c>
      <c r="J440" s="50" t="n">
        <v>0</v>
      </c>
      <c r="K440" s="50" t="n">
        <v>-120</v>
      </c>
      <c r="L440" s="50" t="n">
        <v>12</v>
      </c>
      <c r="M440" s="50" t="n">
        <v>0</v>
      </c>
      <c r="N440" s="50" t="n">
        <v>-7</v>
      </c>
      <c r="O440" s="50" t="inlineStr">
        <is>
          <t>C3</t>
        </is>
      </c>
      <c r="P440" s="50" t="n">
        <v>25</v>
      </c>
      <c r="Q440" s="50" t="n">
        <v>11</v>
      </c>
      <c r="R440" s="50" t="inlineStr">
        <is>
          <t>NO</t>
        </is>
      </c>
      <c r="S440" s="50" t="inlineStr">
        <is>
          <t>NO</t>
        </is>
      </c>
      <c r="T440" s="50" t="inlineStr">
        <is>
          <t>NO</t>
        </is>
      </c>
      <c r="U440" s="50" t="n">
        <v>64</v>
      </c>
      <c r="V440" s="50" t="n">
        <v>58</v>
      </c>
      <c r="W440" s="50" t="n">
        <v>64</v>
      </c>
      <c r="X440" s="50" t="n">
        <v>58</v>
      </c>
      <c r="Y440" s="50" t="inlineStr">
        <is>
          <t>1.15 - 1.31 GR</t>
        </is>
      </c>
      <c r="Z440" s="50" t="inlineStr">
        <is>
          <t>Polyrex</t>
        </is>
      </c>
      <c r="AA440" s="56" t="inlineStr">
        <is>
          <t>0.04 Nm</t>
        </is>
      </c>
      <c r="AB440" s="50" t="inlineStr">
        <is>
          <t>0.012Nm</t>
        </is>
      </c>
      <c r="AC440" s="53" t="n">
        <v>44770</v>
      </c>
      <c r="AD440" s="84" t="inlineStr">
        <is>
          <t>C</t>
        </is>
      </c>
    </row>
    <row r="441" ht="12.75" customHeight="1" s="123">
      <c r="A441" s="85" t="n">
        <v>439</v>
      </c>
      <c r="B441" s="31" t="inlineStr">
        <is>
          <t>B&amp;P-041-MS03-2RS-ZJFD</t>
        </is>
      </c>
      <c r="C441" s="50" t="n">
        <v>12</v>
      </c>
      <c r="D441" s="50" t="n">
        <v>0</v>
      </c>
      <c r="E441" s="50" t="n">
        <v>-120</v>
      </c>
      <c r="F441" s="50" t="n">
        <v>40</v>
      </c>
      <c r="G441" s="50" t="n">
        <v>0</v>
      </c>
      <c r="H441" s="50" t="n">
        <v>-9</v>
      </c>
      <c r="I441" s="50" t="n">
        <v>12</v>
      </c>
      <c r="J441" s="50" t="n">
        <v>0</v>
      </c>
      <c r="K441" s="50" t="n">
        <v>-120</v>
      </c>
      <c r="L441" s="50" t="n">
        <v>17</v>
      </c>
      <c r="M441" s="50" t="n">
        <v>0</v>
      </c>
      <c r="N441" s="50" t="n">
        <v>-7</v>
      </c>
      <c r="O441" s="50" t="inlineStr">
        <is>
          <t>C3</t>
        </is>
      </c>
      <c r="P441" s="50" t="n">
        <v>25</v>
      </c>
      <c r="Q441" s="50" t="n">
        <v>11</v>
      </c>
      <c r="R441" s="50" t="inlineStr">
        <is>
          <t>NO</t>
        </is>
      </c>
      <c r="S441" s="50" t="inlineStr">
        <is>
          <t>NO</t>
        </is>
      </c>
      <c r="T441" s="50" t="inlineStr">
        <is>
          <t>NO</t>
        </is>
      </c>
      <c r="U441" s="50" t="n">
        <v>65</v>
      </c>
      <c r="V441" s="50" t="n">
        <v>60</v>
      </c>
      <c r="W441" s="50" t="n">
        <v>65</v>
      </c>
      <c r="X441" s="50" t="n">
        <v>60</v>
      </c>
      <c r="Y441" s="56" t="inlineStr">
        <is>
          <t>0.95-0.68gr</t>
        </is>
      </c>
      <c r="Z441" s="56" t="inlineStr">
        <is>
          <t>Polyrex</t>
        </is>
      </c>
      <c r="AA441" s="56" t="inlineStr">
        <is>
          <t>standard</t>
        </is>
      </c>
      <c r="AB441" s="56" t="inlineStr">
        <is>
          <t>standard</t>
        </is>
      </c>
      <c r="AC441" s="53" t="n">
        <v>44795</v>
      </c>
      <c r="AD441" s="76" t="inlineStr">
        <is>
          <t>D</t>
        </is>
      </c>
    </row>
    <row r="442" ht="12.75" customHeight="1" s="123">
      <c r="A442" s="85" t="n">
        <v>440</v>
      </c>
      <c r="B442" s="31" t="inlineStr">
        <is>
          <t>B&amp;P-041-MS05-2RS-ZJFD</t>
        </is>
      </c>
      <c r="C442" s="50" t="n">
        <v>15</v>
      </c>
      <c r="D442" s="50" t="n">
        <v>0</v>
      </c>
      <c r="E442" s="50" t="n">
        <v>-120</v>
      </c>
      <c r="F442" s="50" t="n">
        <v>52</v>
      </c>
      <c r="G442" s="50" t="n">
        <v>0</v>
      </c>
      <c r="H442" s="50" t="n">
        <v>-11</v>
      </c>
      <c r="I442" s="50" t="n">
        <v>15</v>
      </c>
      <c r="J442" s="50" t="n">
        <v>0</v>
      </c>
      <c r="K442" s="50" t="n">
        <v>-120</v>
      </c>
      <c r="L442" s="50" t="n">
        <v>25</v>
      </c>
      <c r="M442" s="50" t="n">
        <v>0</v>
      </c>
      <c r="N442" s="50" t="n">
        <v>-8</v>
      </c>
      <c r="O442" s="50" t="inlineStr">
        <is>
          <t>C3</t>
        </is>
      </c>
      <c r="P442" s="50" t="n">
        <v>13</v>
      </c>
      <c r="Q442" s="50" t="n">
        <v>28</v>
      </c>
      <c r="R442" s="50" t="inlineStr">
        <is>
          <t>NO</t>
        </is>
      </c>
      <c r="S442" s="50" t="inlineStr">
        <is>
          <t>NO</t>
        </is>
      </c>
      <c r="T442" s="50" t="inlineStr">
        <is>
          <t>NO</t>
        </is>
      </c>
      <c r="U442" s="50" t="n">
        <v>65</v>
      </c>
      <c r="V442" s="50" t="n">
        <v>60</v>
      </c>
      <c r="W442" s="50" t="n">
        <v>65</v>
      </c>
      <c r="X442" s="50" t="n">
        <v>60</v>
      </c>
      <c r="Y442" s="56" t="inlineStr">
        <is>
          <t>1.46-2.04gr</t>
        </is>
      </c>
      <c r="Z442" s="56" t="inlineStr">
        <is>
          <t>Polyrex</t>
        </is>
      </c>
      <c r="AA442" s="56" t="inlineStr">
        <is>
          <t>standard</t>
        </is>
      </c>
      <c r="AB442" s="56" t="inlineStr">
        <is>
          <t>standard</t>
        </is>
      </c>
      <c r="AC442" s="53" t="n">
        <v>44795</v>
      </c>
      <c r="AD442" s="76" t="inlineStr">
        <is>
          <t>D</t>
        </is>
      </c>
    </row>
    <row r="443" ht="12.75" customHeight="1" s="123">
      <c r="A443" s="85" t="n">
        <v>441</v>
      </c>
      <c r="B443" s="31" t="inlineStr">
        <is>
          <t>B&amp;P-041-LS10-2RS-ZJFD</t>
        </is>
      </c>
      <c r="C443" s="50" t="n">
        <v>16</v>
      </c>
      <c r="D443" s="50" t="n">
        <v>0</v>
      </c>
      <c r="E443" s="50" t="n">
        <v>-120</v>
      </c>
      <c r="F443" s="50" t="n">
        <v>80</v>
      </c>
      <c r="G443" s="50" t="n">
        <v>0</v>
      </c>
      <c r="H443" s="50" t="n">
        <v>-11</v>
      </c>
      <c r="I443" s="50" t="n">
        <v>16</v>
      </c>
      <c r="J443" s="50" t="n">
        <v>0</v>
      </c>
      <c r="K443" s="50" t="n">
        <v>-120</v>
      </c>
      <c r="L443" s="50" t="n">
        <v>50</v>
      </c>
      <c r="M443" s="50" t="n">
        <v>0</v>
      </c>
      <c r="N443" s="50" t="n">
        <v>-10</v>
      </c>
      <c r="O443" s="50" t="inlineStr">
        <is>
          <t>C3</t>
        </is>
      </c>
      <c r="P443" s="50" t="n">
        <v>36</v>
      </c>
      <c r="Q443" s="50" t="n">
        <v>18</v>
      </c>
      <c r="R443" s="50" t="inlineStr">
        <is>
          <t>NO</t>
        </is>
      </c>
      <c r="S443" s="50" t="inlineStr">
        <is>
          <t>NO</t>
        </is>
      </c>
      <c r="T443" s="50" t="inlineStr">
        <is>
          <t>NO</t>
        </is>
      </c>
      <c r="U443" s="50" t="n">
        <v>65</v>
      </c>
      <c r="V443" s="50" t="n">
        <v>60</v>
      </c>
      <c r="W443" s="50" t="n">
        <v>65</v>
      </c>
      <c r="X443" s="50" t="n">
        <v>60</v>
      </c>
      <c r="Y443" s="50" t="inlineStr">
        <is>
          <t>3.07 - 4.298 gr</t>
        </is>
      </c>
      <c r="Z443" s="56" t="inlineStr">
        <is>
          <t>Polyrex</t>
        </is>
      </c>
      <c r="AA443" s="56" t="inlineStr">
        <is>
          <t>standard</t>
        </is>
      </c>
      <c r="AB443" s="56" t="inlineStr">
        <is>
          <t>standard</t>
        </is>
      </c>
      <c r="AC443" s="53" t="n">
        <v>44818</v>
      </c>
      <c r="AD443" s="76" t="inlineStr">
        <is>
          <t>C</t>
        </is>
      </c>
    </row>
    <row r="444" ht="12.75" customHeight="1" s="123">
      <c r="A444" s="85" t="n">
        <v>442</v>
      </c>
      <c r="B444" s="31" t="inlineStr">
        <is>
          <t>B&amp;P-031-DAC-35720034-XCYW</t>
        </is>
      </c>
      <c r="C444" s="50" t="n">
        <v>34</v>
      </c>
      <c r="D444" s="50" t="n">
        <v>0</v>
      </c>
      <c r="E444" s="50" t="n">
        <v>-120</v>
      </c>
      <c r="F444" s="50" t="n">
        <v>72</v>
      </c>
      <c r="G444" s="50" t="n">
        <v>0</v>
      </c>
      <c r="H444" s="50" t="n">
        <v>-13</v>
      </c>
      <c r="I444" s="50" t="n">
        <v>34</v>
      </c>
      <c r="J444" s="50" t="n">
        <v>0</v>
      </c>
      <c r="K444" s="50" t="n">
        <v>-120</v>
      </c>
      <c r="L444" s="50" t="n">
        <v>35</v>
      </c>
      <c r="M444" s="50" t="n">
        <v>0</v>
      </c>
      <c r="N444" s="50" t="n">
        <v>-12</v>
      </c>
      <c r="O444" s="50" t="inlineStr">
        <is>
          <t>NO</t>
        </is>
      </c>
      <c r="P444" s="50" t="inlineStr">
        <is>
          <t>NO</t>
        </is>
      </c>
      <c r="Q444" s="50" t="inlineStr">
        <is>
          <t>NO</t>
        </is>
      </c>
      <c r="R444" s="50" t="inlineStr">
        <is>
          <t>AXIal</t>
        </is>
      </c>
      <c r="S444" s="50" t="n">
        <v>100</v>
      </c>
      <c r="T444" s="50" t="n">
        <v>70</v>
      </c>
      <c r="U444" s="50" t="n">
        <v>64</v>
      </c>
      <c r="V444" s="50" t="n">
        <v>58</v>
      </c>
      <c r="W444" s="50" t="n">
        <v>64</v>
      </c>
      <c r="X444" s="50" t="n">
        <v>58</v>
      </c>
      <c r="Y444" s="50" t="inlineStr">
        <is>
          <t>60-30%</t>
        </is>
      </c>
      <c r="Z444" s="50" t="inlineStr">
        <is>
          <t>Polyrex</t>
        </is>
      </c>
      <c r="AA444" s="56" t="inlineStr">
        <is>
          <t>NO</t>
        </is>
      </c>
      <c r="AB444" s="50" t="inlineStr">
        <is>
          <t>NO</t>
        </is>
      </c>
      <c r="AC444" s="53" t="n">
        <v>44739</v>
      </c>
      <c r="AD444" s="84" t="inlineStr">
        <is>
          <t>A</t>
        </is>
      </c>
    </row>
    <row r="445" ht="12.75" customHeight="1" s="123">
      <c r="A445" s="85" t="n">
        <v>443</v>
      </c>
      <c r="B445" s="30" t="inlineStr">
        <is>
          <t>B&amp;P-041-6805-2RLD-5-MID</t>
        </is>
      </c>
      <c r="C445" s="38" t="n">
        <v>7</v>
      </c>
      <c r="D445" s="38" t="n">
        <v>0</v>
      </c>
      <c r="E445" s="38" t="n">
        <v>-120</v>
      </c>
      <c r="F445" s="38" t="n">
        <v>37</v>
      </c>
      <c r="G445" s="38" t="n">
        <v>0</v>
      </c>
      <c r="H445" s="38" t="n">
        <v>-11</v>
      </c>
      <c r="I445" s="38" t="n">
        <v>7</v>
      </c>
      <c r="J445" s="38" t="n">
        <v>0</v>
      </c>
      <c r="K445" s="38" t="n">
        <v>-120</v>
      </c>
      <c r="L445" s="38" t="n">
        <v>25</v>
      </c>
      <c r="M445" s="38" t="n">
        <v>0</v>
      </c>
      <c r="N445" s="38" t="n">
        <v>-10</v>
      </c>
      <c r="O445" s="38" t="inlineStr">
        <is>
          <t>C3</t>
        </is>
      </c>
      <c r="P445" s="38" t="n">
        <v>13</v>
      </c>
      <c r="Q445" s="38" t="n">
        <v>28</v>
      </c>
      <c r="R445" s="38" t="inlineStr">
        <is>
          <t>NO</t>
        </is>
      </c>
      <c r="S445" s="38" t="inlineStr">
        <is>
          <t>NO</t>
        </is>
      </c>
      <c r="T445" s="38" t="inlineStr">
        <is>
          <t>NO</t>
        </is>
      </c>
      <c r="U445" s="38" t="n">
        <v>64</v>
      </c>
      <c r="V445" s="38" t="n">
        <v>58</v>
      </c>
      <c r="W445" s="38" t="n">
        <v>64</v>
      </c>
      <c r="X445" s="38" t="n">
        <v>58</v>
      </c>
      <c r="Y445" s="36" t="inlineStr">
        <is>
          <t>25-35%</t>
        </is>
      </c>
      <c r="Z445" s="38" t="inlineStr">
        <is>
          <t>Polyrex</t>
        </is>
      </c>
      <c r="AA445" s="45" t="inlineStr">
        <is>
          <t>0.028 Nm</t>
        </is>
      </c>
      <c r="AB445" s="45" t="inlineStr">
        <is>
          <t>0.003 Nm</t>
        </is>
      </c>
      <c r="AC445" s="44" t="n">
        <v>43581</v>
      </c>
      <c r="AD445" s="57" t="inlineStr">
        <is>
          <t>J</t>
        </is>
      </c>
    </row>
    <row r="446" ht="12.75" customHeight="1" s="123">
      <c r="A446" s="85" t="n">
        <v>444</v>
      </c>
      <c r="B446" s="30" t="inlineStr">
        <is>
          <t>B&amp;P-041-MS09-2RSTX-LFK</t>
        </is>
      </c>
      <c r="C446" s="38" t="n">
        <v>19</v>
      </c>
      <c r="D446" s="38" t="n">
        <v>0</v>
      </c>
      <c r="E446" s="38" t="n">
        <v>-100</v>
      </c>
      <c r="F446" s="38" t="n">
        <v>85</v>
      </c>
      <c r="G446" s="38" t="n">
        <v>0</v>
      </c>
      <c r="H446" s="38" t="n">
        <v>-13</v>
      </c>
      <c r="I446" s="38" t="n">
        <v>19</v>
      </c>
      <c r="J446" s="38" t="n">
        <v>0</v>
      </c>
      <c r="K446" s="38" t="n">
        <v>-100</v>
      </c>
      <c r="L446" s="38" t="n">
        <v>45</v>
      </c>
      <c r="M446" s="38" t="n">
        <v>0</v>
      </c>
      <c r="N446" s="38" t="n">
        <v>-10</v>
      </c>
      <c r="O446" s="38" t="inlineStr">
        <is>
          <t>C3</t>
        </is>
      </c>
      <c r="P446" s="38" t="n">
        <v>36</v>
      </c>
      <c r="Q446" s="38" t="n">
        <v>18</v>
      </c>
      <c r="R446" s="38" t="inlineStr">
        <is>
          <t>NO</t>
        </is>
      </c>
      <c r="S446" s="38" t="inlineStr">
        <is>
          <t>NO</t>
        </is>
      </c>
      <c r="T446" s="38" t="inlineStr">
        <is>
          <t>NO</t>
        </is>
      </c>
      <c r="U446" s="38" t="n">
        <v>64</v>
      </c>
      <c r="V446" s="38" t="n">
        <v>58</v>
      </c>
      <c r="W446" s="38" t="n">
        <v>64</v>
      </c>
      <c r="X446" s="38" t="n">
        <v>58</v>
      </c>
      <c r="Y446" s="38" t="inlineStr">
        <is>
          <t>12.85-15.6g</t>
        </is>
      </c>
      <c r="Z446" s="38" t="inlineStr">
        <is>
          <t>Polyrex</t>
        </is>
      </c>
      <c r="AA446" s="45" t="inlineStr">
        <is>
          <t>High torque</t>
        </is>
      </c>
      <c r="AB446" s="45" t="inlineStr">
        <is>
          <t>high torque</t>
        </is>
      </c>
      <c r="AC446" s="44" t="n">
        <v>44883</v>
      </c>
      <c r="AD446" s="57" t="inlineStr">
        <is>
          <t>B</t>
        </is>
      </c>
    </row>
    <row r="447" ht="12.75" customHeight="1" s="123">
      <c r="A447" s="85" t="n">
        <v>445</v>
      </c>
      <c r="B447" s="31" t="inlineStr">
        <is>
          <t>B&amp;P-041-MS04-2RS-ZJFD</t>
        </is>
      </c>
      <c r="C447" s="50" t="n">
        <v>14</v>
      </c>
      <c r="D447" s="50" t="n">
        <v>0</v>
      </c>
      <c r="E447" s="50" t="n">
        <v>-120</v>
      </c>
      <c r="F447" s="50" t="n">
        <v>47</v>
      </c>
      <c r="G447" s="50" t="n">
        <v>0</v>
      </c>
      <c r="H447" s="50" t="n">
        <v>-11</v>
      </c>
      <c r="I447" s="50" t="n">
        <v>14</v>
      </c>
      <c r="J447" s="50" t="n">
        <v>0</v>
      </c>
      <c r="K447" s="50" t="n">
        <v>-120</v>
      </c>
      <c r="L447" s="50" t="n">
        <v>20</v>
      </c>
      <c r="M447" s="50" t="n">
        <v>0</v>
      </c>
      <c r="N447" s="50" t="n">
        <v>-10</v>
      </c>
      <c r="O447" s="50" t="inlineStr">
        <is>
          <t>C3</t>
        </is>
      </c>
      <c r="P447" s="50" t="n">
        <v>13</v>
      </c>
      <c r="Q447" s="50" t="n">
        <v>28</v>
      </c>
      <c r="R447" s="50" t="inlineStr">
        <is>
          <t>NO</t>
        </is>
      </c>
      <c r="S447" s="50" t="inlineStr">
        <is>
          <t>NO</t>
        </is>
      </c>
      <c r="T447" s="50" t="inlineStr">
        <is>
          <t>NO</t>
        </is>
      </c>
      <c r="U447" s="50" t="n">
        <v>64</v>
      </c>
      <c r="V447" s="50" t="n">
        <v>58</v>
      </c>
      <c r="W447" s="50" t="n">
        <v>64</v>
      </c>
      <c r="X447" s="50" t="n">
        <v>58</v>
      </c>
      <c r="Y447" s="56" t="inlineStr">
        <is>
          <t>3.35-3.83gr</t>
        </is>
      </c>
      <c r="Z447" s="56" t="inlineStr">
        <is>
          <t>standard</t>
        </is>
      </c>
      <c r="AA447" s="56" t="inlineStr">
        <is>
          <t>0.04Nm</t>
        </is>
      </c>
      <c r="AB447" s="56" t="inlineStr">
        <is>
          <t>0.015Nm</t>
        </is>
      </c>
      <c r="AC447" s="53" t="n">
        <v>44580</v>
      </c>
      <c r="AD447" s="76" t="inlineStr">
        <is>
          <t>B</t>
        </is>
      </c>
    </row>
    <row r="448" ht="12.75" customHeight="1" s="123">
      <c r="A448" s="85" t="n">
        <v>446</v>
      </c>
      <c r="B448" s="31" t="inlineStr">
        <is>
          <t>B&amp;P-041-MS07-2RS-ZJFD</t>
        </is>
      </c>
      <c r="C448" s="50" t="n">
        <v>17</v>
      </c>
      <c r="D448" s="50" t="n">
        <v>0</v>
      </c>
      <c r="E448" s="50" t="n">
        <v>-120</v>
      </c>
      <c r="F448" s="50" t="n">
        <v>72</v>
      </c>
      <c r="G448" s="50" t="n">
        <v>0</v>
      </c>
      <c r="H448" s="50" t="n">
        <v>-11</v>
      </c>
      <c r="I448" s="50" t="n">
        <v>17</v>
      </c>
      <c r="J448" s="50" t="n">
        <v>0</v>
      </c>
      <c r="K448" s="50" t="n">
        <v>-120</v>
      </c>
      <c r="L448" s="50" t="n">
        <v>35</v>
      </c>
      <c r="M448" s="50" t="n">
        <v>0</v>
      </c>
      <c r="N448" s="50" t="n">
        <v>-10</v>
      </c>
      <c r="O448" s="50" t="inlineStr">
        <is>
          <t>C3</t>
        </is>
      </c>
      <c r="P448" s="50" t="n">
        <v>33</v>
      </c>
      <c r="Q448" s="50" t="n">
        <v>15</v>
      </c>
      <c r="R448" s="50" t="inlineStr">
        <is>
          <t>NO</t>
        </is>
      </c>
      <c r="S448" s="50" t="inlineStr">
        <is>
          <t>NO</t>
        </is>
      </c>
      <c r="T448" s="50" t="inlineStr">
        <is>
          <t>NO</t>
        </is>
      </c>
      <c r="U448" s="50" t="n">
        <v>65</v>
      </c>
      <c r="V448" s="50" t="n">
        <v>60</v>
      </c>
      <c r="W448" s="50" t="n">
        <v>65</v>
      </c>
      <c r="X448" s="50" t="n">
        <v>60</v>
      </c>
      <c r="Y448" s="50" t="inlineStr">
        <is>
          <t>3.1-4.33gr</t>
        </is>
      </c>
      <c r="Z448" s="50" t="inlineStr">
        <is>
          <t>Polyrex</t>
        </is>
      </c>
      <c r="AA448" s="56" t="inlineStr">
        <is>
          <t>STANDARD</t>
        </is>
      </c>
      <c r="AB448" s="50" t="inlineStr">
        <is>
          <t>STANDARD</t>
        </is>
      </c>
      <c r="AC448" s="53" t="n">
        <v>44792</v>
      </c>
      <c r="AD448" s="84" t="inlineStr">
        <is>
          <t>E</t>
        </is>
      </c>
    </row>
    <row r="449" ht="12.75" customHeight="1" s="123">
      <c r="A449" s="85" t="n">
        <v>447</v>
      </c>
      <c r="B449" s="31" t="inlineStr">
        <is>
          <t>B&amp;P-040-5205-2RS-HLBR</t>
        </is>
      </c>
      <c r="C449" s="50" t="n">
        <v>20.638</v>
      </c>
      <c r="D449" s="50" t="n">
        <v>0</v>
      </c>
      <c r="E449" s="50" t="n">
        <v>-120</v>
      </c>
      <c r="F449" s="50" t="n">
        <v>52</v>
      </c>
      <c r="G449" s="50" t="n">
        <v>0</v>
      </c>
      <c r="H449" s="50" t="n">
        <v>-11</v>
      </c>
      <c r="I449" s="50" t="n">
        <v>20.638</v>
      </c>
      <c r="J449" s="50" t="n">
        <v>0</v>
      </c>
      <c r="K449" s="50" t="n">
        <v>-120</v>
      </c>
      <c r="L449" s="50" t="n">
        <v>25</v>
      </c>
      <c r="M449" s="50" t="n">
        <v>0</v>
      </c>
      <c r="N449" s="50" t="n">
        <v>-10</v>
      </c>
      <c r="O449" s="56" t="inlineStr">
        <is>
          <t>Radial</t>
        </is>
      </c>
      <c r="P449" s="50" t="n">
        <v>25</v>
      </c>
      <c r="Q449" s="50" t="n">
        <v>15</v>
      </c>
      <c r="R449" s="56" t="inlineStr">
        <is>
          <t>NO</t>
        </is>
      </c>
      <c r="S449" s="56" t="inlineStr">
        <is>
          <t>NO</t>
        </is>
      </c>
      <c r="T449" s="56" t="inlineStr">
        <is>
          <t>NO</t>
        </is>
      </c>
      <c r="U449" s="56" t="inlineStr">
        <is>
          <t>NO</t>
        </is>
      </c>
      <c r="V449" s="56" t="inlineStr">
        <is>
          <t>NO</t>
        </is>
      </c>
      <c r="W449" s="56" t="inlineStr">
        <is>
          <t>NO</t>
        </is>
      </c>
      <c r="X449" s="56" t="inlineStr">
        <is>
          <t>NO</t>
        </is>
      </c>
      <c r="Y449" s="56" t="inlineStr">
        <is>
          <t>65-75%</t>
        </is>
      </c>
      <c r="Z449" s="56" t="inlineStr">
        <is>
          <t>Polyrex</t>
        </is>
      </c>
      <c r="AA449" s="56" t="inlineStr">
        <is>
          <t>NO</t>
        </is>
      </c>
      <c r="AB449" s="56" t="inlineStr">
        <is>
          <t>NO</t>
        </is>
      </c>
      <c r="AC449" s="53" t="n">
        <v>44991</v>
      </c>
      <c r="AD449" s="76" t="inlineStr">
        <is>
          <t>A</t>
        </is>
      </c>
    </row>
    <row r="450" ht="12.75" customHeight="1" s="123">
      <c r="A450" s="85" t="n">
        <v>448</v>
      </c>
      <c r="B450" s="31" t="inlineStr">
        <is>
          <t>B&amp;P-041-HD03-2RS-ZJFD</t>
        </is>
      </c>
      <c r="C450" s="50" t="n">
        <v>14</v>
      </c>
      <c r="D450" s="50" t="n">
        <v>0</v>
      </c>
      <c r="E450" s="50" t="n">
        <v>-120</v>
      </c>
      <c r="F450" s="50" t="n">
        <v>47</v>
      </c>
      <c r="G450" s="50" t="n">
        <v>0</v>
      </c>
      <c r="H450" s="50" t="n">
        <v>-9</v>
      </c>
      <c r="I450" s="50" t="n">
        <v>14</v>
      </c>
      <c r="J450" s="50" t="n">
        <v>0</v>
      </c>
      <c r="K450" s="50" t="n">
        <v>-120</v>
      </c>
      <c r="L450" s="50" t="n">
        <v>17</v>
      </c>
      <c r="M450" s="50" t="n">
        <v>0</v>
      </c>
      <c r="N450" s="50" t="n">
        <v>-7</v>
      </c>
      <c r="O450" s="50" t="inlineStr">
        <is>
          <t>RADIAL C3</t>
        </is>
      </c>
      <c r="P450" s="50" t="n">
        <v>25</v>
      </c>
      <c r="Q450" s="50" t="n">
        <v>11</v>
      </c>
      <c r="R450" s="50" t="inlineStr">
        <is>
          <t>NO</t>
        </is>
      </c>
      <c r="S450" s="50" t="inlineStr">
        <is>
          <t>NO</t>
        </is>
      </c>
      <c r="T450" s="50" t="inlineStr">
        <is>
          <t>NO</t>
        </is>
      </c>
      <c r="U450" s="50" t="n">
        <v>64</v>
      </c>
      <c r="V450" s="50" t="n">
        <v>58</v>
      </c>
      <c r="W450" s="50" t="n">
        <v>64</v>
      </c>
      <c r="X450" s="50" t="n">
        <v>58</v>
      </c>
      <c r="Y450" s="50" t="inlineStr">
        <is>
          <t>1.16 - 1.63 gr</t>
        </is>
      </c>
      <c r="Z450" s="50" t="inlineStr">
        <is>
          <t>Polyrex</t>
        </is>
      </c>
      <c r="AA450" s="56" t="inlineStr">
        <is>
          <t>0.0388Nm</t>
        </is>
      </c>
      <c r="AB450" s="50" t="inlineStr">
        <is>
          <t>0.0225Nm</t>
        </is>
      </c>
      <c r="AC450" s="53" t="n">
        <v>44775</v>
      </c>
      <c r="AD450" s="84" t="inlineStr">
        <is>
          <t>A</t>
        </is>
      </c>
    </row>
    <row r="451" ht="12.75" customHeight="1" s="123">
      <c r="A451" s="85" t="n">
        <v>449</v>
      </c>
      <c r="B451" s="31" t="inlineStr">
        <is>
          <t>B&amp;P-041-HD07-D-ZJFD</t>
        </is>
      </c>
      <c r="C451" s="50" t="n">
        <v>21</v>
      </c>
      <c r="D451" s="50" t="n">
        <v>0</v>
      </c>
      <c r="E451" s="50" t="n">
        <v>-120</v>
      </c>
      <c r="F451" s="50" t="n">
        <v>80</v>
      </c>
      <c r="G451" s="50" t="n">
        <v>0</v>
      </c>
      <c r="H451" s="50" t="n">
        <v>-11</v>
      </c>
      <c r="I451" s="50" t="n">
        <v>21</v>
      </c>
      <c r="J451" s="50" t="n">
        <v>0</v>
      </c>
      <c r="K451" s="50" t="n">
        <v>-120</v>
      </c>
      <c r="L451" s="50" t="n">
        <v>35</v>
      </c>
      <c r="M451" s="50" t="n">
        <v>0</v>
      </c>
      <c r="N451" s="50" t="n">
        <v>-10</v>
      </c>
      <c r="O451" s="50" t="inlineStr">
        <is>
          <t>RADIAL C3</t>
        </is>
      </c>
      <c r="P451" s="50" t="n">
        <v>33</v>
      </c>
      <c r="Q451" s="50" t="n">
        <v>15</v>
      </c>
      <c r="R451" s="50" t="inlineStr">
        <is>
          <t>NO</t>
        </is>
      </c>
      <c r="S451" s="50" t="inlineStr">
        <is>
          <t>NO</t>
        </is>
      </c>
      <c r="T451" s="50" t="inlineStr">
        <is>
          <t>NO</t>
        </is>
      </c>
      <c r="U451" s="50" t="n">
        <v>65</v>
      </c>
      <c r="V451" s="50" t="n">
        <v>60</v>
      </c>
      <c r="W451" s="50" t="n">
        <v>65</v>
      </c>
      <c r="X451" s="50" t="n">
        <v>60</v>
      </c>
      <c r="Y451" s="50" t="inlineStr">
        <is>
          <t>-</t>
        </is>
      </c>
      <c r="Z451" s="50" t="inlineStr">
        <is>
          <t>-</t>
        </is>
      </c>
      <c r="AA451" s="56" t="inlineStr">
        <is>
          <t>-</t>
        </is>
      </c>
      <c r="AB451" s="50" t="inlineStr">
        <is>
          <t>-</t>
        </is>
      </c>
      <c r="AC451" s="53" t="n">
        <v>44795</v>
      </c>
      <c r="AD451" s="84" t="inlineStr">
        <is>
          <t>D</t>
        </is>
      </c>
    </row>
    <row r="452" ht="12.75" customHeight="1" s="123">
      <c r="A452" s="85" t="n">
        <v>450</v>
      </c>
      <c r="B452" s="31" t="inlineStr">
        <is>
          <t>B&amp;P-041-LS00-2RS-ZJFD</t>
        </is>
      </c>
      <c r="C452" s="50" t="n">
        <v>8</v>
      </c>
      <c r="D452" s="50" t="n">
        <v>0</v>
      </c>
      <c r="E452" s="50" t="n">
        <v>-120</v>
      </c>
      <c r="F452" s="50" t="n">
        <v>26</v>
      </c>
      <c r="G452" s="50" t="n">
        <v>0</v>
      </c>
      <c r="H452" s="50" t="n">
        <v>-8</v>
      </c>
      <c r="I452" s="50" t="n">
        <v>8</v>
      </c>
      <c r="J452" s="50" t="n">
        <v>0</v>
      </c>
      <c r="K452" s="50" t="n">
        <v>-120</v>
      </c>
      <c r="L452" s="50" t="n">
        <v>10</v>
      </c>
      <c r="M452" s="50" t="n">
        <v>0</v>
      </c>
      <c r="N452" s="50" t="n">
        <v>-7</v>
      </c>
      <c r="O452" s="50" t="inlineStr">
        <is>
          <t>C3</t>
        </is>
      </c>
      <c r="P452" s="50" t="n">
        <v>23</v>
      </c>
      <c r="Q452" s="50" t="n">
        <v>8</v>
      </c>
      <c r="R452" s="50" t="inlineStr">
        <is>
          <t>NO</t>
        </is>
      </c>
      <c r="S452" s="50" t="inlineStr">
        <is>
          <t>NO</t>
        </is>
      </c>
      <c r="T452" s="50" t="inlineStr">
        <is>
          <t>NO</t>
        </is>
      </c>
      <c r="U452" s="50" t="n">
        <v>65</v>
      </c>
      <c r="V452" s="50" t="n">
        <v>50</v>
      </c>
      <c r="W452" s="50" t="n">
        <v>65</v>
      </c>
      <c r="X452" s="50" t="n">
        <v>60</v>
      </c>
      <c r="Y452" s="50" t="inlineStr">
        <is>
          <t>0.19-0.26gr</t>
        </is>
      </c>
      <c r="Z452" s="50" t="inlineStr">
        <is>
          <t>Polyrex</t>
        </is>
      </c>
      <c r="AA452" s="56" t="inlineStr">
        <is>
          <t>STANDARD</t>
        </is>
      </c>
      <c r="AB452" s="50" t="inlineStr">
        <is>
          <t>STANDARD</t>
        </is>
      </c>
      <c r="AC452" s="53" t="n">
        <v>44795</v>
      </c>
      <c r="AD452" s="84" t="inlineStr">
        <is>
          <t>B</t>
        </is>
      </c>
    </row>
    <row r="453" ht="12.75" customHeight="1" s="123">
      <c r="A453" s="85" t="n">
        <v>451</v>
      </c>
      <c r="B453" s="31" t="inlineStr">
        <is>
          <t>B&amp;P-041-LS06-2RS-ZJFD</t>
        </is>
      </c>
      <c r="C453" s="50" t="n">
        <v>13</v>
      </c>
      <c r="D453" s="50" t="n">
        <v>0</v>
      </c>
      <c r="E453" s="50" t="n">
        <v>-120</v>
      </c>
      <c r="F453" s="50" t="n">
        <v>55</v>
      </c>
      <c r="G453" s="50" t="n">
        <v>0</v>
      </c>
      <c r="H453" s="50" t="n">
        <v>-11</v>
      </c>
      <c r="I453" s="50" t="n">
        <v>13</v>
      </c>
      <c r="J453" s="50" t="n">
        <v>0</v>
      </c>
      <c r="K453" s="50" t="n">
        <v>-120</v>
      </c>
      <c r="L453" s="50" t="n">
        <v>30</v>
      </c>
      <c r="M453" s="50" t="n">
        <v>0</v>
      </c>
      <c r="N453" s="50" t="n">
        <v>-8</v>
      </c>
      <c r="O453" s="50" t="inlineStr">
        <is>
          <t>C3</t>
        </is>
      </c>
      <c r="P453" s="50" t="n">
        <v>28</v>
      </c>
      <c r="Q453" s="50" t="n">
        <v>13</v>
      </c>
      <c r="R453" s="50" t="inlineStr">
        <is>
          <t>NO</t>
        </is>
      </c>
      <c r="S453" s="50" t="inlineStr">
        <is>
          <t>NO</t>
        </is>
      </c>
      <c r="T453" s="50" t="inlineStr">
        <is>
          <t>NO</t>
        </is>
      </c>
      <c r="U453" s="50" t="n">
        <v>65</v>
      </c>
      <c r="V453" s="50" t="n">
        <v>60</v>
      </c>
      <c r="W453" s="50" t="n">
        <v>65</v>
      </c>
      <c r="X453" s="50" t="n">
        <v>60</v>
      </c>
      <c r="Y453" s="50" t="inlineStr">
        <is>
          <t>1.67-1.19gr</t>
        </is>
      </c>
      <c r="Z453" s="50" t="inlineStr">
        <is>
          <t>Polyrex</t>
        </is>
      </c>
      <c r="AA453" s="56" t="inlineStr">
        <is>
          <t>STANDARD</t>
        </is>
      </c>
      <c r="AB453" s="50" t="inlineStr">
        <is>
          <t>STANDARD</t>
        </is>
      </c>
      <c r="AC453" s="53" t="n">
        <v>44795</v>
      </c>
      <c r="AD453" s="84" t="inlineStr">
        <is>
          <t>C</t>
        </is>
      </c>
    </row>
    <row r="454" ht="12.75" customHeight="1" s="123">
      <c r="A454" s="85" t="n">
        <v>452</v>
      </c>
      <c r="B454" s="31" t="inlineStr">
        <is>
          <t>B&amp;P-041-LS06-D-ZJFD</t>
        </is>
      </c>
      <c r="C454" s="50" t="n">
        <v>13</v>
      </c>
      <c r="D454" s="50" t="n">
        <v>0</v>
      </c>
      <c r="E454" s="50" t="n">
        <v>-120</v>
      </c>
      <c r="F454" s="50" t="n">
        <v>55</v>
      </c>
      <c r="G454" s="50" t="n">
        <v>0</v>
      </c>
      <c r="H454" s="50" t="n">
        <v>-11</v>
      </c>
      <c r="I454" s="50" t="n">
        <v>13</v>
      </c>
      <c r="J454" s="50" t="n">
        <v>0</v>
      </c>
      <c r="K454" s="50" t="n">
        <v>-120</v>
      </c>
      <c r="L454" s="50" t="n">
        <v>30</v>
      </c>
      <c r="M454" s="50" t="n">
        <v>0</v>
      </c>
      <c r="N454" s="50" t="n">
        <v>-8</v>
      </c>
      <c r="O454" s="50" t="inlineStr">
        <is>
          <t>C3</t>
        </is>
      </c>
      <c r="P454" s="50" t="n">
        <v>28</v>
      </c>
      <c r="Q454" s="50" t="n">
        <v>13</v>
      </c>
      <c r="R454" s="50" t="inlineStr">
        <is>
          <t>NO</t>
        </is>
      </c>
      <c r="S454" s="50" t="inlineStr">
        <is>
          <t>NO</t>
        </is>
      </c>
      <c r="T454" s="50" t="inlineStr">
        <is>
          <t>NO</t>
        </is>
      </c>
      <c r="U454" s="50" t="n">
        <v>65</v>
      </c>
      <c r="V454" s="50" t="n">
        <v>60</v>
      </c>
      <c r="W454" s="50" t="n">
        <v>65</v>
      </c>
      <c r="X454" s="50" t="n">
        <v>60</v>
      </c>
      <c r="Y454" s="50" t="inlineStr">
        <is>
          <t>-</t>
        </is>
      </c>
      <c r="Z454" s="50" t="inlineStr">
        <is>
          <t>-</t>
        </is>
      </c>
      <c r="AA454" s="56" t="inlineStr">
        <is>
          <t>-</t>
        </is>
      </c>
      <c r="AB454" s="50" t="inlineStr">
        <is>
          <t>-</t>
        </is>
      </c>
      <c r="AC454" s="53" t="n">
        <v>44795</v>
      </c>
      <c r="AD454" s="84" t="inlineStr">
        <is>
          <t>A</t>
        </is>
      </c>
    </row>
    <row r="455" ht="12.75" customHeight="1" s="123">
      <c r="A455" s="85" t="n">
        <v>453</v>
      </c>
      <c r="B455" s="31" t="inlineStr">
        <is>
          <t>B&amp;P-041-MS08-2RS-ZJFD</t>
        </is>
      </c>
      <c r="C455" s="50" t="n">
        <v>18</v>
      </c>
      <c r="D455" s="50" t="n">
        <v>0</v>
      </c>
      <c r="E455" s="50" t="n">
        <v>-120</v>
      </c>
      <c r="F455" s="50" t="n">
        <v>80</v>
      </c>
      <c r="G455" s="50" t="n">
        <v>0</v>
      </c>
      <c r="H455" s="50" t="n">
        <v>-11</v>
      </c>
      <c r="I455" s="50" t="n">
        <v>18</v>
      </c>
      <c r="J455" s="50" t="n">
        <v>0</v>
      </c>
      <c r="K455" s="50" t="n">
        <v>-120</v>
      </c>
      <c r="L455" s="50" t="n">
        <v>40</v>
      </c>
      <c r="M455" s="50" t="n">
        <v>0</v>
      </c>
      <c r="N455" s="50" t="n">
        <v>-10</v>
      </c>
      <c r="O455" s="50" t="inlineStr">
        <is>
          <t>C3</t>
        </is>
      </c>
      <c r="P455" s="50" t="n">
        <v>33</v>
      </c>
      <c r="Q455" s="50" t="n">
        <v>15</v>
      </c>
      <c r="R455" s="50" t="inlineStr">
        <is>
          <t>NO</t>
        </is>
      </c>
      <c r="S455" s="50" t="inlineStr">
        <is>
          <t>NO</t>
        </is>
      </c>
      <c r="T455" s="50" t="inlineStr">
        <is>
          <t>NO</t>
        </is>
      </c>
      <c r="U455" s="50" t="n">
        <v>65</v>
      </c>
      <c r="V455" s="50" t="n">
        <v>60</v>
      </c>
      <c r="W455" s="50" t="n">
        <v>65</v>
      </c>
      <c r="X455" s="50" t="n">
        <v>60</v>
      </c>
      <c r="Y455" s="50" t="inlineStr">
        <is>
          <t>4.02-5.63gr (25-35%)</t>
        </is>
      </c>
      <c r="Z455" s="50" t="inlineStr">
        <is>
          <t>Polyrex</t>
        </is>
      </c>
      <c r="AA455" s="56" t="inlineStr">
        <is>
          <t>STANDARD</t>
        </is>
      </c>
      <c r="AB455" s="50" t="inlineStr">
        <is>
          <t>STANDARD</t>
        </is>
      </c>
      <c r="AC455" s="53" t="n">
        <v>44887</v>
      </c>
      <c r="AD455" s="84" t="inlineStr">
        <is>
          <t>B</t>
        </is>
      </c>
    </row>
    <row r="456" ht="12.75" customHeight="1" s="123">
      <c r="A456" s="85" t="n">
        <v>454</v>
      </c>
      <c r="B456" s="31" t="inlineStr">
        <is>
          <t>B&amp;P-041-MS08-D-ZJFD</t>
        </is>
      </c>
      <c r="C456" s="50" t="n">
        <v>18</v>
      </c>
      <c r="D456" s="50" t="n">
        <v>0</v>
      </c>
      <c r="E456" s="50" t="n">
        <v>-120</v>
      </c>
      <c r="F456" s="50" t="n">
        <v>80</v>
      </c>
      <c r="G456" s="50" t="n">
        <v>0</v>
      </c>
      <c r="H456" s="50" t="n">
        <v>-11</v>
      </c>
      <c r="I456" s="50" t="n">
        <v>18</v>
      </c>
      <c r="J456" s="50" t="n">
        <v>0</v>
      </c>
      <c r="K456" s="50" t="n">
        <v>-120</v>
      </c>
      <c r="L456" s="50" t="n">
        <v>40</v>
      </c>
      <c r="M456" s="50" t="n">
        <v>0</v>
      </c>
      <c r="N456" s="50" t="n">
        <v>-10</v>
      </c>
      <c r="O456" s="50" t="inlineStr">
        <is>
          <t>C3</t>
        </is>
      </c>
      <c r="P456" s="50" t="n">
        <v>33</v>
      </c>
      <c r="Q456" s="50" t="n">
        <v>15</v>
      </c>
      <c r="R456" s="50" t="inlineStr">
        <is>
          <t>NO</t>
        </is>
      </c>
      <c r="S456" s="50" t="inlineStr">
        <is>
          <t>NO</t>
        </is>
      </c>
      <c r="T456" s="50" t="inlineStr">
        <is>
          <t>NO</t>
        </is>
      </c>
      <c r="U456" s="50" t="n">
        <v>65</v>
      </c>
      <c r="V456" s="50" t="n">
        <v>60</v>
      </c>
      <c r="W456" s="50" t="n">
        <v>65</v>
      </c>
      <c r="X456" s="50" t="n">
        <v>60</v>
      </c>
      <c r="Y456" s="50" t="inlineStr">
        <is>
          <t>-</t>
        </is>
      </c>
      <c r="Z456" s="50" t="inlineStr">
        <is>
          <t>-</t>
        </is>
      </c>
      <c r="AA456" s="56" t="inlineStr">
        <is>
          <t>-</t>
        </is>
      </c>
      <c r="AB456" s="50" t="inlineStr">
        <is>
          <t>-</t>
        </is>
      </c>
      <c r="AC456" s="53" t="n">
        <v>44792</v>
      </c>
      <c r="AD456" s="84" t="inlineStr">
        <is>
          <t>A</t>
        </is>
      </c>
    </row>
    <row r="457" ht="12.75" customHeight="1" s="123">
      <c r="A457" s="85" t="n">
        <v>455</v>
      </c>
      <c r="B457" s="31" t="inlineStr">
        <is>
          <t>B&amp;P-041-MS09-2RS-ZJFD</t>
        </is>
      </c>
      <c r="C457" s="50" t="n">
        <v>19</v>
      </c>
      <c r="D457" s="50" t="n">
        <v>0</v>
      </c>
      <c r="E457" s="50" t="n">
        <v>-120</v>
      </c>
      <c r="F457" s="50" t="n">
        <v>85</v>
      </c>
      <c r="G457" s="50" t="n">
        <v>0</v>
      </c>
      <c r="H457" s="50" t="n">
        <v>-13</v>
      </c>
      <c r="I457" s="50" t="n">
        <v>19</v>
      </c>
      <c r="J457" s="50" t="n">
        <v>0</v>
      </c>
      <c r="K457" s="50" t="n">
        <v>-120</v>
      </c>
      <c r="L457" s="50" t="n">
        <v>45</v>
      </c>
      <c r="M457" s="50" t="n">
        <v>0</v>
      </c>
      <c r="N457" s="50" t="n">
        <v>-10</v>
      </c>
      <c r="O457" s="50" t="inlineStr">
        <is>
          <t>C3</t>
        </is>
      </c>
      <c r="P457" s="50" t="n">
        <v>36</v>
      </c>
      <c r="Q457" s="50" t="n">
        <v>18</v>
      </c>
      <c r="R457" s="50" t="inlineStr">
        <is>
          <t>NO</t>
        </is>
      </c>
      <c r="S457" s="50" t="inlineStr">
        <is>
          <t>NO</t>
        </is>
      </c>
      <c r="T457" s="50" t="inlineStr">
        <is>
          <t>NO</t>
        </is>
      </c>
      <c r="U457" s="50" t="n">
        <v>65</v>
      </c>
      <c r="V457" s="50" t="n">
        <v>60</v>
      </c>
      <c r="W457" s="50" t="n">
        <v>65</v>
      </c>
      <c r="X457" s="50" t="n">
        <v>60</v>
      </c>
      <c r="Y457" s="50" t="inlineStr">
        <is>
          <t>4.64-6.5gr (25-35%)</t>
        </is>
      </c>
      <c r="Z457" s="50" t="inlineStr">
        <is>
          <t>Polyrex</t>
        </is>
      </c>
      <c r="AA457" s="56" t="inlineStr">
        <is>
          <t>0.0637 Nm</t>
        </is>
      </c>
      <c r="AB457" s="50" t="inlineStr">
        <is>
          <t>0.0589 Nm</t>
        </is>
      </c>
      <c r="AC457" s="53" t="n">
        <v>45079</v>
      </c>
      <c r="AD457" s="84" t="inlineStr">
        <is>
          <t>F</t>
        </is>
      </c>
    </row>
    <row r="458" ht="12.75" customHeight="1" s="123">
      <c r="A458" s="85" t="n">
        <v>456</v>
      </c>
      <c r="B458" s="31" t="inlineStr">
        <is>
          <t>B&amp;P-041-MS11-2RS-ZJFD</t>
        </is>
      </c>
      <c r="C458" s="50" t="n">
        <v>21</v>
      </c>
      <c r="D458" s="50" t="n">
        <v>0</v>
      </c>
      <c r="E458" s="50" t="n">
        <v>-150</v>
      </c>
      <c r="F458" s="50" t="n">
        <v>100</v>
      </c>
      <c r="G458" s="50" t="n">
        <v>0</v>
      </c>
      <c r="H458" s="50" t="n">
        <v>-13</v>
      </c>
      <c r="I458" s="50" t="n">
        <v>21</v>
      </c>
      <c r="J458" s="50" t="n">
        <v>0</v>
      </c>
      <c r="K458" s="50" t="n">
        <v>-150</v>
      </c>
      <c r="L458" s="50" t="n">
        <v>55</v>
      </c>
      <c r="M458" s="50" t="n">
        <v>0</v>
      </c>
      <c r="N458" s="50" t="n">
        <v>-12</v>
      </c>
      <c r="O458" s="50" t="inlineStr">
        <is>
          <t>C3</t>
        </is>
      </c>
      <c r="P458" s="50" t="n">
        <v>43</v>
      </c>
      <c r="Q458" s="50" t="n">
        <v>23</v>
      </c>
      <c r="R458" s="50" t="inlineStr">
        <is>
          <t>NO</t>
        </is>
      </c>
      <c r="S458" s="50" t="inlineStr">
        <is>
          <t>NO</t>
        </is>
      </c>
      <c r="T458" s="50" t="inlineStr">
        <is>
          <t>NO</t>
        </is>
      </c>
      <c r="U458" s="50" t="n">
        <v>65</v>
      </c>
      <c r="V458" s="50" t="n">
        <v>60</v>
      </c>
      <c r="W458" s="50" t="n">
        <v>65</v>
      </c>
      <c r="X458" s="50" t="n">
        <v>60</v>
      </c>
      <c r="Y458" s="50" t="inlineStr">
        <is>
          <t>7.8-10.4gr</t>
        </is>
      </c>
      <c r="Z458" s="50" t="inlineStr">
        <is>
          <t>Polyrex</t>
        </is>
      </c>
      <c r="AA458" s="56" t="inlineStr">
        <is>
          <t>STANDARD</t>
        </is>
      </c>
      <c r="AB458" s="50" t="inlineStr">
        <is>
          <t>STANDARD</t>
        </is>
      </c>
      <c r="AC458" s="53" t="n">
        <v>44795</v>
      </c>
      <c r="AD458" s="84" t="inlineStr">
        <is>
          <t>B</t>
        </is>
      </c>
    </row>
    <row r="459" ht="12.75" customHeight="1" s="123">
      <c r="A459" s="85" t="n">
        <v>457</v>
      </c>
      <c r="B459" s="31" t="inlineStr">
        <is>
          <t>B&amp;P-041-MS11-D-ZJFD</t>
        </is>
      </c>
      <c r="C459" s="50" t="n">
        <v>21</v>
      </c>
      <c r="D459" s="50" t="n">
        <v>0</v>
      </c>
      <c r="E459" s="50" t="n">
        <v>-150</v>
      </c>
      <c r="F459" s="50" t="n">
        <v>100</v>
      </c>
      <c r="G459" s="50" t="n">
        <v>0</v>
      </c>
      <c r="H459" s="50" t="n">
        <v>-13</v>
      </c>
      <c r="I459" s="50" t="n">
        <v>21</v>
      </c>
      <c r="J459" s="50" t="n">
        <v>0</v>
      </c>
      <c r="K459" s="50" t="n">
        <v>-150</v>
      </c>
      <c r="L459" s="50" t="n">
        <v>55</v>
      </c>
      <c r="M459" s="50" t="n">
        <v>0</v>
      </c>
      <c r="N459" s="50" t="n">
        <v>-12</v>
      </c>
      <c r="O459" s="50" t="inlineStr">
        <is>
          <t>C3</t>
        </is>
      </c>
      <c r="P459" s="50" t="n">
        <v>43</v>
      </c>
      <c r="Q459" s="50" t="n">
        <v>23</v>
      </c>
      <c r="R459" s="50" t="inlineStr">
        <is>
          <t>NO</t>
        </is>
      </c>
      <c r="S459" s="50" t="inlineStr">
        <is>
          <t>NO</t>
        </is>
      </c>
      <c r="T459" s="50" t="inlineStr">
        <is>
          <t>NO</t>
        </is>
      </c>
      <c r="U459" s="50" t="n">
        <v>65</v>
      </c>
      <c r="V459" s="50" t="n">
        <v>60</v>
      </c>
      <c r="W459" s="50" t="n">
        <v>65</v>
      </c>
      <c r="X459" s="50" t="n">
        <v>60</v>
      </c>
      <c r="Y459" s="50" t="inlineStr">
        <is>
          <t>-</t>
        </is>
      </c>
      <c r="Z459" s="50" t="inlineStr">
        <is>
          <t>-</t>
        </is>
      </c>
      <c r="AA459" s="56" t="inlineStr">
        <is>
          <t>-</t>
        </is>
      </c>
      <c r="AB459" s="50" t="inlineStr">
        <is>
          <t>-</t>
        </is>
      </c>
      <c r="AC459" s="53" t="n">
        <v>44795</v>
      </c>
      <c r="AD459" s="84" t="inlineStr">
        <is>
          <t>B</t>
        </is>
      </c>
    </row>
    <row r="460" ht="12.75" customHeight="1" s="123">
      <c r="A460" s="85" t="n">
        <v>458</v>
      </c>
      <c r="B460" s="31" t="inlineStr">
        <is>
          <t>B&amp;P-041-MS12-2RS-ZJFD</t>
        </is>
      </c>
      <c r="C460" s="50" t="n">
        <v>22</v>
      </c>
      <c r="D460" s="50" t="n">
        <v>0</v>
      </c>
      <c r="E460" s="50" t="n">
        <v>-150</v>
      </c>
      <c r="F460" s="50" t="n">
        <v>110</v>
      </c>
      <c r="G460" s="50" t="n">
        <v>0</v>
      </c>
      <c r="H460" s="50" t="n">
        <v>-13</v>
      </c>
      <c r="I460" s="50" t="n">
        <v>22</v>
      </c>
      <c r="J460" s="50" t="n">
        <v>0</v>
      </c>
      <c r="K460" s="50" t="n">
        <v>-150</v>
      </c>
      <c r="L460" s="50" t="n">
        <v>60</v>
      </c>
      <c r="M460" s="50" t="n">
        <v>0</v>
      </c>
      <c r="N460" s="50" t="n">
        <v>-12</v>
      </c>
      <c r="O460" s="50" t="inlineStr">
        <is>
          <t>C3</t>
        </is>
      </c>
      <c r="P460" s="50" t="n">
        <v>43</v>
      </c>
      <c r="Q460" s="50" t="n">
        <v>23</v>
      </c>
      <c r="R460" s="50" t="inlineStr">
        <is>
          <t>NO</t>
        </is>
      </c>
      <c r="S460" s="50" t="inlineStr">
        <is>
          <t>NO</t>
        </is>
      </c>
      <c r="T460" s="50" t="inlineStr">
        <is>
          <t>NO</t>
        </is>
      </c>
      <c r="U460" s="50" t="n">
        <v>65</v>
      </c>
      <c r="V460" s="50" t="n">
        <v>60</v>
      </c>
      <c r="W460" s="50" t="n">
        <v>65</v>
      </c>
      <c r="X460" s="50" t="n">
        <v>60</v>
      </c>
      <c r="Y460" s="50" t="inlineStr">
        <is>
          <t>8.75-12.25gr</t>
        </is>
      </c>
      <c r="Z460" s="50" t="inlineStr">
        <is>
          <t>Polyrex</t>
        </is>
      </c>
      <c r="AA460" s="56" t="inlineStr">
        <is>
          <t>STANDARD</t>
        </is>
      </c>
      <c r="AB460" s="50" t="inlineStr">
        <is>
          <t>STANDARD</t>
        </is>
      </c>
      <c r="AC460" s="53" t="n">
        <v>44795</v>
      </c>
      <c r="AD460" s="84" t="inlineStr">
        <is>
          <t>B</t>
        </is>
      </c>
    </row>
    <row r="461" ht="12.75" customHeight="1" s="123">
      <c r="A461" s="85" t="n">
        <v>459</v>
      </c>
      <c r="B461" s="31" t="inlineStr">
        <is>
          <t>B&amp;P-041-MS00-2RS-ZJFD</t>
        </is>
      </c>
      <c r="C461" s="50" t="n">
        <v>9</v>
      </c>
      <c r="D461" s="50" t="n">
        <v>0</v>
      </c>
      <c r="E461" s="50" t="n">
        <v>-120</v>
      </c>
      <c r="F461" s="50" t="n">
        <v>30</v>
      </c>
      <c r="G461" s="50" t="n">
        <v>0</v>
      </c>
      <c r="H461" s="50" t="n">
        <v>-9</v>
      </c>
      <c r="I461" s="50" t="n">
        <v>9</v>
      </c>
      <c r="J461" s="50" t="n">
        <v>0</v>
      </c>
      <c r="K461" s="50" t="n">
        <v>-120</v>
      </c>
      <c r="L461" s="50" t="n">
        <v>10</v>
      </c>
      <c r="M461" s="50" t="n">
        <v>0</v>
      </c>
      <c r="N461" s="50" t="n">
        <v>-8</v>
      </c>
      <c r="O461" s="50" t="inlineStr">
        <is>
          <t>C3</t>
        </is>
      </c>
      <c r="P461" s="50" t="n">
        <v>23</v>
      </c>
      <c r="Q461" s="50" t="n">
        <v>8</v>
      </c>
      <c r="R461" s="50" t="inlineStr">
        <is>
          <t>NO</t>
        </is>
      </c>
      <c r="S461" s="50" t="inlineStr">
        <is>
          <t>NO</t>
        </is>
      </c>
      <c r="T461" s="50" t="inlineStr">
        <is>
          <t>NO</t>
        </is>
      </c>
      <c r="U461" s="50" t="n">
        <v>64</v>
      </c>
      <c r="V461" s="50" t="n">
        <v>58</v>
      </c>
      <c r="W461" s="50" t="n">
        <v>64</v>
      </c>
      <c r="X461" s="50" t="n">
        <v>58</v>
      </c>
      <c r="Y461" s="50" t="inlineStr">
        <is>
          <t>0.25 - 0.35 gr</t>
        </is>
      </c>
      <c r="Z461" s="50" t="inlineStr">
        <is>
          <t>Polyrex</t>
        </is>
      </c>
      <c r="AA461" s="56" t="inlineStr">
        <is>
          <t>STANDARD</t>
        </is>
      </c>
      <c r="AB461" s="50" t="inlineStr">
        <is>
          <t>STANDARD</t>
        </is>
      </c>
      <c r="AC461" s="53" t="n">
        <v>44795</v>
      </c>
      <c r="AD461" s="84" t="inlineStr">
        <is>
          <t>B</t>
        </is>
      </c>
    </row>
    <row r="462" ht="12.75" customHeight="1" s="123">
      <c r="A462" s="85" t="n">
        <v>460</v>
      </c>
      <c r="B462" s="30" t="inlineStr">
        <is>
          <t>B&amp;P-041-LS13-2RS - ZJFD</t>
        </is>
      </c>
      <c r="C462" s="38" t="n">
        <v>18</v>
      </c>
      <c r="D462" s="38" t="n">
        <v>0</v>
      </c>
      <c r="E462" s="38" t="n">
        <v>-150</v>
      </c>
      <c r="F462" s="38" t="n">
        <v>100</v>
      </c>
      <c r="G462" s="38" t="n">
        <v>0</v>
      </c>
      <c r="H462" s="38" t="n">
        <v>-13</v>
      </c>
      <c r="I462" s="38" t="n">
        <v>18</v>
      </c>
      <c r="J462" s="38" t="n">
        <v>0</v>
      </c>
      <c r="K462" s="38" t="n">
        <v>-150</v>
      </c>
      <c r="L462" s="38" t="n">
        <v>65</v>
      </c>
      <c r="M462" s="38" t="n">
        <v>0</v>
      </c>
      <c r="N462" s="38" t="n">
        <v>-12</v>
      </c>
      <c r="O462" s="38" t="inlineStr">
        <is>
          <t>C3</t>
        </is>
      </c>
      <c r="P462" s="38" t="n">
        <v>43</v>
      </c>
      <c r="Q462" s="38" t="n">
        <v>23</v>
      </c>
      <c r="R462" s="38" t="inlineStr">
        <is>
          <t>NO</t>
        </is>
      </c>
      <c r="S462" s="38" t="inlineStr">
        <is>
          <t>NO</t>
        </is>
      </c>
      <c r="T462" s="38" t="inlineStr">
        <is>
          <t>NO</t>
        </is>
      </c>
      <c r="U462" s="38" t="n">
        <v>64</v>
      </c>
      <c r="V462" s="38" t="n">
        <v>58</v>
      </c>
      <c r="W462" s="38" t="n">
        <v>64</v>
      </c>
      <c r="X462" s="38" t="n">
        <v>58</v>
      </c>
      <c r="Y462" s="38" t="inlineStr">
        <is>
          <t>25-35%</t>
        </is>
      </c>
      <c r="Z462" s="38" t="inlineStr">
        <is>
          <t>polyrex</t>
        </is>
      </c>
      <c r="AA462" s="56" t="inlineStr">
        <is>
          <t>STANDARD</t>
        </is>
      </c>
      <c r="AB462" s="50" t="inlineStr">
        <is>
          <t>STANDARD</t>
        </is>
      </c>
      <c r="AC462" s="52" t="n">
        <v>44792</v>
      </c>
      <c r="AD462" s="51" t="inlineStr">
        <is>
          <t>B</t>
        </is>
      </c>
    </row>
    <row r="463" ht="15" customHeight="1" s="123">
      <c r="A463" s="85" t="n">
        <v>461</v>
      </c>
      <c r="B463" s="64" t="inlineStr">
        <is>
          <t>B&amp;P-041-MS07-2RSTX-ZJYH</t>
        </is>
      </c>
      <c r="C463" s="50" t="n">
        <v>17</v>
      </c>
      <c r="D463" s="50" t="n">
        <v>0</v>
      </c>
      <c r="E463" s="50" t="n">
        <v>-120</v>
      </c>
      <c r="F463" s="50" t="n">
        <v>72</v>
      </c>
      <c r="G463" s="50" t="n">
        <v>0</v>
      </c>
      <c r="H463" s="50" t="n">
        <v>-13</v>
      </c>
      <c r="I463" s="50" t="n">
        <v>17</v>
      </c>
      <c r="J463" s="50" t="n">
        <v>0</v>
      </c>
      <c r="K463" s="50" t="n">
        <v>-120</v>
      </c>
      <c r="L463" s="50" t="n">
        <v>35</v>
      </c>
      <c r="M463" s="50" t="n">
        <v>0</v>
      </c>
      <c r="N463" s="50" t="n">
        <v>-12</v>
      </c>
      <c r="O463" s="56" t="inlineStr">
        <is>
          <t>C3</t>
        </is>
      </c>
      <c r="P463" s="50" t="n">
        <v>33</v>
      </c>
      <c r="Q463" s="50" t="n">
        <v>15</v>
      </c>
      <c r="R463" s="56" t="inlineStr">
        <is>
          <t>NO</t>
        </is>
      </c>
      <c r="S463" s="56" t="inlineStr">
        <is>
          <t>NO</t>
        </is>
      </c>
      <c r="T463" s="56" t="inlineStr">
        <is>
          <t>NO</t>
        </is>
      </c>
      <c r="U463" s="50" t="n">
        <v>64</v>
      </c>
      <c r="V463" s="50" t="n">
        <v>58</v>
      </c>
      <c r="W463" s="50" t="n">
        <v>64</v>
      </c>
      <c r="X463" s="50" t="n">
        <v>58</v>
      </c>
      <c r="Y463" s="56" t="inlineStr">
        <is>
          <t>70-80%</t>
        </is>
      </c>
      <c r="Z463" s="56" t="inlineStr">
        <is>
          <t>Polyrex</t>
        </is>
      </c>
      <c r="AA463" s="56" t="inlineStr">
        <is>
          <t>-</t>
        </is>
      </c>
      <c r="AB463" s="56" t="inlineStr">
        <is>
          <t>-</t>
        </is>
      </c>
      <c r="AC463" s="53" t="n">
        <v>44958</v>
      </c>
      <c r="AD463" s="84" t="n">
        <v>0</v>
      </c>
    </row>
    <row r="464" ht="12.75" customHeight="1" s="123">
      <c r="A464" s="85" t="n">
        <v>462</v>
      </c>
      <c r="B464" s="30" t="inlineStr">
        <is>
          <t>6805-2RLD-C5-5</t>
        </is>
      </c>
      <c r="C464" s="38" t="n">
        <v>7</v>
      </c>
      <c r="D464" s="38" t="n">
        <v>0</v>
      </c>
      <c r="E464" s="38" t="n">
        <v>-120</v>
      </c>
      <c r="F464" s="38" t="n">
        <v>37</v>
      </c>
      <c r="G464" s="38" t="n">
        <v>0</v>
      </c>
      <c r="H464" s="38" t="n">
        <v>-11</v>
      </c>
      <c r="I464" s="38" t="n">
        <v>7</v>
      </c>
      <c r="J464" s="38" t="n">
        <v>0</v>
      </c>
      <c r="K464" s="38" t="n">
        <v>-120</v>
      </c>
      <c r="L464" s="38" t="n">
        <v>25</v>
      </c>
      <c r="M464" s="38" t="n">
        <v>0</v>
      </c>
      <c r="N464" s="38" t="n">
        <v>-10</v>
      </c>
      <c r="O464" s="38" t="inlineStr">
        <is>
          <t>C5</t>
        </is>
      </c>
      <c r="P464" s="38" t="n">
        <v>53</v>
      </c>
      <c r="Q464" s="38" t="n">
        <v>30</v>
      </c>
      <c r="R464" s="38" t="inlineStr">
        <is>
          <t>NO</t>
        </is>
      </c>
      <c r="S464" s="38" t="inlineStr">
        <is>
          <t>NO</t>
        </is>
      </c>
      <c r="T464" s="38" t="inlineStr">
        <is>
          <t>NO</t>
        </is>
      </c>
      <c r="U464" s="38" t="inlineStr">
        <is>
          <t>NO</t>
        </is>
      </c>
      <c r="V464" s="38" t="inlineStr">
        <is>
          <t>NO</t>
        </is>
      </c>
      <c r="W464" s="38" t="inlineStr">
        <is>
          <t>NO</t>
        </is>
      </c>
      <c r="X464" s="38" t="inlineStr">
        <is>
          <t>NO</t>
        </is>
      </c>
      <c r="Y464" s="36" t="inlineStr">
        <is>
          <t>25-35% (0.2-0.28gr)</t>
        </is>
      </c>
      <c r="Z464" s="38" t="inlineStr">
        <is>
          <t>Polyrex</t>
        </is>
      </c>
      <c r="AA464" s="45" t="inlineStr">
        <is>
          <t>0.038 Nm</t>
        </is>
      </c>
      <c r="AB464" s="45" t="inlineStr">
        <is>
          <t>0.010 Nm</t>
        </is>
      </c>
      <c r="AC464" s="44" t="n">
        <v>45121</v>
      </c>
      <c r="AD464" s="57" t="n">
        <v>0</v>
      </c>
    </row>
    <row r="465" ht="12.75" customHeight="1" s="123">
      <c r="A465" s="85" t="n">
        <v>463</v>
      </c>
      <c r="B465" s="30" t="inlineStr">
        <is>
          <t>6805-2RLD-C4-5</t>
        </is>
      </c>
      <c r="C465" s="38" t="n">
        <v>7</v>
      </c>
      <c r="D465" s="38" t="n">
        <v>0</v>
      </c>
      <c r="E465" s="38" t="n">
        <v>-120</v>
      </c>
      <c r="F465" s="38" t="n">
        <v>37</v>
      </c>
      <c r="G465" s="38" t="n">
        <v>0</v>
      </c>
      <c r="H465" s="38" t="n">
        <v>-11</v>
      </c>
      <c r="I465" s="38" t="n">
        <v>7</v>
      </c>
      <c r="J465" s="38" t="n">
        <v>0</v>
      </c>
      <c r="K465" s="38" t="n">
        <v>-120</v>
      </c>
      <c r="L465" s="38" t="n">
        <v>25</v>
      </c>
      <c r="M465" s="38" t="n">
        <v>0</v>
      </c>
      <c r="N465" s="38" t="n">
        <v>-10</v>
      </c>
      <c r="O465" s="38" t="inlineStr">
        <is>
          <t>C4</t>
        </is>
      </c>
      <c r="P465" s="38" t="n">
        <v>41</v>
      </c>
      <c r="Q465" s="38" t="n">
        <v>23</v>
      </c>
      <c r="R465" s="38" t="inlineStr">
        <is>
          <t>NO</t>
        </is>
      </c>
      <c r="S465" s="38" t="inlineStr">
        <is>
          <t>NO</t>
        </is>
      </c>
      <c r="T465" s="38" t="inlineStr">
        <is>
          <t>NO</t>
        </is>
      </c>
      <c r="U465" s="38" t="inlineStr">
        <is>
          <t>NO</t>
        </is>
      </c>
      <c r="V465" s="38" t="inlineStr">
        <is>
          <t>NO</t>
        </is>
      </c>
      <c r="W465" s="38" t="inlineStr">
        <is>
          <t>NO</t>
        </is>
      </c>
      <c r="X465" s="38" t="inlineStr">
        <is>
          <t>NO</t>
        </is>
      </c>
      <c r="Y465" s="36" t="inlineStr">
        <is>
          <t>25-35% (0.2-0.28gr)</t>
        </is>
      </c>
      <c r="Z465" s="38" t="inlineStr">
        <is>
          <t>Polyrex</t>
        </is>
      </c>
      <c r="AA465" s="45" t="inlineStr">
        <is>
          <t>0.038 Nm</t>
        </is>
      </c>
      <c r="AB465" s="45" t="inlineStr">
        <is>
          <t>0.010 Nm</t>
        </is>
      </c>
      <c r="AC465" s="44" t="n">
        <v>45121</v>
      </c>
      <c r="AD465" s="57" t="n">
        <v>0</v>
      </c>
    </row>
    <row r="466" ht="12.75" customHeight="1" s="123">
      <c r="A466" s="85" t="n">
        <v>464</v>
      </c>
      <c r="B466" s="27" t="inlineStr">
        <is>
          <t>B&amp;P-040-5210-2RS-C3-HLBR</t>
        </is>
      </c>
      <c r="C466" s="38" t="n">
        <v>30.163</v>
      </c>
      <c r="D466" s="38" t="n">
        <v>0</v>
      </c>
      <c r="E466" s="38" t="n">
        <v>-120</v>
      </c>
      <c r="F466" s="38" t="n">
        <v>90</v>
      </c>
      <c r="G466" s="38" t="n">
        <v>0</v>
      </c>
      <c r="H466" s="38" t="n">
        <v>-15</v>
      </c>
      <c r="I466" s="38" t="n">
        <v>30.163</v>
      </c>
      <c r="J466" s="38" t="n">
        <v>0</v>
      </c>
      <c r="K466" s="38" t="n">
        <v>-120</v>
      </c>
      <c r="L466" s="38" t="n">
        <v>50</v>
      </c>
      <c r="M466" s="38" t="n">
        <v>0</v>
      </c>
      <c r="N466" s="38" t="n">
        <v>-12</v>
      </c>
      <c r="O466" s="50" t="inlineStr">
        <is>
          <t>NO</t>
        </is>
      </c>
      <c r="P466" s="50" t="inlineStr">
        <is>
          <t>NO</t>
        </is>
      </c>
      <c r="Q466" s="50" t="inlineStr">
        <is>
          <t>NO</t>
        </is>
      </c>
      <c r="R466" s="38" t="inlineStr">
        <is>
          <t>Axial (C3)</t>
        </is>
      </c>
      <c r="S466" s="38" t="n">
        <v>23</v>
      </c>
      <c r="T466" s="38" t="n">
        <v>44</v>
      </c>
      <c r="U466" s="38" t="n">
        <v>58</v>
      </c>
      <c r="V466" s="38" t="n">
        <v>64</v>
      </c>
      <c r="W466" s="38" t="n">
        <v>58</v>
      </c>
      <c r="X466" s="38" t="n">
        <v>64</v>
      </c>
      <c r="Y466" s="36" t="inlineStr">
        <is>
          <t>3.8 - 4.59 gr</t>
        </is>
      </c>
      <c r="Z466" s="38" t="inlineStr">
        <is>
          <t>Polyrex</t>
        </is>
      </c>
      <c r="AA466" s="45" t="inlineStr">
        <is>
          <t>12cNm / 1,2Nm</t>
        </is>
      </c>
      <c r="AB466" s="45" t="inlineStr">
        <is>
          <t>7,2cNm / 0,72Nm</t>
        </is>
      </c>
      <c r="AC466" s="44" t="n">
        <v>45002</v>
      </c>
      <c r="AD466" s="57" t="inlineStr">
        <is>
          <t>B</t>
        </is>
      </c>
    </row>
    <row r="467" ht="12.75" customHeight="1" s="123">
      <c r="A467" s="85" t="n">
        <v>465</v>
      </c>
      <c r="B467" s="31" t="inlineStr">
        <is>
          <t>B&amp;P-041-LS04-2RST-YS</t>
        </is>
      </c>
      <c r="C467" s="50" t="n">
        <v>12</v>
      </c>
      <c r="D467" s="50" t="n">
        <v>0</v>
      </c>
      <c r="E467" s="50" t="n">
        <v>-120</v>
      </c>
      <c r="F467" s="50" t="n">
        <v>42</v>
      </c>
      <c r="G467" s="50" t="n">
        <v>0</v>
      </c>
      <c r="H467" s="50" t="n">
        <v>-9</v>
      </c>
      <c r="I467" s="50" t="n">
        <v>12</v>
      </c>
      <c r="J467" s="50" t="n">
        <v>0</v>
      </c>
      <c r="K467" s="50" t="n">
        <v>-120</v>
      </c>
      <c r="L467" s="50" t="n">
        <v>20</v>
      </c>
      <c r="M467" s="50" t="n">
        <v>0</v>
      </c>
      <c r="N467" s="50" t="n">
        <v>-8</v>
      </c>
      <c r="O467" s="56" t="inlineStr">
        <is>
          <t>C3</t>
        </is>
      </c>
      <c r="P467" s="50" t="n">
        <v>28</v>
      </c>
      <c r="Q467" s="50" t="n">
        <v>13</v>
      </c>
      <c r="R467" s="56" t="inlineStr">
        <is>
          <t>NO</t>
        </is>
      </c>
      <c r="S467" s="56" t="inlineStr">
        <is>
          <t>NO</t>
        </is>
      </c>
      <c r="T467" s="56" t="inlineStr">
        <is>
          <t>NO</t>
        </is>
      </c>
      <c r="U467" s="50" t="n">
        <v>62</v>
      </c>
      <c r="V467" s="50" t="n">
        <v>58</v>
      </c>
      <c r="W467" s="50" t="n">
        <v>62</v>
      </c>
      <c r="X467" s="50" t="n">
        <v>58</v>
      </c>
      <c r="Y467" s="62" t="inlineStr">
        <is>
          <t>70-80%</t>
        </is>
      </c>
      <c r="Z467" s="56" t="inlineStr">
        <is>
          <t>Polyrex</t>
        </is>
      </c>
      <c r="AA467" s="56" t="inlineStr">
        <is>
          <t>0.0332 N.m</t>
        </is>
      </c>
      <c r="AB467" s="56" t="inlineStr">
        <is>
          <t>0.0155 N.m</t>
        </is>
      </c>
      <c r="AC467" s="53" t="n">
        <v>45595</v>
      </c>
      <c r="AD467" s="84" t="inlineStr">
        <is>
          <t>B</t>
        </is>
      </c>
    </row>
    <row r="468" ht="12.75" customHeight="1" s="123">
      <c r="A468" s="85" t="n">
        <v>466</v>
      </c>
      <c r="B468" s="31" t="inlineStr">
        <is>
          <t>B&amp;P-041-MS07-D-C3-ZJFD</t>
        </is>
      </c>
      <c r="C468" s="50" t="n">
        <v>17</v>
      </c>
      <c r="D468" s="50" t="n">
        <v>0</v>
      </c>
      <c r="E468" s="50" t="n">
        <v>-120</v>
      </c>
      <c r="F468" s="50" t="n">
        <v>72</v>
      </c>
      <c r="G468" s="50" t="n">
        <v>0</v>
      </c>
      <c r="H468" s="50" t="n">
        <v>-13</v>
      </c>
      <c r="I468" s="50" t="n">
        <v>17</v>
      </c>
      <c r="J468" s="50" t="n">
        <v>0</v>
      </c>
      <c r="K468" s="50" t="n">
        <v>-120</v>
      </c>
      <c r="L468" s="50" t="n">
        <v>35</v>
      </c>
      <c r="M468" s="50" t="n">
        <v>0</v>
      </c>
      <c r="N468" s="50" t="n">
        <v>-12</v>
      </c>
      <c r="O468" s="50" t="inlineStr">
        <is>
          <t>C3</t>
        </is>
      </c>
      <c r="P468" s="50" t="n">
        <v>33</v>
      </c>
      <c r="Q468" s="50" t="n">
        <v>15</v>
      </c>
      <c r="R468" s="50" t="inlineStr">
        <is>
          <t>NO</t>
        </is>
      </c>
      <c r="S468" s="50" t="inlineStr">
        <is>
          <t>NO</t>
        </is>
      </c>
      <c r="T468" s="50" t="inlineStr">
        <is>
          <t>NO</t>
        </is>
      </c>
      <c r="U468" s="50" t="n">
        <v>65</v>
      </c>
      <c r="V468" s="50" t="n">
        <v>60</v>
      </c>
      <c r="W468" s="50" t="n">
        <v>65</v>
      </c>
      <c r="X468" s="50" t="n">
        <v>60</v>
      </c>
      <c r="Y468" s="50" t="inlineStr">
        <is>
          <t>NO</t>
        </is>
      </c>
      <c r="Z468" s="50" t="inlineStr">
        <is>
          <t>NO</t>
        </is>
      </c>
      <c r="AA468" s="56" t="inlineStr">
        <is>
          <t>no</t>
        </is>
      </c>
      <c r="AB468" s="50" t="inlineStr">
        <is>
          <t>no</t>
        </is>
      </c>
      <c r="AC468" s="53" t="n">
        <v>44957</v>
      </c>
      <c r="AD468" s="84" t="inlineStr">
        <is>
          <t>H</t>
        </is>
      </c>
    </row>
    <row r="469" ht="12.75" customHeight="1" s="123">
      <c r="A469" s="85" t="n">
        <v>467</v>
      </c>
      <c r="B469" s="30" t="inlineStr">
        <is>
          <t>B&amp;P-041-LS12-2RS - ZJFD</t>
        </is>
      </c>
      <c r="C469" s="38" t="n">
        <v>18</v>
      </c>
      <c r="D469" s="38" t="n">
        <v>0</v>
      </c>
      <c r="E469" s="38" t="n">
        <v>-150</v>
      </c>
      <c r="F469" s="38" t="n">
        <v>95</v>
      </c>
      <c r="G469" s="38" t="n">
        <v>0</v>
      </c>
      <c r="H469" s="38" t="n">
        <v>-13</v>
      </c>
      <c r="I469" s="38" t="n">
        <v>18</v>
      </c>
      <c r="J469" s="38" t="n">
        <v>0</v>
      </c>
      <c r="K469" s="38" t="n">
        <v>-150</v>
      </c>
      <c r="L469" s="38" t="n">
        <v>60</v>
      </c>
      <c r="M469" s="38" t="n">
        <v>0</v>
      </c>
      <c r="N469" s="38" t="n">
        <v>-12</v>
      </c>
      <c r="O469" s="38" t="inlineStr">
        <is>
          <t>C3</t>
        </is>
      </c>
      <c r="P469" s="38" t="n">
        <v>43</v>
      </c>
      <c r="Q469" s="38" t="n">
        <v>23</v>
      </c>
      <c r="R469" s="38" t="inlineStr">
        <is>
          <t>NO</t>
        </is>
      </c>
      <c r="S469" s="38" t="inlineStr">
        <is>
          <t>NO</t>
        </is>
      </c>
      <c r="T469" s="38" t="inlineStr">
        <is>
          <t>NO</t>
        </is>
      </c>
      <c r="U469" s="38" t="n">
        <v>65</v>
      </c>
      <c r="V469" s="38" t="n">
        <v>60</v>
      </c>
      <c r="W469" s="38" t="n">
        <v>65</v>
      </c>
      <c r="X469" s="38" t="n">
        <v>60</v>
      </c>
      <c r="Y469" s="38" t="inlineStr">
        <is>
          <t>25-35%</t>
        </is>
      </c>
      <c r="Z469" s="38" t="inlineStr">
        <is>
          <t>Polyrex</t>
        </is>
      </c>
      <c r="AA469" s="45" t="inlineStr">
        <is>
          <t>standard</t>
        </is>
      </c>
      <c r="AB469" s="38" t="inlineStr">
        <is>
          <t>standard</t>
        </is>
      </c>
      <c r="AC469" s="52" t="n">
        <v>44967</v>
      </c>
      <c r="AD469" s="51" t="inlineStr">
        <is>
          <t>B</t>
        </is>
      </c>
    </row>
    <row r="470" ht="12.75" customHeight="1" s="123">
      <c r="A470" s="85" t="n">
        <v>468</v>
      </c>
      <c r="B470" s="30" t="inlineStr">
        <is>
          <t>B&amp;P-041-LS12-ZJFD</t>
        </is>
      </c>
      <c r="C470" s="38" t="n">
        <v>18</v>
      </c>
      <c r="D470" s="38" t="n">
        <v>0</v>
      </c>
      <c r="E470" s="38" t="n">
        <v>-150</v>
      </c>
      <c r="F470" s="38" t="n">
        <v>95</v>
      </c>
      <c r="G470" s="38" t="n">
        <v>0</v>
      </c>
      <c r="H470" s="38" t="n">
        <v>-15</v>
      </c>
      <c r="I470" s="38" t="n">
        <v>18</v>
      </c>
      <c r="J470" s="38" t="n">
        <v>0</v>
      </c>
      <c r="K470" s="38" t="n">
        <v>-150</v>
      </c>
      <c r="L470" s="38" t="n">
        <v>60</v>
      </c>
      <c r="M470" s="38" t="n">
        <v>0</v>
      </c>
      <c r="N470" s="38" t="n">
        <v>-15</v>
      </c>
      <c r="O470" s="38" t="inlineStr">
        <is>
          <t>C3</t>
        </is>
      </c>
      <c r="P470" s="38" t="n">
        <v>43</v>
      </c>
      <c r="Q470" s="38" t="n">
        <v>23</v>
      </c>
      <c r="R470" s="38" t="inlineStr">
        <is>
          <t>NO</t>
        </is>
      </c>
      <c r="S470" s="38" t="inlineStr">
        <is>
          <t>NO</t>
        </is>
      </c>
      <c r="T470" s="38" t="inlineStr">
        <is>
          <t>NO</t>
        </is>
      </c>
      <c r="U470" s="38" t="n">
        <v>65</v>
      </c>
      <c r="V470" s="38" t="n">
        <v>60</v>
      </c>
      <c r="W470" s="38" t="n">
        <v>65</v>
      </c>
      <c r="X470" s="38" t="n">
        <v>60</v>
      </c>
      <c r="Y470" s="38" t="inlineStr">
        <is>
          <t>NO</t>
        </is>
      </c>
      <c r="Z470" s="38" t="inlineStr">
        <is>
          <t>NO</t>
        </is>
      </c>
      <c r="AA470" s="45" t="inlineStr">
        <is>
          <t>no</t>
        </is>
      </c>
      <c r="AB470" s="38" t="inlineStr">
        <is>
          <t>no</t>
        </is>
      </c>
      <c r="AC470" s="52" t="n">
        <v>44967</v>
      </c>
      <c r="AD470" s="51" t="inlineStr">
        <is>
          <t>A</t>
        </is>
      </c>
    </row>
    <row r="471" ht="12.75" customHeight="1" s="123">
      <c r="A471" s="85" t="n">
        <v>469</v>
      </c>
      <c r="B471" s="31" t="inlineStr">
        <is>
          <t>B&amp;P-041-LS03-2RLD-YS</t>
        </is>
      </c>
      <c r="C471" s="50" t="n">
        <v>10</v>
      </c>
      <c r="D471" s="50" t="n">
        <v>0</v>
      </c>
      <c r="E471" s="50" t="n">
        <v>-120</v>
      </c>
      <c r="F471" s="50" t="n">
        <v>35</v>
      </c>
      <c r="G471" s="50" t="n">
        <v>0</v>
      </c>
      <c r="H471" s="50" t="n">
        <v>-9</v>
      </c>
      <c r="I471" s="50" t="n">
        <v>10</v>
      </c>
      <c r="J471" s="50" t="n">
        <v>0</v>
      </c>
      <c r="K471" s="50" t="n">
        <v>-120</v>
      </c>
      <c r="L471" s="50" t="n">
        <v>17</v>
      </c>
      <c r="M471" s="50" t="n">
        <v>0</v>
      </c>
      <c r="N471" s="50" t="n">
        <v>-7</v>
      </c>
      <c r="O471" s="50" t="inlineStr">
        <is>
          <t>C3</t>
        </is>
      </c>
      <c r="P471" s="50" t="n">
        <v>28</v>
      </c>
      <c r="Q471" s="50" t="n">
        <v>13</v>
      </c>
      <c r="R471" s="50" t="inlineStr">
        <is>
          <t>NO</t>
        </is>
      </c>
      <c r="S471" s="50" t="inlineStr">
        <is>
          <t>NO</t>
        </is>
      </c>
      <c r="T471" s="50" t="inlineStr">
        <is>
          <t>NO</t>
        </is>
      </c>
      <c r="U471" s="50" t="n">
        <v>65</v>
      </c>
      <c r="V471" s="50" t="n">
        <v>60</v>
      </c>
      <c r="W471" s="50" t="n">
        <v>65</v>
      </c>
      <c r="X471" s="50" t="n">
        <v>60</v>
      </c>
      <c r="Y471" s="50" t="inlineStr">
        <is>
          <t>25-35%</t>
        </is>
      </c>
      <c r="Z471" s="50" t="inlineStr">
        <is>
          <t>Polyrex</t>
        </is>
      </c>
      <c r="AA471" s="56" t="inlineStr">
        <is>
          <t>0.016 Nm</t>
        </is>
      </c>
      <c r="AB471" s="50" t="inlineStr">
        <is>
          <t>0.006 Nm</t>
        </is>
      </c>
      <c r="AC471" s="53" t="n">
        <v>45517</v>
      </c>
      <c r="AD471" s="84" t="inlineStr">
        <is>
          <t>A</t>
        </is>
      </c>
    </row>
    <row r="472" ht="12.75" customHeight="1" s="123">
      <c r="A472" s="85" t="n">
        <v>470</v>
      </c>
      <c r="B472" s="31" t="inlineStr">
        <is>
          <t>6805-2RLD-C3-5</t>
        </is>
      </c>
      <c r="C472" s="38" t="n">
        <v>7</v>
      </c>
      <c r="D472" s="38" t="n">
        <v>0</v>
      </c>
      <c r="E472" s="38" t="n">
        <v>-120</v>
      </c>
      <c r="F472" s="38" t="n">
        <v>37</v>
      </c>
      <c r="G472" s="38" t="n">
        <v>0</v>
      </c>
      <c r="H472" s="38" t="n">
        <v>-11</v>
      </c>
      <c r="I472" s="38" t="n">
        <v>7</v>
      </c>
      <c r="J472" s="38" t="n">
        <v>0</v>
      </c>
      <c r="K472" s="38" t="n">
        <v>-120</v>
      </c>
      <c r="L472" s="38" t="n">
        <v>25</v>
      </c>
      <c r="M472" s="38" t="n">
        <v>0</v>
      </c>
      <c r="N472" s="38" t="n">
        <v>-10</v>
      </c>
      <c r="O472" s="38" t="inlineStr">
        <is>
          <t>C3</t>
        </is>
      </c>
      <c r="P472" s="38" t="n">
        <v>13</v>
      </c>
      <c r="Q472" s="38" t="n">
        <v>28</v>
      </c>
      <c r="R472" s="38" t="inlineStr">
        <is>
          <t>NO</t>
        </is>
      </c>
      <c r="S472" s="38" t="inlineStr">
        <is>
          <t>NO</t>
        </is>
      </c>
      <c r="T472" s="38" t="inlineStr">
        <is>
          <t>NO</t>
        </is>
      </c>
      <c r="U472" s="38" t="n">
        <v>64</v>
      </c>
      <c r="V472" s="38" t="n">
        <v>58</v>
      </c>
      <c r="W472" s="38" t="n">
        <v>64</v>
      </c>
      <c r="X472" s="38" t="n">
        <v>58</v>
      </c>
      <c r="Y472" s="36" t="inlineStr">
        <is>
          <t>25-35%</t>
        </is>
      </c>
      <c r="Z472" s="38" t="inlineStr">
        <is>
          <t>Polyrex</t>
        </is>
      </c>
      <c r="AA472" s="45" t="inlineStr">
        <is>
          <t>0.038 Nm</t>
        </is>
      </c>
      <c r="AB472" s="45" t="inlineStr">
        <is>
          <t>0.010 Nm</t>
        </is>
      </c>
      <c r="AC472" s="44" t="n">
        <v>45121</v>
      </c>
      <c r="AD472" s="57" t="inlineStr">
        <is>
          <t>D</t>
        </is>
      </c>
    </row>
    <row r="473" ht="12.75" customHeight="1" s="123">
      <c r="A473" s="85" t="n">
        <v>471</v>
      </c>
      <c r="B473" s="30" t="inlineStr">
        <is>
          <t>B&amp;P-031-12025ROLLERS - DU25520037ZZ - BBS</t>
        </is>
      </c>
      <c r="C473" s="38" t="n">
        <v>37</v>
      </c>
      <c r="D473" s="38" t="n">
        <v>0</v>
      </c>
      <c r="E473" s="38" t="n">
        <v>-120</v>
      </c>
      <c r="F473" s="38" t="n">
        <v>52</v>
      </c>
      <c r="G473" s="38" t="n">
        <v>0</v>
      </c>
      <c r="H473" s="38" t="n">
        <v>-16</v>
      </c>
      <c r="I473" s="38" t="n">
        <v>37</v>
      </c>
      <c r="J473" s="38" t="n">
        <v>0</v>
      </c>
      <c r="K473" s="38" t="n">
        <v>-120</v>
      </c>
      <c r="L473" s="38" t="n">
        <v>25</v>
      </c>
      <c r="M473" s="38" t="n">
        <v>0</v>
      </c>
      <c r="N473" s="38" t="n">
        <v>-12</v>
      </c>
      <c r="O473" s="38" t="inlineStr">
        <is>
          <t>NO</t>
        </is>
      </c>
      <c r="P473" s="38" t="inlineStr">
        <is>
          <t>NO</t>
        </is>
      </c>
      <c r="Q473" s="38" t="inlineStr">
        <is>
          <t>NO</t>
        </is>
      </c>
      <c r="R473" s="38" t="inlineStr">
        <is>
          <t>Axial</t>
        </is>
      </c>
      <c r="S473" s="38" t="n">
        <v>210</v>
      </c>
      <c r="T473" s="38" t="n">
        <v>150</v>
      </c>
      <c r="U473" s="38" t="n">
        <v>65</v>
      </c>
      <c r="V473" s="38" t="n">
        <v>60</v>
      </c>
      <c r="W473" s="38" t="n">
        <v>65</v>
      </c>
      <c r="X473" s="38" t="n">
        <v>60</v>
      </c>
      <c r="Y473" s="45" t="inlineStr">
        <is>
          <t>3,0gr-6,0 gr</t>
        </is>
      </c>
      <c r="Z473" s="45" t="inlineStr">
        <is>
          <t>MOBIL MOBILUX</t>
        </is>
      </c>
      <c r="AA473" s="45" t="inlineStr">
        <is>
          <t>0.6Nm</t>
        </is>
      </c>
      <c r="AB473" s="38" t="inlineStr">
        <is>
          <t>0.4Nm</t>
        </is>
      </c>
      <c r="AC473" s="44" t="n">
        <v>45616</v>
      </c>
      <c r="AD473" s="57" t="inlineStr">
        <is>
          <t>G</t>
        </is>
      </c>
    </row>
    <row r="474" ht="12.75" customHeight="1" s="123">
      <c r="A474" s="85" t="n">
        <v>472</v>
      </c>
      <c r="B474" s="30" t="inlineStr">
        <is>
          <t>B&amp;P-041-MS10-2RS-ZJFD</t>
        </is>
      </c>
      <c r="C474" s="38" t="n">
        <v>20</v>
      </c>
      <c r="D474" s="38" t="n">
        <v>0</v>
      </c>
      <c r="E474" s="38" t="n">
        <v>-120</v>
      </c>
      <c r="F474" s="38" t="n">
        <v>90</v>
      </c>
      <c r="G474" s="38" t="n">
        <v>0</v>
      </c>
      <c r="H474" s="38" t="n">
        <v>-13</v>
      </c>
      <c r="I474" s="38" t="n">
        <v>20</v>
      </c>
      <c r="J474" s="38" t="n">
        <v>0</v>
      </c>
      <c r="K474" s="38" t="n">
        <v>-120</v>
      </c>
      <c r="L474" s="38" t="n">
        <v>50</v>
      </c>
      <c r="M474" s="38" t="n">
        <v>0</v>
      </c>
      <c r="N474" s="38" t="n">
        <v>-10</v>
      </c>
      <c r="O474" s="38" t="inlineStr">
        <is>
          <t>C3</t>
        </is>
      </c>
      <c r="P474" s="38" t="n">
        <v>36</v>
      </c>
      <c r="Q474" s="38" t="n">
        <v>18</v>
      </c>
      <c r="R474" s="38" t="inlineStr">
        <is>
          <t>NO</t>
        </is>
      </c>
      <c r="S474" s="38" t="inlineStr">
        <is>
          <t>NO</t>
        </is>
      </c>
      <c r="T474" s="38" t="inlineStr">
        <is>
          <t>NO</t>
        </is>
      </c>
      <c r="U474" s="38" t="n">
        <v>65</v>
      </c>
      <c r="V474" s="38" t="n">
        <v>60</v>
      </c>
      <c r="W474" s="38" t="n">
        <v>65</v>
      </c>
      <c r="X474" s="38" t="n">
        <v>60</v>
      </c>
      <c r="Y474" s="38" t="inlineStr">
        <is>
          <t>5,29 - 7,4</t>
        </is>
      </c>
      <c r="Z474" s="38" t="inlineStr">
        <is>
          <t>Polyrex</t>
        </is>
      </c>
      <c r="AA474" s="45" t="inlineStr">
        <is>
          <t>17,6cNm / 0,176Nm</t>
        </is>
      </c>
      <c r="AB474" s="45" t="inlineStr">
        <is>
          <t>10,5cNm / 0,105Nm</t>
        </is>
      </c>
      <c r="AC474" s="44" t="n">
        <v>45426</v>
      </c>
      <c r="AD474" s="57" t="inlineStr">
        <is>
          <t>G</t>
        </is>
      </c>
    </row>
    <row r="475" ht="12.75" customHeight="1" s="123">
      <c r="A475" s="85" t="n">
        <v>473</v>
      </c>
      <c r="B475" s="30" t="inlineStr">
        <is>
          <t>B&amp;P-040-1309-K-TN-C3-HLBR</t>
        </is>
      </c>
      <c r="C475" s="38" t="n">
        <v>25</v>
      </c>
      <c r="D475" s="38" t="n">
        <v>0</v>
      </c>
      <c r="E475" s="38" t="n">
        <v>-120</v>
      </c>
      <c r="F475" s="38" t="n">
        <v>100</v>
      </c>
      <c r="G475" s="38" t="n">
        <v>0</v>
      </c>
      <c r="H475" s="38" t="n">
        <v>-15</v>
      </c>
      <c r="I475" s="38" t="n">
        <v>25</v>
      </c>
      <c r="J475" s="38" t="n">
        <v>0</v>
      </c>
      <c r="K475" s="38" t="n">
        <v>-120</v>
      </c>
      <c r="L475" s="38" t="n">
        <v>45</v>
      </c>
      <c r="M475" s="38" t="n">
        <v>39</v>
      </c>
      <c r="N475" s="38" t="n">
        <v>0</v>
      </c>
      <c r="O475" s="38" t="inlineStr">
        <is>
          <t>Radial (C3)</t>
        </is>
      </c>
      <c r="P475" s="38" t="n">
        <v>52</v>
      </c>
      <c r="Q475" s="38" t="n">
        <v>33</v>
      </c>
      <c r="R475" s="38" t="inlineStr">
        <is>
          <t>NO</t>
        </is>
      </c>
      <c r="S475" s="38" t="inlineStr">
        <is>
          <t>NO</t>
        </is>
      </c>
      <c r="T475" s="38" t="inlineStr">
        <is>
          <t>NO</t>
        </is>
      </c>
      <c r="U475" s="38" t="n">
        <v>65</v>
      </c>
      <c r="V475" s="38" t="n">
        <v>60</v>
      </c>
      <c r="W475" s="38" t="n">
        <v>65</v>
      </c>
      <c r="X475" s="38" t="n">
        <v>60</v>
      </c>
      <c r="Y475" s="45" t="inlineStr">
        <is>
          <t>NO</t>
        </is>
      </c>
      <c r="Z475" s="45" t="inlineStr">
        <is>
          <t>NO</t>
        </is>
      </c>
      <c r="AA475" s="45" t="inlineStr">
        <is>
          <t>NO</t>
        </is>
      </c>
      <c r="AB475" s="45" t="inlineStr">
        <is>
          <t>NO</t>
        </is>
      </c>
      <c r="AC475" s="44" t="n">
        <v>45517</v>
      </c>
      <c r="AD475" s="57" t="inlineStr">
        <is>
          <t>A</t>
        </is>
      </c>
    </row>
    <row r="476" ht="12.75" customHeight="1" s="123">
      <c r="A476" s="85" t="n">
        <v>474</v>
      </c>
      <c r="B476" s="30" t="inlineStr">
        <is>
          <t>B&amp;P-040-1308-TN-C3-HLBR</t>
        </is>
      </c>
      <c r="C476" s="50" t="n">
        <v>23</v>
      </c>
      <c r="D476" s="50" t="n">
        <v>0</v>
      </c>
      <c r="E476" s="50" t="n">
        <v>-120</v>
      </c>
      <c r="F476" s="50" t="n">
        <v>90</v>
      </c>
      <c r="G476" s="50" t="n">
        <v>0</v>
      </c>
      <c r="H476" s="50" t="n">
        <v>-15</v>
      </c>
      <c r="I476" s="50" t="n">
        <v>23</v>
      </c>
      <c r="J476" s="50" t="n">
        <v>0</v>
      </c>
      <c r="K476" s="50" t="n">
        <v>-120</v>
      </c>
      <c r="L476" s="50" t="n">
        <v>40</v>
      </c>
      <c r="M476" s="50" t="n">
        <v>0</v>
      </c>
      <c r="N476" s="50" t="n">
        <v>-12</v>
      </c>
      <c r="O476" s="38" t="inlineStr">
        <is>
          <t>Radial (C3)</t>
        </is>
      </c>
      <c r="P476" s="50" t="n">
        <v>23</v>
      </c>
      <c r="Q476" s="50" t="n">
        <v>40</v>
      </c>
      <c r="R476" s="50" t="inlineStr">
        <is>
          <t>NO</t>
        </is>
      </c>
      <c r="S476" s="50" t="inlineStr">
        <is>
          <t>NO</t>
        </is>
      </c>
      <c r="T476" s="50" t="inlineStr">
        <is>
          <t>NO</t>
        </is>
      </c>
      <c r="U476" s="50" t="n">
        <v>64</v>
      </c>
      <c r="V476" s="50" t="n">
        <v>58</v>
      </c>
      <c r="W476" s="50" t="n">
        <v>64</v>
      </c>
      <c r="X476" s="50" t="n">
        <v>58</v>
      </c>
      <c r="Y476" s="50" t="inlineStr">
        <is>
          <t>NO</t>
        </is>
      </c>
      <c r="Z476" s="50" t="inlineStr">
        <is>
          <t>NO</t>
        </is>
      </c>
      <c r="AA476" s="56" t="inlineStr">
        <is>
          <t>NO</t>
        </is>
      </c>
      <c r="AB476" s="50" t="inlineStr">
        <is>
          <t>NO</t>
        </is>
      </c>
      <c r="AC476" s="53" t="n">
        <v>45579</v>
      </c>
      <c r="AD476" s="84" t="inlineStr">
        <is>
          <t>A</t>
        </is>
      </c>
    </row>
    <row r="477" ht="12.75" customHeight="1" s="123">
      <c r="A477" s="85" t="n">
        <v>475</v>
      </c>
      <c r="B477" s="31" t="inlineStr">
        <is>
          <t>B&amp;P-040-1207-K-TN-C3-HLBR</t>
        </is>
      </c>
      <c r="C477" s="50" t="n">
        <v>17</v>
      </c>
      <c r="D477" s="50" t="n">
        <v>0</v>
      </c>
      <c r="E477" s="50" t="n">
        <v>-120</v>
      </c>
      <c r="F477" s="50" t="n">
        <v>72</v>
      </c>
      <c r="G477" s="50" t="n">
        <v>0</v>
      </c>
      <c r="H477" s="50" t="n">
        <v>-13</v>
      </c>
      <c r="I477" s="50" t="n">
        <v>17</v>
      </c>
      <c r="J477" s="50" t="n">
        <v>0</v>
      </c>
      <c r="K477" s="50" t="n">
        <v>-120</v>
      </c>
      <c r="L477" s="50" t="n">
        <v>35</v>
      </c>
      <c r="M477" s="50" t="n">
        <v>39</v>
      </c>
      <c r="N477" s="50" t="n">
        <v>0</v>
      </c>
      <c r="O477" s="50" t="inlineStr">
        <is>
          <t>C3</t>
        </is>
      </c>
      <c r="P477" s="50" t="n">
        <v>46</v>
      </c>
      <c r="Q477" s="50" t="n">
        <v>29</v>
      </c>
      <c r="R477" s="50" t="inlineStr">
        <is>
          <t>NO</t>
        </is>
      </c>
      <c r="S477" s="50" t="inlineStr">
        <is>
          <t>NO</t>
        </is>
      </c>
      <c r="T477" s="50" t="inlineStr">
        <is>
          <t>NO</t>
        </is>
      </c>
      <c r="U477" s="50" t="n">
        <v>65</v>
      </c>
      <c r="V477" s="50" t="n">
        <v>60</v>
      </c>
      <c r="W477" s="50" t="n">
        <v>65</v>
      </c>
      <c r="X477" s="50" t="n">
        <v>60</v>
      </c>
      <c r="Y477" s="50" t="inlineStr">
        <is>
          <t>NO</t>
        </is>
      </c>
      <c r="Z477" s="50" t="inlineStr">
        <is>
          <t>NO</t>
        </is>
      </c>
      <c r="AA477" s="56" t="inlineStr">
        <is>
          <t>NO</t>
        </is>
      </c>
      <c r="AB477" s="50" t="inlineStr">
        <is>
          <t>NO</t>
        </is>
      </c>
      <c r="AC477" s="53" t="n">
        <v>45882</v>
      </c>
      <c r="AD477" s="84" t="inlineStr">
        <is>
          <t>A</t>
        </is>
      </c>
    </row>
    <row r="478" ht="12.75" customHeight="1" s="123">
      <c r="A478" s="85" t="n">
        <v>476</v>
      </c>
      <c r="B478" s="31" t="inlineStr">
        <is>
          <t>B&amp;P-040-1305-K-TN-C3-HLBR</t>
        </is>
      </c>
      <c r="C478" s="50" t="n">
        <v>17</v>
      </c>
      <c r="D478" s="50" t="n">
        <v>0</v>
      </c>
      <c r="E478" s="50" t="n">
        <v>-120</v>
      </c>
      <c r="F478" s="50" t="n">
        <v>62</v>
      </c>
      <c r="G478" s="50" t="n">
        <v>0</v>
      </c>
      <c r="H478" s="50" t="n">
        <v>-13</v>
      </c>
      <c r="I478" s="50" t="n">
        <v>17</v>
      </c>
      <c r="J478" s="50" t="n">
        <v>0</v>
      </c>
      <c r="K478" s="50" t="n">
        <v>-120</v>
      </c>
      <c r="L478" s="50" t="n">
        <v>25</v>
      </c>
      <c r="M478" s="50" t="n">
        <v>25</v>
      </c>
      <c r="N478" s="50" t="n">
        <v>0</v>
      </c>
      <c r="O478" s="50" t="inlineStr">
        <is>
          <t>C3</t>
        </is>
      </c>
      <c r="P478" s="50" t="n">
        <v>40</v>
      </c>
      <c r="Q478" s="50" t="n">
        <v>23</v>
      </c>
      <c r="R478" s="50" t="inlineStr">
        <is>
          <t>NO</t>
        </is>
      </c>
      <c r="S478" s="50" t="inlineStr">
        <is>
          <t>NO</t>
        </is>
      </c>
      <c r="T478" s="50" t="inlineStr">
        <is>
          <t>NO</t>
        </is>
      </c>
      <c r="U478" s="50" t="n">
        <v>65</v>
      </c>
      <c r="V478" s="50" t="n">
        <v>60</v>
      </c>
      <c r="W478" s="50" t="n">
        <v>65</v>
      </c>
      <c r="X478" s="50" t="n">
        <v>60</v>
      </c>
      <c r="Y478" s="50" t="inlineStr">
        <is>
          <t>NO</t>
        </is>
      </c>
      <c r="Z478" s="50" t="inlineStr">
        <is>
          <t>NO</t>
        </is>
      </c>
      <c r="AA478" s="56" t="inlineStr">
        <is>
          <t>NO</t>
        </is>
      </c>
      <c r="AB478" s="50" t="inlineStr">
        <is>
          <t>NO</t>
        </is>
      </c>
      <c r="AC478" s="53" t="n">
        <v>45093</v>
      </c>
      <c r="AD478" s="84" t="n">
        <v>0</v>
      </c>
    </row>
    <row r="479" ht="12.75" customHeight="1" s="123">
      <c r="A479" s="85" t="n">
        <v>477</v>
      </c>
      <c r="B479" s="30" t="inlineStr">
        <is>
          <t>B&amp;P-040-1308-K-TN-C3-HLBR</t>
        </is>
      </c>
      <c r="C479" s="50" t="n">
        <v>23</v>
      </c>
      <c r="D479" s="50" t="n">
        <v>0</v>
      </c>
      <c r="E479" s="50" t="n">
        <v>-120</v>
      </c>
      <c r="F479" s="50" t="n">
        <v>90</v>
      </c>
      <c r="G479" s="50" t="n">
        <v>0</v>
      </c>
      <c r="H479" s="50" t="n">
        <v>-15</v>
      </c>
      <c r="I479" s="50" t="n">
        <v>23</v>
      </c>
      <c r="J479" s="50" t="n">
        <v>0</v>
      </c>
      <c r="K479" s="50" t="n">
        <v>-120</v>
      </c>
      <c r="L479" s="50" t="n">
        <v>40</v>
      </c>
      <c r="M479" s="50" t="n">
        <v>25</v>
      </c>
      <c r="N479" s="50" t="n">
        <v>0</v>
      </c>
      <c r="O479" s="38" t="inlineStr">
        <is>
          <t>Radial (C3)</t>
        </is>
      </c>
      <c r="P479" s="50" t="n">
        <v>23</v>
      </c>
      <c r="Q479" s="50" t="n">
        <v>40</v>
      </c>
      <c r="R479" s="50" t="inlineStr">
        <is>
          <t>NO</t>
        </is>
      </c>
      <c r="S479" s="50" t="inlineStr">
        <is>
          <t>NO</t>
        </is>
      </c>
      <c r="T479" s="50" t="inlineStr">
        <is>
          <t>NO</t>
        </is>
      </c>
      <c r="U479" s="50" t="n">
        <v>65</v>
      </c>
      <c r="V479" s="50" t="n">
        <v>60</v>
      </c>
      <c r="W479" s="50" t="n">
        <v>65</v>
      </c>
      <c r="X479" s="50" t="n">
        <v>60</v>
      </c>
      <c r="Y479" s="50" t="inlineStr">
        <is>
          <t>NO</t>
        </is>
      </c>
      <c r="Z479" s="50" t="inlineStr">
        <is>
          <t>NO</t>
        </is>
      </c>
      <c r="AA479" s="56" t="inlineStr">
        <is>
          <t>no</t>
        </is>
      </c>
      <c r="AB479" s="50" t="inlineStr">
        <is>
          <t>no</t>
        </is>
      </c>
      <c r="AC479" s="53" t="n">
        <v>45093</v>
      </c>
      <c r="AD479" s="84" t="n">
        <v>0</v>
      </c>
    </row>
    <row r="480" ht="12.75" customHeight="1" s="123">
      <c r="A480" s="85" t="n">
        <v>478</v>
      </c>
      <c r="B480" s="65" t="inlineStr">
        <is>
          <t>6805-C4-7 L241A4K</t>
        </is>
      </c>
      <c r="C480" s="50" t="n">
        <v>7</v>
      </c>
      <c r="D480" s="50" t="n">
        <v>0</v>
      </c>
      <c r="E480" s="50" t="n">
        <v>-120</v>
      </c>
      <c r="F480" s="50" t="n">
        <v>37</v>
      </c>
      <c r="G480" s="50" t="n">
        <v>0</v>
      </c>
      <c r="H480" s="50" t="n">
        <v>-11</v>
      </c>
      <c r="I480" s="50" t="n">
        <v>7</v>
      </c>
      <c r="J480" s="50" t="n">
        <v>0</v>
      </c>
      <c r="K480" s="50" t="n">
        <v>-120</v>
      </c>
      <c r="L480" s="50" t="n">
        <v>25</v>
      </c>
      <c r="M480" s="50" t="n">
        <v>0</v>
      </c>
      <c r="N480" s="50" t="n">
        <v>-10</v>
      </c>
      <c r="O480" s="56" t="inlineStr">
        <is>
          <t>C4</t>
        </is>
      </c>
      <c r="P480" s="50" t="n">
        <v>41</v>
      </c>
      <c r="Q480" s="50" t="n">
        <v>23</v>
      </c>
      <c r="R480" s="56" t="inlineStr">
        <is>
          <t>NO</t>
        </is>
      </c>
      <c r="S480" s="56" t="inlineStr">
        <is>
          <t>NO</t>
        </is>
      </c>
      <c r="T480" s="56" t="inlineStr">
        <is>
          <t>NO</t>
        </is>
      </c>
      <c r="U480" s="56" t="inlineStr">
        <is>
          <t>NO</t>
        </is>
      </c>
      <c r="V480" s="56" t="inlineStr">
        <is>
          <t>NO</t>
        </is>
      </c>
      <c r="W480" s="56" t="inlineStr">
        <is>
          <t>NO</t>
        </is>
      </c>
      <c r="X480" s="56" t="inlineStr">
        <is>
          <t>NO</t>
        </is>
      </c>
      <c r="Y480" s="56" t="inlineStr">
        <is>
          <t>25-35%</t>
        </is>
      </c>
      <c r="Z480" s="56" t="inlineStr">
        <is>
          <t>kyodo</t>
        </is>
      </c>
      <c r="AA480" s="56" t="inlineStr">
        <is>
          <t>0.048Nm</t>
        </is>
      </c>
      <c r="AB480" s="56" t="inlineStr">
        <is>
          <t>0.034Nm</t>
        </is>
      </c>
      <c r="AC480" s="53" t="n">
        <v>44883</v>
      </c>
      <c r="AD480" s="84" t="n">
        <v>0</v>
      </c>
    </row>
    <row r="481" ht="12.75" customHeight="1" s="123">
      <c r="A481" s="85" t="n">
        <v>479</v>
      </c>
      <c r="B481" s="65" t="inlineStr">
        <is>
          <t>6805-C4-7 L241F4K</t>
        </is>
      </c>
      <c r="C481" s="50" t="n">
        <v>7</v>
      </c>
      <c r="D481" s="50" t="n">
        <v>0</v>
      </c>
      <c r="E481" s="50" t="n">
        <v>-120</v>
      </c>
      <c r="F481" s="50" t="n">
        <v>37</v>
      </c>
      <c r="G481" s="50" t="n">
        <v>0</v>
      </c>
      <c r="H481" s="50" t="n">
        <v>-11</v>
      </c>
      <c r="I481" s="50" t="n">
        <v>7</v>
      </c>
      <c r="J481" s="50" t="n">
        <v>0</v>
      </c>
      <c r="K481" s="50" t="n">
        <v>-120</v>
      </c>
      <c r="L481" s="50" t="n">
        <v>25</v>
      </c>
      <c r="M481" s="50" t="n">
        <v>0</v>
      </c>
      <c r="N481" s="50" t="n">
        <v>-10</v>
      </c>
      <c r="O481" s="56" t="inlineStr">
        <is>
          <t>C4</t>
        </is>
      </c>
      <c r="P481" s="50" t="n">
        <v>41</v>
      </c>
      <c r="Q481" s="50" t="n">
        <v>23</v>
      </c>
      <c r="R481" s="56" t="inlineStr">
        <is>
          <t>NO</t>
        </is>
      </c>
      <c r="S481" s="56" t="inlineStr">
        <is>
          <t>NO</t>
        </is>
      </c>
      <c r="T481" s="56" t="inlineStr">
        <is>
          <t>NO</t>
        </is>
      </c>
      <c r="U481" s="56" t="inlineStr">
        <is>
          <t>NO</t>
        </is>
      </c>
      <c r="V481" s="56" t="inlineStr">
        <is>
          <t>NO</t>
        </is>
      </c>
      <c r="W481" s="56" t="inlineStr">
        <is>
          <t>NO</t>
        </is>
      </c>
      <c r="X481" s="56" t="inlineStr">
        <is>
          <t>NO</t>
        </is>
      </c>
      <c r="Y481" s="56" t="inlineStr">
        <is>
          <t>25-35%</t>
        </is>
      </c>
      <c r="Z481" s="56" t="inlineStr">
        <is>
          <t>kyodo</t>
        </is>
      </c>
      <c r="AA481" s="56" t="inlineStr">
        <is>
          <t>0.048Nm</t>
        </is>
      </c>
      <c r="AB481" s="56" t="inlineStr">
        <is>
          <t>0.034Nm</t>
        </is>
      </c>
      <c r="AC481" s="53" t="n">
        <v>45218</v>
      </c>
      <c r="AD481" s="76" t="inlineStr">
        <is>
          <t>A</t>
        </is>
      </c>
    </row>
    <row r="482" ht="12.75" customHeight="1" s="123">
      <c r="A482" s="85" t="n">
        <v>480</v>
      </c>
      <c r="B482" s="65" t="inlineStr">
        <is>
          <t>6805-C3-7 L241A3P</t>
        </is>
      </c>
      <c r="C482" s="50" t="n">
        <v>7</v>
      </c>
      <c r="D482" s="50" t="n">
        <v>0</v>
      </c>
      <c r="E482" s="50" t="n">
        <v>-120</v>
      </c>
      <c r="F482" s="50" t="n">
        <v>37</v>
      </c>
      <c r="G482" s="50" t="n">
        <v>0</v>
      </c>
      <c r="H482" s="50" t="n">
        <v>-11</v>
      </c>
      <c r="I482" s="50" t="n">
        <v>7</v>
      </c>
      <c r="J482" s="50" t="n">
        <v>0</v>
      </c>
      <c r="K482" s="50" t="n">
        <v>-120</v>
      </c>
      <c r="L482" s="50" t="n">
        <v>25</v>
      </c>
      <c r="M482" s="50" t="n">
        <v>0</v>
      </c>
      <c r="N482" s="50" t="n">
        <v>-10</v>
      </c>
      <c r="O482" s="56" t="inlineStr">
        <is>
          <t>C3</t>
        </is>
      </c>
      <c r="P482" s="50" t="n">
        <v>28</v>
      </c>
      <c r="Q482" s="50" t="n">
        <v>13</v>
      </c>
      <c r="R482" s="56" t="inlineStr">
        <is>
          <t>NO</t>
        </is>
      </c>
      <c r="S482" s="56" t="inlineStr">
        <is>
          <t>NO</t>
        </is>
      </c>
      <c r="T482" s="56" t="inlineStr">
        <is>
          <t>NO</t>
        </is>
      </c>
      <c r="U482" s="56" t="inlineStr">
        <is>
          <t>NO</t>
        </is>
      </c>
      <c r="V482" s="56" t="inlineStr">
        <is>
          <t>NO</t>
        </is>
      </c>
      <c r="W482" s="56" t="inlineStr">
        <is>
          <t>NO</t>
        </is>
      </c>
      <c r="X482" s="56" t="inlineStr">
        <is>
          <t>NO</t>
        </is>
      </c>
      <c r="Y482" s="56" t="inlineStr">
        <is>
          <t>25-35%</t>
        </is>
      </c>
      <c r="Z482" s="56" t="inlineStr">
        <is>
          <t>Polyrex</t>
        </is>
      </c>
      <c r="AA482" s="56" t="inlineStr">
        <is>
          <t>0.048Nm</t>
        </is>
      </c>
      <c r="AB482" s="56" t="inlineStr">
        <is>
          <t>0.034Nm</t>
        </is>
      </c>
      <c r="AC482" s="66" t="inlineStr">
        <is>
          <t>…..</t>
        </is>
      </c>
      <c r="AD482" s="76" t="inlineStr">
        <is>
          <t>…</t>
        </is>
      </c>
    </row>
    <row r="483" ht="12.75" customHeight="1" s="123">
      <c r="A483" s="85" t="n">
        <v>481</v>
      </c>
      <c r="B483" s="30" t="inlineStr">
        <is>
          <t>B&amp;P-041-HD06-2RST1-ZH</t>
        </is>
      </c>
      <c r="C483" s="38" t="n">
        <v>19</v>
      </c>
      <c r="D483" s="38" t="n">
        <v>0</v>
      </c>
      <c r="E483" s="38" t="n">
        <v>-120</v>
      </c>
      <c r="F483" s="38" t="n">
        <v>72</v>
      </c>
      <c r="G483" s="38" t="n">
        <v>0</v>
      </c>
      <c r="H483" s="38" t="n">
        <v>-13</v>
      </c>
      <c r="I483" s="38" t="n">
        <v>19</v>
      </c>
      <c r="J483" s="38" t="n">
        <v>0</v>
      </c>
      <c r="K483" s="38" t="n">
        <v>-120</v>
      </c>
      <c r="L483" s="38" t="n">
        <v>30</v>
      </c>
      <c r="M483" s="38" t="n">
        <v>0</v>
      </c>
      <c r="N483" s="38" t="n">
        <v>-10</v>
      </c>
      <c r="O483" s="38" t="inlineStr">
        <is>
          <t>C3</t>
        </is>
      </c>
      <c r="P483" s="38" t="n">
        <v>28</v>
      </c>
      <c r="Q483" s="38" t="n">
        <v>13</v>
      </c>
      <c r="R483" s="38" t="inlineStr">
        <is>
          <t>NO</t>
        </is>
      </c>
      <c r="S483" s="38" t="inlineStr">
        <is>
          <t>NO</t>
        </is>
      </c>
      <c r="T483" s="38" t="inlineStr">
        <is>
          <t>NO</t>
        </is>
      </c>
      <c r="U483" s="38" t="n">
        <v>64</v>
      </c>
      <c r="V483" s="38" t="n">
        <v>58</v>
      </c>
      <c r="W483" s="38" t="n">
        <v>64</v>
      </c>
      <c r="X483" s="38" t="n">
        <v>58</v>
      </c>
      <c r="Y483" s="56" t="inlineStr">
        <is>
          <t>25-35%</t>
        </is>
      </c>
      <c r="Z483" s="38" t="inlineStr">
        <is>
          <t>Blue grease</t>
        </is>
      </c>
      <c r="AA483" s="45" t="inlineStr">
        <is>
          <t>Standard</t>
        </is>
      </c>
      <c r="AB483" s="38" t="inlineStr">
        <is>
          <t>Standard</t>
        </is>
      </c>
      <c r="AC483" s="52" t="n">
        <v>45222</v>
      </c>
      <c r="AD483" s="51" t="inlineStr">
        <is>
          <t>C</t>
        </is>
      </c>
    </row>
    <row r="484" ht="12.75" customHeight="1" s="123">
      <c r="A484" s="85" t="n">
        <v>482</v>
      </c>
      <c r="B484" s="30" t="inlineStr">
        <is>
          <t>B&amp;P-040-1307-TN-C3-HLBR</t>
        </is>
      </c>
      <c r="C484" s="38" t="n">
        <v>21</v>
      </c>
      <c r="D484" s="38" t="n">
        <v>0</v>
      </c>
      <c r="E484" s="38" t="n">
        <v>-120</v>
      </c>
      <c r="F484" s="38" t="n">
        <v>80</v>
      </c>
      <c r="G484" s="38" t="n">
        <v>0</v>
      </c>
      <c r="H484" s="38" t="n">
        <v>-13</v>
      </c>
      <c r="I484" s="38" t="n">
        <v>21</v>
      </c>
      <c r="J484" s="38" t="n">
        <v>0</v>
      </c>
      <c r="K484" s="38" t="n">
        <v>-120</v>
      </c>
      <c r="L484" s="38" t="n">
        <v>35</v>
      </c>
      <c r="M484" s="38" t="n">
        <v>0</v>
      </c>
      <c r="N484" s="38" t="n">
        <v>-12</v>
      </c>
      <c r="O484" s="38" t="inlineStr">
        <is>
          <t>C3</t>
        </is>
      </c>
      <c r="P484" s="38" t="n">
        <v>40</v>
      </c>
      <c r="Q484" s="38" t="n">
        <v>23</v>
      </c>
      <c r="R484" s="38" t="inlineStr">
        <is>
          <t>NO</t>
        </is>
      </c>
      <c r="S484" s="38" t="inlineStr">
        <is>
          <t>NO</t>
        </is>
      </c>
      <c r="T484" s="38" t="inlineStr">
        <is>
          <t>NO</t>
        </is>
      </c>
      <c r="U484" s="38" t="n">
        <v>64</v>
      </c>
      <c r="V484" s="38" t="n">
        <v>58</v>
      </c>
      <c r="W484" s="38" t="n">
        <v>64</v>
      </c>
      <c r="X484" s="38" t="n">
        <v>58</v>
      </c>
      <c r="Y484" s="36" t="inlineStr">
        <is>
          <t>NO</t>
        </is>
      </c>
      <c r="Z484" s="38" t="inlineStr">
        <is>
          <t>NO</t>
        </is>
      </c>
      <c r="AA484" s="45" t="inlineStr">
        <is>
          <t>NO</t>
        </is>
      </c>
      <c r="AB484" s="45" t="inlineStr">
        <is>
          <t>NO</t>
        </is>
      </c>
      <c r="AC484" s="44" t="n">
        <v>45348</v>
      </c>
      <c r="AD484" s="57" t="inlineStr">
        <is>
          <t>A</t>
        </is>
      </c>
    </row>
    <row r="485" ht="12.75" customHeight="1" s="123">
      <c r="A485" s="85" t="n">
        <v>483</v>
      </c>
      <c r="B485" s="31" t="inlineStr">
        <is>
          <t>B&amp;P-041-LS04-2RS-ZJFD</t>
        </is>
      </c>
      <c r="C485" s="50" t="n">
        <v>12</v>
      </c>
      <c r="D485" s="50" t="n">
        <v>0</v>
      </c>
      <c r="E485" s="50" t="n">
        <v>-120</v>
      </c>
      <c r="F485" s="50" t="n">
        <v>42</v>
      </c>
      <c r="G485" s="50" t="n">
        <v>0</v>
      </c>
      <c r="H485" s="50" t="n">
        <v>-11</v>
      </c>
      <c r="I485" s="50" t="n">
        <v>12</v>
      </c>
      <c r="J485" s="50" t="n">
        <v>0</v>
      </c>
      <c r="K485" s="50" t="n">
        <v>-120</v>
      </c>
      <c r="L485" s="50" t="n">
        <v>20</v>
      </c>
      <c r="M485" s="50" t="n">
        <v>0</v>
      </c>
      <c r="N485" s="50" t="n">
        <v>-10</v>
      </c>
      <c r="O485" s="50" t="inlineStr">
        <is>
          <t>C3</t>
        </is>
      </c>
      <c r="P485" s="50" t="n">
        <v>28</v>
      </c>
      <c r="Q485" s="50" t="n">
        <v>13</v>
      </c>
      <c r="R485" s="50" t="inlineStr">
        <is>
          <t>NO</t>
        </is>
      </c>
      <c r="S485" s="50" t="inlineStr">
        <is>
          <t>NO</t>
        </is>
      </c>
      <c r="T485" s="50" t="inlineStr">
        <is>
          <t>NO</t>
        </is>
      </c>
      <c r="U485" s="50" t="n">
        <v>65</v>
      </c>
      <c r="V485" s="50" t="n">
        <v>60</v>
      </c>
      <c r="W485" s="50" t="n">
        <v>65</v>
      </c>
      <c r="X485" s="50" t="n">
        <v>60</v>
      </c>
      <c r="Y485" s="50" t="inlineStr">
        <is>
          <t>30-40%</t>
        </is>
      </c>
      <c r="Z485" s="50" t="inlineStr">
        <is>
          <t>standard</t>
        </is>
      </c>
      <c r="AA485" s="56" t="inlineStr">
        <is>
          <t>0.0332Nm</t>
        </is>
      </c>
      <c r="AB485" s="50" t="inlineStr">
        <is>
          <t>0.0155Nm</t>
        </is>
      </c>
      <c r="AC485" s="53" t="n">
        <v>45252</v>
      </c>
      <c r="AD485" s="84" t="inlineStr">
        <is>
          <t>C</t>
        </is>
      </c>
    </row>
    <row r="486" ht="12.75" customHeight="1" s="123">
      <c r="A486" s="85" t="n">
        <v>484</v>
      </c>
      <c r="B486" s="30" t="inlineStr">
        <is>
          <t>B&amp;P-041-LS11-2RS - ZJFD</t>
        </is>
      </c>
      <c r="C486" s="38" t="n">
        <v>18</v>
      </c>
      <c r="D486" s="38" t="n">
        <v>0</v>
      </c>
      <c r="E486" s="38" t="n">
        <v>-150</v>
      </c>
      <c r="F486" s="38" t="n">
        <v>90</v>
      </c>
      <c r="G486" s="38" t="n">
        <v>0</v>
      </c>
      <c r="H486" s="38" t="n">
        <v>-13</v>
      </c>
      <c r="I486" s="38" t="n">
        <v>18</v>
      </c>
      <c r="J486" s="38" t="n">
        <v>0</v>
      </c>
      <c r="K486" s="38" t="n">
        <v>-150</v>
      </c>
      <c r="L486" s="38" t="n">
        <v>55</v>
      </c>
      <c r="M486" s="38" t="n">
        <v>0</v>
      </c>
      <c r="N486" s="38" t="n">
        <v>-12</v>
      </c>
      <c r="O486" s="38" t="inlineStr">
        <is>
          <t>C3</t>
        </is>
      </c>
      <c r="P486" s="38" t="n">
        <v>43</v>
      </c>
      <c r="Q486" s="38" t="n">
        <v>23</v>
      </c>
      <c r="R486" s="38" t="inlineStr">
        <is>
          <t>NO</t>
        </is>
      </c>
      <c r="S486" s="38" t="inlineStr">
        <is>
          <t>NO</t>
        </is>
      </c>
      <c r="T486" s="38" t="inlineStr">
        <is>
          <t>NO</t>
        </is>
      </c>
      <c r="U486" s="38" t="n">
        <v>65</v>
      </c>
      <c r="V486" s="38" t="n">
        <v>60</v>
      </c>
      <c r="W486" s="38" t="n">
        <v>65</v>
      </c>
      <c r="X486" s="38" t="n">
        <v>60</v>
      </c>
      <c r="Y486" s="45" t="inlineStr">
        <is>
          <t>6.0515-4.3225gr</t>
        </is>
      </c>
      <c r="Z486" s="45" t="inlineStr">
        <is>
          <t>HUANGU</t>
        </is>
      </c>
      <c r="AA486" s="45" t="inlineStr">
        <is>
          <t>standard</t>
        </is>
      </c>
      <c r="AB486" s="38" t="inlineStr">
        <is>
          <t>standard</t>
        </is>
      </c>
      <c r="AC486" s="52" t="n">
        <v>45252</v>
      </c>
      <c r="AD486" s="51" t="inlineStr">
        <is>
          <t>B</t>
        </is>
      </c>
    </row>
    <row r="487" ht="12.75" customHeight="1" s="123">
      <c r="A487" s="85" t="n">
        <v>485</v>
      </c>
      <c r="B487" s="30" t="inlineStr">
        <is>
          <t>B&amp;P-041-MS16-2RS - ZJFD</t>
        </is>
      </c>
      <c r="C487" s="38" t="n">
        <v>26</v>
      </c>
      <c r="D487" s="38" t="n">
        <v>0</v>
      </c>
      <c r="E487" s="38" t="n">
        <v>-150</v>
      </c>
      <c r="F487" s="38" t="n">
        <v>140</v>
      </c>
      <c r="G487" s="38" t="n">
        <v>0</v>
      </c>
      <c r="H487" s="38" t="n">
        <v>-15</v>
      </c>
      <c r="I487" s="38" t="n">
        <v>26</v>
      </c>
      <c r="J487" s="38" t="n">
        <v>0</v>
      </c>
      <c r="K487" s="38" t="n">
        <v>-150</v>
      </c>
      <c r="L487" s="38" t="n">
        <v>80</v>
      </c>
      <c r="M487" s="38" t="n">
        <v>0</v>
      </c>
      <c r="N487" s="38" t="n">
        <v>-12</v>
      </c>
      <c r="O487" s="38" t="inlineStr">
        <is>
          <t>C3</t>
        </is>
      </c>
      <c r="P487" s="38" t="n">
        <v>51</v>
      </c>
      <c r="Q487" s="38" t="n">
        <v>25</v>
      </c>
      <c r="R487" s="38" t="inlineStr">
        <is>
          <t>NO</t>
        </is>
      </c>
      <c r="S487" s="38" t="inlineStr">
        <is>
          <t>NO</t>
        </is>
      </c>
      <c r="T487" s="38" t="inlineStr">
        <is>
          <t>NO</t>
        </is>
      </c>
      <c r="U487" s="38" t="n">
        <v>65</v>
      </c>
      <c r="V487" s="38" t="n">
        <v>60</v>
      </c>
      <c r="W487" s="38" t="n">
        <v>65</v>
      </c>
      <c r="X487" s="38" t="n">
        <v>60</v>
      </c>
      <c r="Y487" s="38" t="inlineStr">
        <is>
          <t>16-22.4gr</t>
        </is>
      </c>
      <c r="Z487" s="38" t="inlineStr">
        <is>
          <t>Polyrex</t>
        </is>
      </c>
      <c r="AA487" s="45" t="inlineStr">
        <is>
          <t>standard</t>
        </is>
      </c>
      <c r="AB487" s="38" t="inlineStr">
        <is>
          <t>standard</t>
        </is>
      </c>
      <c r="AC487" s="52" t="n">
        <v>45252</v>
      </c>
      <c r="AD487" s="51" t="inlineStr">
        <is>
          <t>B</t>
        </is>
      </c>
    </row>
    <row r="488" ht="12.75" customHeight="1" s="123">
      <c r="A488" s="85" t="n">
        <v>486</v>
      </c>
      <c r="B488" s="31" t="inlineStr">
        <is>
          <t>B&amp;P-031-DAC-25520037-BBS</t>
        </is>
      </c>
      <c r="C488" s="50" t="n">
        <v>37</v>
      </c>
      <c r="D488" s="50" t="n">
        <v>0</v>
      </c>
      <c r="E488" s="50" t="n">
        <v>-120</v>
      </c>
      <c r="F488" s="50" t="n">
        <v>72</v>
      </c>
      <c r="G488" s="50" t="n">
        <v>0</v>
      </c>
      <c r="H488" s="50" t="n">
        <v>-13</v>
      </c>
      <c r="I488" s="50" t="n">
        <v>37</v>
      </c>
      <c r="J488" s="50" t="n">
        <v>0</v>
      </c>
      <c r="K488" s="50" t="n">
        <v>-120</v>
      </c>
      <c r="L488" s="50" t="n">
        <v>25</v>
      </c>
      <c r="M488" s="50" t="n">
        <v>0</v>
      </c>
      <c r="N488" s="50" t="n">
        <v>-10</v>
      </c>
      <c r="O488" s="50" t="inlineStr">
        <is>
          <t>no</t>
        </is>
      </c>
      <c r="P488" s="50" t="inlineStr">
        <is>
          <t>no</t>
        </is>
      </c>
      <c r="Q488" s="50" t="inlineStr">
        <is>
          <t>no</t>
        </is>
      </c>
      <c r="R488" s="50" t="inlineStr">
        <is>
          <t>AXIAL</t>
        </is>
      </c>
      <c r="S488" s="50" t="n">
        <v>30</v>
      </c>
      <c r="T488" s="50" t="n">
        <v>80</v>
      </c>
      <c r="U488" s="50" t="n">
        <v>64</v>
      </c>
      <c r="V488" s="50" t="n">
        <v>58</v>
      </c>
      <c r="W488" s="50" t="n">
        <v>64</v>
      </c>
      <c r="X488" s="50" t="n">
        <v>58</v>
      </c>
      <c r="Y488" s="50" t="inlineStr">
        <is>
          <t>30-50%</t>
        </is>
      </c>
      <c r="Z488" s="50" t="inlineStr">
        <is>
          <t>MOBIL MOBILUX</t>
        </is>
      </c>
      <c r="AA488" s="56" t="inlineStr">
        <is>
          <t>-</t>
        </is>
      </c>
      <c r="AB488" s="50" t="inlineStr">
        <is>
          <t>-</t>
        </is>
      </c>
      <c r="AC488" s="53" t="n">
        <v>45401</v>
      </c>
      <c r="AD488" s="84" t="inlineStr">
        <is>
          <t>B</t>
        </is>
      </c>
    </row>
    <row r="489" ht="12.75" customHeight="1" s="123">
      <c r="A489" s="85" t="n">
        <v>487</v>
      </c>
      <c r="B489" s="31" t="inlineStr">
        <is>
          <t>B&amp;P-031-DAC-37720037-BBS</t>
        </is>
      </c>
      <c r="C489" s="50" t="n">
        <v>37</v>
      </c>
      <c r="D489" s="50" t="n">
        <v>0</v>
      </c>
      <c r="E489" s="50" t="n">
        <v>-120</v>
      </c>
      <c r="F489" s="50" t="n">
        <v>72</v>
      </c>
      <c r="G489" s="50" t="n">
        <v>0</v>
      </c>
      <c r="H489" s="50" t="n">
        <v>-13</v>
      </c>
      <c r="I489" s="50" t="n">
        <v>37</v>
      </c>
      <c r="J489" s="50" t="n">
        <v>0</v>
      </c>
      <c r="K489" s="50" t="n">
        <v>-120</v>
      </c>
      <c r="L489" s="50" t="n">
        <v>37</v>
      </c>
      <c r="M489" s="50" t="n">
        <v>0</v>
      </c>
      <c r="N489" s="50" t="n">
        <v>-12</v>
      </c>
      <c r="O489" s="50" t="inlineStr">
        <is>
          <t>no</t>
        </is>
      </c>
      <c r="P489" s="50" t="inlineStr">
        <is>
          <t>no</t>
        </is>
      </c>
      <c r="Q489" s="50" t="inlineStr">
        <is>
          <t>no</t>
        </is>
      </c>
      <c r="R489" s="50" t="inlineStr">
        <is>
          <t>AXIAL</t>
        </is>
      </c>
      <c r="S489" s="50" t="n">
        <v>30</v>
      </c>
      <c r="T489" s="50" t="n">
        <v>80</v>
      </c>
      <c r="U489" s="50" t="n">
        <v>64</v>
      </c>
      <c r="V489" s="50" t="n">
        <v>58</v>
      </c>
      <c r="W489" s="50" t="n">
        <v>64</v>
      </c>
      <c r="X489" s="50" t="n">
        <v>58</v>
      </c>
      <c r="Y489" s="50" t="inlineStr">
        <is>
          <t>7-9gr</t>
        </is>
      </c>
      <c r="Z489" s="50" t="inlineStr">
        <is>
          <t>MOBIL MOBILUX</t>
        </is>
      </c>
      <c r="AA489" s="56" t="inlineStr">
        <is>
          <t>-</t>
        </is>
      </c>
      <c r="AB489" s="50" t="inlineStr">
        <is>
          <t>-</t>
        </is>
      </c>
      <c r="AC489" s="53" t="n">
        <v>45401</v>
      </c>
      <c r="AD489" s="84" t="inlineStr">
        <is>
          <t>B</t>
        </is>
      </c>
    </row>
    <row r="490" ht="12.75" customHeight="1" s="123">
      <c r="A490" s="85" t="n">
        <v>488</v>
      </c>
      <c r="B490" s="31" t="inlineStr">
        <is>
          <t>B&amp;P-031-DAC-25520042-BBS</t>
        </is>
      </c>
      <c r="C490" s="50" t="n">
        <v>42</v>
      </c>
      <c r="D490" s="50" t="n">
        <v>0</v>
      </c>
      <c r="E490" s="50" t="n">
        <v>-120</v>
      </c>
      <c r="F490" s="50" t="n">
        <v>52</v>
      </c>
      <c r="G490" s="50" t="n">
        <v>0</v>
      </c>
      <c r="H490" s="50" t="n">
        <v>-13</v>
      </c>
      <c r="I490" s="50" t="n">
        <v>42</v>
      </c>
      <c r="J490" s="50" t="n">
        <v>0</v>
      </c>
      <c r="K490" s="50" t="n">
        <v>-120</v>
      </c>
      <c r="L490" s="50" t="n">
        <v>25</v>
      </c>
      <c r="M490" s="50" t="n">
        <v>0</v>
      </c>
      <c r="N490" s="50" t="n">
        <v>-10</v>
      </c>
      <c r="O490" s="50" t="inlineStr">
        <is>
          <t>no</t>
        </is>
      </c>
      <c r="P490" s="50" t="inlineStr">
        <is>
          <t>no</t>
        </is>
      </c>
      <c r="Q490" s="50" t="inlineStr">
        <is>
          <t>no</t>
        </is>
      </c>
      <c r="R490" s="50" t="inlineStr">
        <is>
          <t>AXIAL</t>
        </is>
      </c>
      <c r="S490" s="50" t="n">
        <v>30</v>
      </c>
      <c r="T490" s="50" t="n">
        <v>80</v>
      </c>
      <c r="U490" s="50" t="n">
        <v>64</v>
      </c>
      <c r="V490" s="50" t="n">
        <v>58</v>
      </c>
      <c r="W490" s="50" t="n">
        <v>64</v>
      </c>
      <c r="X490" s="50" t="n">
        <v>58</v>
      </c>
      <c r="Y490" s="50" t="inlineStr">
        <is>
          <t>30-50%</t>
        </is>
      </c>
      <c r="Z490" s="50" t="inlineStr">
        <is>
          <t>MOBIL MOBILUX</t>
        </is>
      </c>
      <c r="AA490" s="56" t="inlineStr">
        <is>
          <t>-</t>
        </is>
      </c>
      <c r="AB490" s="50" t="inlineStr">
        <is>
          <t>-</t>
        </is>
      </c>
      <c r="AC490" s="53" t="n">
        <v>45390</v>
      </c>
      <c r="AD490" s="84" t="n">
        <v>0</v>
      </c>
    </row>
    <row r="491" ht="12.75" customHeight="1" s="123">
      <c r="A491" s="85" t="n">
        <v>489</v>
      </c>
      <c r="B491" s="31" t="inlineStr">
        <is>
          <t>B&amp;P-031-DAC-30600337-BBS</t>
        </is>
      </c>
      <c r="C491" s="50" t="n">
        <v>37</v>
      </c>
      <c r="D491" s="50" t="n">
        <v>0</v>
      </c>
      <c r="E491" s="50" t="n">
        <v>-120</v>
      </c>
      <c r="F491" s="50" t="n">
        <v>60.03</v>
      </c>
      <c r="G491" s="50" t="n">
        <v>0</v>
      </c>
      <c r="H491" s="50" t="n">
        <v>-13</v>
      </c>
      <c r="I491" s="50" t="n">
        <v>37</v>
      </c>
      <c r="J491" s="50" t="n">
        <v>0</v>
      </c>
      <c r="K491" s="50" t="n">
        <v>-120</v>
      </c>
      <c r="L491" s="50" t="n">
        <v>30</v>
      </c>
      <c r="M491" s="50" t="n">
        <v>0</v>
      </c>
      <c r="N491" s="50" t="n">
        <v>-10</v>
      </c>
      <c r="O491" s="50" t="inlineStr">
        <is>
          <t>no</t>
        </is>
      </c>
      <c r="P491" s="50" t="inlineStr">
        <is>
          <t>no</t>
        </is>
      </c>
      <c r="Q491" s="50" t="inlineStr">
        <is>
          <t>no</t>
        </is>
      </c>
      <c r="R491" s="50" t="inlineStr">
        <is>
          <t>AXIAL</t>
        </is>
      </c>
      <c r="S491" s="50" t="n">
        <v>10</v>
      </c>
      <c r="T491" s="50" t="n">
        <v>30</v>
      </c>
      <c r="U491" s="50" t="n">
        <v>64</v>
      </c>
      <c r="V491" s="50" t="n">
        <v>58</v>
      </c>
      <c r="W491" s="50" t="n">
        <v>64</v>
      </c>
      <c r="X491" s="50" t="n">
        <v>58</v>
      </c>
      <c r="Y491" s="50" t="inlineStr">
        <is>
          <t>4-7gr</t>
        </is>
      </c>
      <c r="Z491" s="50" t="inlineStr">
        <is>
          <t>MOBIL MOBILUX</t>
        </is>
      </c>
      <c r="AA491" s="56" t="inlineStr">
        <is>
          <t>-</t>
        </is>
      </c>
      <c r="AB491" s="50" t="inlineStr">
        <is>
          <t>-</t>
        </is>
      </c>
      <c r="AC491" s="53" t="n">
        <v>45400</v>
      </c>
      <c r="AD491" s="84" t="inlineStr">
        <is>
          <t>A</t>
        </is>
      </c>
    </row>
    <row r="492" ht="12.75" customHeight="1" s="123">
      <c r="A492" s="85" t="n">
        <v>490</v>
      </c>
      <c r="B492" s="31" t="inlineStr">
        <is>
          <t>B&amp;P-031-DAC-34660037-BBS</t>
        </is>
      </c>
      <c r="C492" s="50" t="n">
        <v>37</v>
      </c>
      <c r="D492" s="50" t="n">
        <v>0</v>
      </c>
      <c r="E492" s="50" t="n">
        <v>-120</v>
      </c>
      <c r="F492" s="50" t="n">
        <v>66</v>
      </c>
      <c r="G492" s="50" t="n">
        <v>0</v>
      </c>
      <c r="H492" s="50" t="n">
        <v>-13</v>
      </c>
      <c r="I492" s="50" t="n">
        <v>37</v>
      </c>
      <c r="J492" s="50" t="n">
        <v>0</v>
      </c>
      <c r="K492" s="50" t="n">
        <v>-120</v>
      </c>
      <c r="L492" s="50" t="n">
        <v>34</v>
      </c>
      <c r="M492" s="50" t="n">
        <v>0</v>
      </c>
      <c r="N492" s="50" t="n">
        <v>-12</v>
      </c>
      <c r="O492" s="50" t="inlineStr">
        <is>
          <t>no</t>
        </is>
      </c>
      <c r="P492" s="50" t="inlineStr">
        <is>
          <t>no</t>
        </is>
      </c>
      <c r="Q492" s="50" t="inlineStr">
        <is>
          <t>no</t>
        </is>
      </c>
      <c r="R492" s="50" t="inlineStr">
        <is>
          <t>AXIAL</t>
        </is>
      </c>
      <c r="S492" s="50" t="n">
        <v>30</v>
      </c>
      <c r="T492" s="50" t="n">
        <v>80</v>
      </c>
      <c r="U492" s="50" t="n">
        <v>64</v>
      </c>
      <c r="V492" s="50" t="n">
        <v>58</v>
      </c>
      <c r="W492" s="50" t="n">
        <v>64</v>
      </c>
      <c r="X492" s="50" t="n">
        <v>58</v>
      </c>
      <c r="Y492" s="50" t="inlineStr">
        <is>
          <t>30-50%</t>
        </is>
      </c>
      <c r="Z492" s="50" t="inlineStr">
        <is>
          <t>MOBIL MOBILUX</t>
        </is>
      </c>
      <c r="AA492" s="56" t="inlineStr">
        <is>
          <t>-</t>
        </is>
      </c>
      <c r="AB492" s="50" t="inlineStr">
        <is>
          <t>-</t>
        </is>
      </c>
      <c r="AC492" s="53" t="n">
        <v>45390</v>
      </c>
      <c r="AD492" s="84" t="n">
        <v>0</v>
      </c>
    </row>
    <row r="493" ht="12.75" customHeight="1" s="123">
      <c r="A493" s="85" t="n">
        <v>491</v>
      </c>
      <c r="B493" s="31" t="inlineStr">
        <is>
          <t>B&amp;P-031-DAC-42840039-BBS</t>
        </is>
      </c>
      <c r="C493" s="50" t="n">
        <v>39</v>
      </c>
      <c r="D493" s="50" t="n">
        <v>0</v>
      </c>
      <c r="E493" s="50" t="n">
        <v>-150</v>
      </c>
      <c r="F493" s="50" t="n">
        <v>84</v>
      </c>
      <c r="G493" s="50" t="n">
        <v>0</v>
      </c>
      <c r="H493" s="50" t="n">
        <v>-15</v>
      </c>
      <c r="I493" s="50" t="n">
        <v>39</v>
      </c>
      <c r="J493" s="50" t="n">
        <v>0</v>
      </c>
      <c r="K493" s="50" t="n">
        <v>-150</v>
      </c>
      <c r="L493" s="50" t="n">
        <v>42</v>
      </c>
      <c r="M493" s="50" t="n">
        <v>0</v>
      </c>
      <c r="N493" s="50" t="n">
        <v>-12</v>
      </c>
      <c r="O493" s="50" t="inlineStr">
        <is>
          <t>no</t>
        </is>
      </c>
      <c r="P493" s="50" t="inlineStr">
        <is>
          <t>no</t>
        </is>
      </c>
      <c r="Q493" s="50" t="inlineStr">
        <is>
          <t>no</t>
        </is>
      </c>
      <c r="R493" s="50" t="inlineStr">
        <is>
          <t>AXIAL</t>
        </is>
      </c>
      <c r="S493" s="50" t="n">
        <v>110</v>
      </c>
      <c r="T493" s="50" t="n">
        <v>60</v>
      </c>
      <c r="U493" s="50" t="n">
        <v>64</v>
      </c>
      <c r="V493" s="50" t="n">
        <v>58</v>
      </c>
      <c r="W493" s="50" t="n">
        <v>64</v>
      </c>
      <c r="X493" s="50" t="n">
        <v>58</v>
      </c>
      <c r="Y493" s="50" t="inlineStr">
        <is>
          <t>50-60%</t>
        </is>
      </c>
      <c r="Z493" s="50" t="inlineStr">
        <is>
          <t>MOBIL MOBILUX</t>
        </is>
      </c>
      <c r="AA493" s="56" t="inlineStr">
        <is>
          <t>-</t>
        </is>
      </c>
      <c r="AB493" s="50" t="inlineStr">
        <is>
          <t>-</t>
        </is>
      </c>
      <c r="AC493" s="53" t="n">
        <v>45401</v>
      </c>
      <c r="AD493" s="84" t="inlineStr">
        <is>
          <t>B</t>
        </is>
      </c>
    </row>
    <row r="494" ht="12.75" customHeight="1" s="123">
      <c r="A494" s="85" t="n">
        <v>492</v>
      </c>
      <c r="B494" s="31" t="inlineStr">
        <is>
          <t>B&amp;P-041-HD07-2RS-ZJFD</t>
        </is>
      </c>
      <c r="C494" s="50" t="n">
        <v>21</v>
      </c>
      <c r="D494" s="50" t="n">
        <v>0</v>
      </c>
      <c r="E494" s="50" t="n">
        <v>-120</v>
      </c>
      <c r="F494" s="50" t="n">
        <v>80</v>
      </c>
      <c r="G494" s="50" t="n">
        <v>0</v>
      </c>
      <c r="H494" s="50" t="n">
        <v>-13</v>
      </c>
      <c r="I494" s="50" t="n">
        <v>21</v>
      </c>
      <c r="J494" s="50" t="n">
        <v>0</v>
      </c>
      <c r="K494" s="50" t="n">
        <v>-120</v>
      </c>
      <c r="L494" s="50" t="n">
        <v>35</v>
      </c>
      <c r="M494" s="50" t="n">
        <v>0</v>
      </c>
      <c r="N494" s="50" t="n">
        <v>-12</v>
      </c>
      <c r="O494" s="50" t="inlineStr">
        <is>
          <t>C3</t>
        </is>
      </c>
      <c r="P494" s="50" t="n">
        <v>33</v>
      </c>
      <c r="Q494" s="50" t="n">
        <v>15</v>
      </c>
      <c r="R494" s="50" t="inlineStr">
        <is>
          <t>NO</t>
        </is>
      </c>
      <c r="S494" s="50" t="inlineStr">
        <is>
          <t>NO</t>
        </is>
      </c>
      <c r="T494" s="50" t="inlineStr">
        <is>
          <t>NO</t>
        </is>
      </c>
      <c r="U494" s="50" t="n">
        <v>64</v>
      </c>
      <c r="V494" s="50" t="n">
        <v>58</v>
      </c>
      <c r="W494" s="50" t="n">
        <v>64</v>
      </c>
      <c r="X494" s="50" t="n">
        <v>58</v>
      </c>
      <c r="Y494" s="50" t="inlineStr">
        <is>
          <t>5.03-7.04gr</t>
        </is>
      </c>
      <c r="Z494" s="50" t="inlineStr">
        <is>
          <t>Grease</t>
        </is>
      </c>
      <c r="AA494" s="56" t="inlineStr">
        <is>
          <t>standard</t>
        </is>
      </c>
      <c r="AB494" s="50" t="inlineStr">
        <is>
          <t>standard</t>
        </is>
      </c>
      <c r="AC494" s="53" t="n">
        <v>45372</v>
      </c>
      <c r="AD494" s="84" t="inlineStr">
        <is>
          <t>D</t>
        </is>
      </c>
    </row>
    <row r="495" ht="12.75" customHeight="1" s="123">
      <c r="A495" s="85" t="n">
        <v>493</v>
      </c>
      <c r="B495" s="31" t="inlineStr">
        <is>
          <t>B&amp;P-041-MS06-2RS-ZJFD</t>
        </is>
      </c>
      <c r="C495" s="50" t="n">
        <v>16</v>
      </c>
      <c r="D495" s="50" t="n">
        <v>0</v>
      </c>
      <c r="E495" s="50" t="n">
        <v>-120</v>
      </c>
      <c r="F495" s="50" t="n">
        <v>62</v>
      </c>
      <c r="G495" s="50" t="n">
        <v>0</v>
      </c>
      <c r="H495" s="50" t="n">
        <v>-13</v>
      </c>
      <c r="I495" s="50" t="n">
        <v>16</v>
      </c>
      <c r="J495" s="50" t="n">
        <v>0</v>
      </c>
      <c r="K495" s="50" t="n">
        <v>-120</v>
      </c>
      <c r="L495" s="50" t="n">
        <v>30</v>
      </c>
      <c r="M495" s="50" t="n">
        <v>0</v>
      </c>
      <c r="N495" s="50" t="n">
        <v>-10</v>
      </c>
      <c r="O495" s="50" t="inlineStr">
        <is>
          <t>C3</t>
        </is>
      </c>
      <c r="P495" s="50" t="n">
        <v>13</v>
      </c>
      <c r="Q495" s="50" t="n">
        <v>28</v>
      </c>
      <c r="R495" s="50" t="inlineStr">
        <is>
          <t>NO</t>
        </is>
      </c>
      <c r="S495" s="50" t="inlineStr">
        <is>
          <t>NO</t>
        </is>
      </c>
      <c r="T495" s="50" t="inlineStr">
        <is>
          <t>NO</t>
        </is>
      </c>
      <c r="U495" s="50" t="n">
        <v>65</v>
      </c>
      <c r="V495" s="50" t="n">
        <v>60</v>
      </c>
      <c r="W495" s="50" t="n">
        <v>65</v>
      </c>
      <c r="X495" s="50" t="n">
        <v>60</v>
      </c>
      <c r="Y495" s="56" t="inlineStr">
        <is>
          <t>2.75-2.83gr</t>
        </is>
      </c>
      <c r="Z495" s="56" t="inlineStr">
        <is>
          <t>Polyrex</t>
        </is>
      </c>
      <c r="AA495" s="56" t="inlineStr">
        <is>
          <t>standard</t>
        </is>
      </c>
      <c r="AB495" s="56" t="inlineStr">
        <is>
          <t>standard</t>
        </is>
      </c>
      <c r="AC495" s="53" t="n">
        <v>45252</v>
      </c>
      <c r="AD495" s="76" t="inlineStr">
        <is>
          <t>D</t>
        </is>
      </c>
    </row>
    <row r="496" ht="12.75" customHeight="1" s="123">
      <c r="A496" s="85" t="n">
        <v>494</v>
      </c>
      <c r="B496" s="30" t="inlineStr">
        <is>
          <t>B&amp;P-041-HD09-2RS - ZJYH</t>
        </is>
      </c>
      <c r="C496" s="38" t="n">
        <v>25</v>
      </c>
      <c r="D496" s="38" t="n">
        <v>0</v>
      </c>
      <c r="E496" s="38" t="n">
        <v>-120</v>
      </c>
      <c r="F496" s="38" t="n">
        <v>100</v>
      </c>
      <c r="G496" s="38" t="n">
        <v>0</v>
      </c>
      <c r="H496" s="38" t="n">
        <v>-15</v>
      </c>
      <c r="I496" s="38" t="n">
        <v>25</v>
      </c>
      <c r="J496" s="38" t="n">
        <v>0</v>
      </c>
      <c r="K496" s="38" t="n">
        <v>-120</v>
      </c>
      <c r="L496" s="38" t="n">
        <v>45</v>
      </c>
      <c r="M496" s="38" t="n">
        <v>0</v>
      </c>
      <c r="N496" s="38" t="n">
        <v>-12</v>
      </c>
      <c r="O496" s="38" t="inlineStr">
        <is>
          <t>C3</t>
        </is>
      </c>
      <c r="P496" s="38" t="n">
        <v>36</v>
      </c>
      <c r="Q496" s="38" t="n">
        <v>18</v>
      </c>
      <c r="R496" s="38" t="inlineStr">
        <is>
          <t>NO</t>
        </is>
      </c>
      <c r="S496" s="38" t="inlineStr">
        <is>
          <t>NO</t>
        </is>
      </c>
      <c r="T496" s="38" t="inlineStr">
        <is>
          <t>NO</t>
        </is>
      </c>
      <c r="U496" s="38" t="n">
        <v>64</v>
      </c>
      <c r="V496" s="38" t="n">
        <v>58</v>
      </c>
      <c r="W496" s="38" t="n">
        <v>64</v>
      </c>
      <c r="X496" s="38" t="n">
        <v>58</v>
      </c>
      <c r="Y496" s="38" t="inlineStr">
        <is>
          <t>9.34-13.076gr</t>
        </is>
      </c>
      <c r="Z496" s="38" t="inlineStr">
        <is>
          <t>Polyrex</t>
        </is>
      </c>
      <c r="AA496" s="45" t="inlineStr">
        <is>
          <t>standard</t>
        </is>
      </c>
      <c r="AB496" s="38" t="inlineStr">
        <is>
          <t>standard</t>
        </is>
      </c>
      <c r="AC496" s="52" t="n">
        <v>45236</v>
      </c>
      <c r="AD496" s="51" t="n">
        <v>0</v>
      </c>
    </row>
    <row r="497" ht="12.75" customHeight="1" s="123">
      <c r="A497" s="85" t="n">
        <v>495</v>
      </c>
      <c r="B497" s="31" t="inlineStr">
        <is>
          <t>B&amp;-041-TS06-2RS-ZJYH</t>
        </is>
      </c>
      <c r="C497" s="50" t="n">
        <v>9</v>
      </c>
      <c r="D497" s="50" t="n">
        <v>0</v>
      </c>
      <c r="E497" s="50" t="n">
        <v>-120</v>
      </c>
      <c r="F497" s="50" t="n">
        <v>47</v>
      </c>
      <c r="G497" s="50" t="n">
        <v>0</v>
      </c>
      <c r="H497" s="50" t="n">
        <v>-11</v>
      </c>
      <c r="I497" s="50" t="n">
        <v>9</v>
      </c>
      <c r="J497" s="50" t="n">
        <v>0</v>
      </c>
      <c r="K497" s="50" t="n">
        <v>-120</v>
      </c>
      <c r="L497" s="50" t="n">
        <v>30</v>
      </c>
      <c r="M497" s="50" t="n">
        <v>0</v>
      </c>
      <c r="N497" s="50" t="n">
        <v>-10</v>
      </c>
      <c r="O497" s="50" t="inlineStr">
        <is>
          <t>C3</t>
        </is>
      </c>
      <c r="P497" s="50" t="n">
        <v>28</v>
      </c>
      <c r="Q497" s="50" t="n">
        <v>13</v>
      </c>
      <c r="R497" s="50" t="inlineStr">
        <is>
          <t>NO</t>
        </is>
      </c>
      <c r="S497" s="50" t="inlineStr">
        <is>
          <t>NO</t>
        </is>
      </c>
      <c r="T497" s="50" t="inlineStr">
        <is>
          <t>NO</t>
        </is>
      </c>
      <c r="U497" s="50" t="n">
        <v>64</v>
      </c>
      <c r="V497" s="50" t="n">
        <v>58</v>
      </c>
      <c r="W497" s="50" t="n">
        <v>64</v>
      </c>
      <c r="X497" s="50" t="n">
        <v>58</v>
      </c>
      <c r="Y497" s="50" t="inlineStr">
        <is>
          <t>1,54-1,76</t>
        </is>
      </c>
      <c r="Z497" s="50" t="inlineStr">
        <is>
          <t>Polyrex</t>
        </is>
      </c>
      <c r="AA497" s="50" t="inlineStr">
        <is>
          <t>0.040Nm</t>
        </is>
      </c>
      <c r="AB497" s="50" t="inlineStr">
        <is>
          <t>0.014Nm</t>
        </is>
      </c>
      <c r="AC497" s="66" t="n">
        <v>45236</v>
      </c>
      <c r="AD497" s="76" t="n">
        <v>0</v>
      </c>
    </row>
    <row r="498" ht="12.75" customHeight="1" s="123">
      <c r="A498" s="85" t="n">
        <v>496</v>
      </c>
      <c r="B498" s="31" t="inlineStr">
        <is>
          <t>B&amp;P-041-TS04-2RS-ZJYH</t>
        </is>
      </c>
      <c r="C498" s="50" t="n">
        <v>9</v>
      </c>
      <c r="D498" s="50" t="n">
        <v>0</v>
      </c>
      <c r="E498" s="50" t="n">
        <v>-120</v>
      </c>
      <c r="F498" s="50" t="n">
        <v>37</v>
      </c>
      <c r="G498" s="50" t="n">
        <v>0</v>
      </c>
      <c r="H498" s="50" t="n">
        <v>-9</v>
      </c>
      <c r="I498" s="50" t="n">
        <v>9</v>
      </c>
      <c r="J498" s="50" t="n">
        <v>0</v>
      </c>
      <c r="K498" s="50" t="n">
        <v>-120</v>
      </c>
      <c r="L498" s="50" t="n">
        <v>20</v>
      </c>
      <c r="M498" s="50" t="n">
        <v>0</v>
      </c>
      <c r="N498" s="50" t="n">
        <v>-8</v>
      </c>
      <c r="O498" s="50" t="inlineStr">
        <is>
          <t>C3</t>
        </is>
      </c>
      <c r="P498" s="50" t="n">
        <v>28</v>
      </c>
      <c r="Q498" s="50" t="n">
        <v>13</v>
      </c>
      <c r="R498" s="50" t="inlineStr">
        <is>
          <t>NO</t>
        </is>
      </c>
      <c r="S498" s="50" t="inlineStr">
        <is>
          <t>NO</t>
        </is>
      </c>
      <c r="T498" s="50" t="inlineStr">
        <is>
          <t>NO</t>
        </is>
      </c>
      <c r="U498" s="50" t="n">
        <v>64</v>
      </c>
      <c r="V498" s="50" t="n">
        <v>58</v>
      </c>
      <c r="W498" s="50" t="n">
        <v>64</v>
      </c>
      <c r="X498" s="50" t="n">
        <v>58</v>
      </c>
      <c r="Y498" s="50" t="inlineStr">
        <is>
          <t>0.38-0.53gr</t>
        </is>
      </c>
      <c r="Z498" s="50" t="inlineStr">
        <is>
          <t>Polyrex</t>
        </is>
      </c>
      <c r="AA498" s="56" t="inlineStr">
        <is>
          <t>0.027Nm</t>
        </is>
      </c>
      <c r="AB498" s="50" t="inlineStr">
        <is>
          <t>0.016Nm</t>
        </is>
      </c>
      <c r="AC498" s="53" t="n">
        <v>44783</v>
      </c>
      <c r="AD498" s="84" t="inlineStr">
        <is>
          <t>C</t>
        </is>
      </c>
    </row>
    <row r="499" ht="12.75" customHeight="1" s="123">
      <c r="A499" s="85" t="n">
        <v>497</v>
      </c>
      <c r="B499" s="31" t="inlineStr">
        <is>
          <t>B&amp;P-041-LS28-2RS-ZJYH</t>
        </is>
      </c>
      <c r="C499" s="38" t="n">
        <v>33</v>
      </c>
      <c r="D499" s="38" t="n">
        <v>0</v>
      </c>
      <c r="E499" s="38" t="n">
        <v>-250</v>
      </c>
      <c r="F499" s="38" t="n">
        <v>210</v>
      </c>
      <c r="G499" s="38" t="n">
        <v>0</v>
      </c>
      <c r="H499" s="38" t="n">
        <v>-30</v>
      </c>
      <c r="I499" s="38" t="n">
        <v>33</v>
      </c>
      <c r="J499" s="38" t="n">
        <v>0</v>
      </c>
      <c r="K499" s="38" t="n">
        <v>-250</v>
      </c>
      <c r="L499" s="38" t="n">
        <v>140</v>
      </c>
      <c r="M499" s="38" t="n">
        <v>0</v>
      </c>
      <c r="N499" s="38" t="n">
        <v>-25</v>
      </c>
      <c r="O499" s="38" t="inlineStr">
        <is>
          <t>C3</t>
        </is>
      </c>
      <c r="P499" s="38" t="n">
        <v>81</v>
      </c>
      <c r="Q499" s="38" t="n">
        <v>41</v>
      </c>
      <c r="R499" s="38" t="inlineStr">
        <is>
          <t>NO</t>
        </is>
      </c>
      <c r="S499" s="38" t="inlineStr">
        <is>
          <t>NO</t>
        </is>
      </c>
      <c r="T499" s="38" t="inlineStr">
        <is>
          <t>NO</t>
        </is>
      </c>
      <c r="U499" s="38" t="n">
        <v>64</v>
      </c>
      <c r="V499" s="38" t="n">
        <v>58</v>
      </c>
      <c r="W499" s="38" t="n">
        <v>64</v>
      </c>
      <c r="X499" s="38" t="n">
        <v>58</v>
      </c>
      <c r="Y499" s="36" t="inlineStr">
        <is>
          <t>25%-35%</t>
        </is>
      </c>
      <c r="Z499" s="38" t="inlineStr">
        <is>
          <t>Polyrex</t>
        </is>
      </c>
      <c r="AA499" s="45" t="inlineStr">
        <is>
          <t>standard</t>
        </is>
      </c>
      <c r="AB499" s="38" t="inlineStr">
        <is>
          <t>standard</t>
        </is>
      </c>
      <c r="AC499" s="44" t="n">
        <v>45236</v>
      </c>
      <c r="AD499" s="57" t="n">
        <v>0</v>
      </c>
    </row>
    <row r="500" ht="12.75" customHeight="1" s="123">
      <c r="A500" s="85" t="n">
        <v>498</v>
      </c>
      <c r="B500" s="31" t="inlineStr">
        <is>
          <t>B&amp;P-041-6802-2RS-ZJYH</t>
        </is>
      </c>
      <c r="C500" s="50" t="n">
        <v>5</v>
      </c>
      <c r="D500" s="50" t="n">
        <v>0</v>
      </c>
      <c r="E500" s="50" t="n">
        <v>-120</v>
      </c>
      <c r="F500" s="50" t="n">
        <v>24</v>
      </c>
      <c r="G500" s="50" t="n">
        <v>0</v>
      </c>
      <c r="H500" s="50" t="n">
        <v>-9</v>
      </c>
      <c r="I500" s="50" t="n">
        <v>5</v>
      </c>
      <c r="J500" s="50" t="n">
        <v>0</v>
      </c>
      <c r="K500" s="50" t="n">
        <v>-120</v>
      </c>
      <c r="L500" s="50" t="n">
        <v>15</v>
      </c>
      <c r="M500" s="50" t="n">
        <v>0</v>
      </c>
      <c r="N500" s="50" t="n">
        <v>-8</v>
      </c>
      <c r="O500" s="50" t="inlineStr">
        <is>
          <t>C3</t>
        </is>
      </c>
      <c r="P500" s="50" t="n">
        <v>25</v>
      </c>
      <c r="Q500" s="50" t="n">
        <v>11</v>
      </c>
      <c r="R500" s="50" t="inlineStr">
        <is>
          <t>NO</t>
        </is>
      </c>
      <c r="S500" s="50" t="inlineStr">
        <is>
          <t>NO</t>
        </is>
      </c>
      <c r="T500" s="50" t="inlineStr">
        <is>
          <t>NO</t>
        </is>
      </c>
      <c r="U500" s="50" t="n">
        <v>64</v>
      </c>
      <c r="V500" s="50" t="n">
        <v>58</v>
      </c>
      <c r="W500" s="50" t="n">
        <v>64</v>
      </c>
      <c r="X500" s="50" t="n">
        <v>58</v>
      </c>
      <c r="Y500" s="36" t="inlineStr">
        <is>
          <t>25%-35%</t>
        </is>
      </c>
      <c r="Z500" s="50" t="inlineStr">
        <is>
          <t>Polyrex</t>
        </is>
      </c>
      <c r="AA500" s="56" t="inlineStr">
        <is>
          <t>standard</t>
        </is>
      </c>
      <c r="AB500" s="50" t="inlineStr">
        <is>
          <t>standard</t>
        </is>
      </c>
      <c r="AC500" s="44" t="n">
        <v>45236</v>
      </c>
      <c r="AD500" s="57" t="n">
        <v>0</v>
      </c>
    </row>
    <row r="501" ht="12.75" customHeight="1" s="123">
      <c r="A501" s="85" t="n">
        <v>499</v>
      </c>
      <c r="B501" s="30" t="inlineStr">
        <is>
          <t>B&amp;P-040-7207-B-TN - HLBR</t>
        </is>
      </c>
      <c r="C501" s="38" t="n">
        <v>17</v>
      </c>
      <c r="D501" s="38" t="n">
        <v>0</v>
      </c>
      <c r="E501" s="38" t="n">
        <v>-120</v>
      </c>
      <c r="F501" s="38" t="n">
        <v>72</v>
      </c>
      <c r="G501" s="38" t="n">
        <v>0</v>
      </c>
      <c r="H501" s="38" t="n">
        <v>-13</v>
      </c>
      <c r="I501" s="38" t="n">
        <v>17</v>
      </c>
      <c r="J501" s="38" t="n">
        <v>0</v>
      </c>
      <c r="K501" s="38" t="n">
        <v>-300</v>
      </c>
      <c r="L501" s="38" t="n">
        <v>35</v>
      </c>
      <c r="M501" s="38" t="n">
        <v>0</v>
      </c>
      <c r="N501" s="38" t="n">
        <v>-12</v>
      </c>
      <c r="O501" s="38" t="inlineStr">
        <is>
          <t>NO</t>
        </is>
      </c>
      <c r="P501" s="38" t="inlineStr">
        <is>
          <t>NO</t>
        </is>
      </c>
      <c r="Q501" s="38" t="inlineStr">
        <is>
          <t>NO</t>
        </is>
      </c>
      <c r="R501" s="38" t="inlineStr">
        <is>
          <t>AXIal</t>
        </is>
      </c>
      <c r="S501" s="38" t="n">
        <v>26</v>
      </c>
      <c r="T501" s="38" t="n">
        <v>12</v>
      </c>
      <c r="U501" s="38" t="n">
        <v>65</v>
      </c>
      <c r="V501" s="38" t="n">
        <v>60</v>
      </c>
      <c r="W501" s="38" t="n">
        <v>65</v>
      </c>
      <c r="X501" s="38" t="n">
        <v>60</v>
      </c>
      <c r="Y501" s="38" t="inlineStr">
        <is>
          <t>NO</t>
        </is>
      </c>
      <c r="Z501" s="38" t="inlineStr">
        <is>
          <t>NO</t>
        </is>
      </c>
      <c r="AA501" s="45" t="inlineStr">
        <is>
          <t>NO</t>
        </is>
      </c>
      <c r="AB501" s="38" t="inlineStr">
        <is>
          <t>NO</t>
        </is>
      </c>
      <c r="AC501" s="52" t="n">
        <v>45415</v>
      </c>
      <c r="AD501" s="51" t="inlineStr">
        <is>
          <t>C</t>
        </is>
      </c>
    </row>
    <row r="502" ht="12.75" customHeight="1" s="123">
      <c r="A502" s="85" t="n">
        <v>500</v>
      </c>
      <c r="B502" s="30" t="inlineStr">
        <is>
          <t>B&amp;P-040-7209-B-TN - HLBR</t>
        </is>
      </c>
      <c r="C502" s="38" t="n">
        <v>19</v>
      </c>
      <c r="D502" s="38" t="n">
        <v>0</v>
      </c>
      <c r="E502" s="38" t="n">
        <v>-120</v>
      </c>
      <c r="F502" s="38" t="n">
        <v>85</v>
      </c>
      <c r="G502" s="38" t="n">
        <v>0</v>
      </c>
      <c r="H502" s="38" t="n">
        <v>-15</v>
      </c>
      <c r="I502" s="38" t="n">
        <v>19</v>
      </c>
      <c r="J502" s="38" t="n">
        <v>0</v>
      </c>
      <c r="K502" s="38" t="n">
        <v>-300</v>
      </c>
      <c r="L502" s="38" t="n">
        <v>45</v>
      </c>
      <c r="M502" s="38" t="n">
        <v>0</v>
      </c>
      <c r="N502" s="38" t="n">
        <v>-12</v>
      </c>
      <c r="O502" s="38" t="inlineStr">
        <is>
          <t>NO</t>
        </is>
      </c>
      <c r="P502" s="38" t="inlineStr">
        <is>
          <t>NO</t>
        </is>
      </c>
      <c r="Q502" s="38" t="inlineStr">
        <is>
          <t>NO</t>
        </is>
      </c>
      <c r="R502" s="38" t="inlineStr">
        <is>
          <t>AXIAL</t>
        </is>
      </c>
      <c r="S502" s="38" t="n">
        <v>26</v>
      </c>
      <c r="T502" s="38" t="n">
        <v>12</v>
      </c>
      <c r="U502" s="38" t="n">
        <v>65</v>
      </c>
      <c r="V502" s="38" t="n">
        <v>60</v>
      </c>
      <c r="W502" s="38" t="n">
        <v>65</v>
      </c>
      <c r="X502" s="38" t="n">
        <v>60</v>
      </c>
      <c r="Y502" s="38" t="inlineStr">
        <is>
          <t>NO</t>
        </is>
      </c>
      <c r="Z502" s="38" t="inlineStr">
        <is>
          <t>NO</t>
        </is>
      </c>
      <c r="AA502" s="45" t="inlineStr">
        <is>
          <t>NO</t>
        </is>
      </c>
      <c r="AB502" s="38" t="inlineStr">
        <is>
          <t>NO</t>
        </is>
      </c>
      <c r="AC502" s="52" t="n">
        <v>45415</v>
      </c>
      <c r="AD502" s="51" t="inlineStr">
        <is>
          <t>C</t>
        </is>
      </c>
    </row>
    <row r="503" ht="12.75" customHeight="1" s="123">
      <c r="A503" s="85" t="n">
        <v>501</v>
      </c>
      <c r="B503" s="31" t="inlineStr">
        <is>
          <t>B&amp;P-041-MS08-2RSTX-ZJYH</t>
        </is>
      </c>
      <c r="C503" s="50" t="n">
        <v>18</v>
      </c>
      <c r="D503" s="50" t="n">
        <v>0</v>
      </c>
      <c r="E503" s="50" t="n">
        <v>-120</v>
      </c>
      <c r="F503" s="50" t="n">
        <v>80</v>
      </c>
      <c r="G503" s="50" t="n">
        <v>0</v>
      </c>
      <c r="H503" s="50" t="n">
        <v>-13</v>
      </c>
      <c r="I503" s="50" t="n">
        <v>18</v>
      </c>
      <c r="J503" s="50" t="n">
        <v>0</v>
      </c>
      <c r="K503" s="50" t="n">
        <v>-120</v>
      </c>
      <c r="L503" s="50" t="n">
        <v>40</v>
      </c>
      <c r="M503" s="50" t="n">
        <v>0</v>
      </c>
      <c r="N503" s="50" t="n">
        <v>-10</v>
      </c>
      <c r="O503" s="50" t="inlineStr">
        <is>
          <t>C3</t>
        </is>
      </c>
      <c r="P503" s="50" t="n">
        <v>33</v>
      </c>
      <c r="Q503" s="50" t="n">
        <v>15</v>
      </c>
      <c r="R503" s="50" t="inlineStr">
        <is>
          <t>NO</t>
        </is>
      </c>
      <c r="S503" s="50" t="inlineStr">
        <is>
          <t>NO</t>
        </is>
      </c>
      <c r="T503" s="50" t="inlineStr">
        <is>
          <t>NO</t>
        </is>
      </c>
      <c r="U503" s="50" t="n">
        <v>64</v>
      </c>
      <c r="V503" s="50" t="n">
        <v>58</v>
      </c>
      <c r="W503" s="50" t="n">
        <v>64</v>
      </c>
      <c r="X503" s="50" t="n">
        <v>58</v>
      </c>
      <c r="Y503" s="50" t="inlineStr">
        <is>
          <t>11.27-12.88gr</t>
        </is>
      </c>
      <c r="Z503" s="50" t="inlineStr">
        <is>
          <t>polyrex</t>
        </is>
      </c>
      <c r="AA503" s="56" t="inlineStr">
        <is>
          <t>standard</t>
        </is>
      </c>
      <c r="AB503" s="50" t="inlineStr">
        <is>
          <t>standard</t>
        </is>
      </c>
      <c r="AC503" s="52" t="n">
        <v>45223</v>
      </c>
      <c r="AD503" s="51" t="n">
        <v>0</v>
      </c>
    </row>
    <row r="504" ht="12.75" customHeight="1" s="123">
      <c r="A504" s="85" t="n">
        <v>502</v>
      </c>
      <c r="B504" s="30" t="inlineStr">
        <is>
          <t>B&amp;P-041-HD10-2RS - ZJFD</t>
        </is>
      </c>
      <c r="C504" s="38" t="n">
        <v>27</v>
      </c>
      <c r="D504" s="38" t="n">
        <v>0</v>
      </c>
      <c r="E504" s="38" t="n">
        <v>-120</v>
      </c>
      <c r="F504" s="38" t="n">
        <v>110</v>
      </c>
      <c r="G504" s="38" t="n">
        <v>0</v>
      </c>
      <c r="H504" s="38" t="n">
        <v>-13</v>
      </c>
      <c r="I504" s="38" t="n">
        <v>27</v>
      </c>
      <c r="J504" s="38" t="n">
        <v>0</v>
      </c>
      <c r="K504" s="38" t="n">
        <v>-120</v>
      </c>
      <c r="L504" s="38" t="n">
        <v>50</v>
      </c>
      <c r="M504" s="38" t="n">
        <v>0</v>
      </c>
      <c r="N504" s="38" t="n">
        <v>-12</v>
      </c>
      <c r="O504" s="38" t="inlineStr">
        <is>
          <t>C3</t>
        </is>
      </c>
      <c r="P504" s="38" t="n">
        <v>36</v>
      </c>
      <c r="Q504" s="38" t="n">
        <v>18</v>
      </c>
      <c r="R504" s="38" t="inlineStr">
        <is>
          <t>NO</t>
        </is>
      </c>
      <c r="S504" s="38" t="inlineStr">
        <is>
          <t>NO</t>
        </is>
      </c>
      <c r="T504" s="38" t="inlineStr">
        <is>
          <t>NO</t>
        </is>
      </c>
      <c r="U504" s="38" t="n">
        <v>64</v>
      </c>
      <c r="V504" s="38" t="n">
        <v>58</v>
      </c>
      <c r="W504" s="38" t="n">
        <v>64</v>
      </c>
      <c r="X504" s="38" t="n">
        <v>58</v>
      </c>
      <c r="Y504" s="38" t="inlineStr">
        <is>
          <t>25-35%</t>
        </is>
      </c>
      <c r="Z504" s="38" t="inlineStr">
        <is>
          <t>Polyrex</t>
        </is>
      </c>
      <c r="AA504" s="45" t="inlineStr">
        <is>
          <t>0.186Nm</t>
        </is>
      </c>
      <c r="AB504" s="38" t="inlineStr">
        <is>
          <t>0.124Nm</t>
        </is>
      </c>
      <c r="AC504" s="52" t="n">
        <v>45378</v>
      </c>
      <c r="AD504" s="51" t="inlineStr">
        <is>
          <t>C</t>
        </is>
      </c>
    </row>
    <row r="505" ht="12.75" customHeight="1" s="123">
      <c r="A505" s="85" t="n">
        <v>503</v>
      </c>
      <c r="B505" s="31" t="inlineStr">
        <is>
          <t>B&amp;P-041-HD05-2RS-ZJFD</t>
        </is>
      </c>
      <c r="C505" s="50" t="n">
        <v>17</v>
      </c>
      <c r="D505" s="50" t="n">
        <v>0</v>
      </c>
      <c r="E505" s="50" t="n">
        <v>-120</v>
      </c>
      <c r="F505" s="50" t="n">
        <v>62</v>
      </c>
      <c r="G505" s="50" t="n">
        <v>0</v>
      </c>
      <c r="H505" s="50" t="n">
        <v>-13</v>
      </c>
      <c r="I505" s="50" t="n">
        <v>17</v>
      </c>
      <c r="J505" s="50" t="n">
        <v>0</v>
      </c>
      <c r="K505" s="50" t="n">
        <v>-120</v>
      </c>
      <c r="L505" s="50" t="n">
        <v>25</v>
      </c>
      <c r="M505" s="50" t="n">
        <v>0</v>
      </c>
      <c r="N505" s="50" t="n">
        <v>-10</v>
      </c>
      <c r="O505" s="50" t="inlineStr">
        <is>
          <t>C3</t>
        </is>
      </c>
      <c r="P505" s="50" t="n">
        <v>28</v>
      </c>
      <c r="Q505" s="50" t="n">
        <v>13</v>
      </c>
      <c r="R505" s="50" t="inlineStr">
        <is>
          <t>NO</t>
        </is>
      </c>
      <c r="S505" s="50" t="inlineStr">
        <is>
          <t>NO</t>
        </is>
      </c>
      <c r="T505" s="50" t="inlineStr">
        <is>
          <t>NO</t>
        </is>
      </c>
      <c r="U505" s="50" t="n">
        <v>64</v>
      </c>
      <c r="V505" s="50" t="n">
        <v>58</v>
      </c>
      <c r="W505" s="50" t="n">
        <v>64</v>
      </c>
      <c r="X505" s="50" t="n">
        <v>58</v>
      </c>
      <c r="Y505" s="50" t="inlineStr">
        <is>
          <t>2.667 - 3.7345 gr</t>
        </is>
      </c>
      <c r="Z505" s="50" t="inlineStr">
        <is>
          <t>GREASE</t>
        </is>
      </c>
      <c r="AA505" s="56" t="inlineStr">
        <is>
          <t>STANDARD</t>
        </is>
      </c>
      <c r="AB505" s="50" t="inlineStr">
        <is>
          <t>STANDARD</t>
        </is>
      </c>
      <c r="AC505" s="53" t="n">
        <v>45378</v>
      </c>
      <c r="AD505" s="84" t="inlineStr">
        <is>
          <t>E</t>
        </is>
      </c>
    </row>
    <row r="506" ht="12.75" customHeight="1" s="123">
      <c r="A506" s="85" t="n">
        <v>504</v>
      </c>
      <c r="B506" s="31" t="inlineStr">
        <is>
          <t>B&amp;P-041-HD06-2RS-ZJFD</t>
        </is>
      </c>
      <c r="C506" s="50" t="n">
        <v>19</v>
      </c>
      <c r="D506" s="50" t="n">
        <v>0</v>
      </c>
      <c r="E506" s="50" t="n">
        <v>-120</v>
      </c>
      <c r="F506" s="50" t="n">
        <v>72</v>
      </c>
      <c r="G506" s="50" t="n">
        <v>0</v>
      </c>
      <c r="H506" s="50" t="n">
        <v>-13</v>
      </c>
      <c r="I506" s="50" t="n">
        <v>19</v>
      </c>
      <c r="J506" s="50" t="n">
        <v>0</v>
      </c>
      <c r="K506" s="50" t="n">
        <v>-120</v>
      </c>
      <c r="L506" s="50" t="n">
        <v>30</v>
      </c>
      <c r="M506" s="50" t="n">
        <v>0</v>
      </c>
      <c r="N506" s="50" t="n">
        <v>-10</v>
      </c>
      <c r="O506" s="50" t="inlineStr">
        <is>
          <t>C3</t>
        </is>
      </c>
      <c r="P506" s="50" t="n">
        <v>28</v>
      </c>
      <c r="Q506" s="50" t="n">
        <v>13</v>
      </c>
      <c r="R506" s="50" t="inlineStr">
        <is>
          <t>NO</t>
        </is>
      </c>
      <c r="S506" s="50" t="inlineStr">
        <is>
          <t>NO</t>
        </is>
      </c>
      <c r="T506" s="50" t="inlineStr">
        <is>
          <t>NO</t>
        </is>
      </c>
      <c r="U506" s="50" t="n">
        <v>64</v>
      </c>
      <c r="V506" s="50" t="n">
        <v>58</v>
      </c>
      <c r="W506" s="50" t="n">
        <v>64</v>
      </c>
      <c r="X506" s="50" t="n">
        <v>58</v>
      </c>
      <c r="Y506" s="50" t="inlineStr">
        <is>
          <t>3.525-4.935gr</t>
        </is>
      </c>
      <c r="Z506" s="50" t="inlineStr">
        <is>
          <t>Grease</t>
        </is>
      </c>
      <c r="AA506" s="56" t="inlineStr">
        <is>
          <t>standard</t>
        </is>
      </c>
      <c r="AB506" s="50" t="inlineStr">
        <is>
          <t>standard</t>
        </is>
      </c>
      <c r="AC506" s="53" t="n">
        <v>45378</v>
      </c>
      <c r="AD506" s="84" t="inlineStr">
        <is>
          <t>C</t>
        </is>
      </c>
    </row>
    <row r="507" ht="12.75" customHeight="1" s="123">
      <c r="A507" s="85" t="n">
        <v>505</v>
      </c>
      <c r="B507" s="31" t="inlineStr">
        <is>
          <t>B&amp;P-041-HD04-2RS-ZJFD</t>
        </is>
      </c>
      <c r="C507" s="50" t="n">
        <v>15</v>
      </c>
      <c r="D507" s="50" t="n">
        <v>0</v>
      </c>
      <c r="E507" s="50" t="n">
        <v>-120</v>
      </c>
      <c r="F507" s="50" t="n">
        <v>52</v>
      </c>
      <c r="G507" s="50" t="n">
        <v>0</v>
      </c>
      <c r="H507" s="50" t="n">
        <v>-13</v>
      </c>
      <c r="I507" s="50" t="n">
        <v>15</v>
      </c>
      <c r="J507" s="50" t="n">
        <v>0</v>
      </c>
      <c r="K507" s="50" t="n">
        <v>-120</v>
      </c>
      <c r="L507" s="50" t="n">
        <v>20</v>
      </c>
      <c r="M507" s="50" t="n">
        <v>0</v>
      </c>
      <c r="N507" s="50" t="n">
        <v>-10</v>
      </c>
      <c r="O507" s="50" t="inlineStr">
        <is>
          <t>C3</t>
        </is>
      </c>
      <c r="P507" s="50" t="n">
        <v>28</v>
      </c>
      <c r="Q507" s="50" t="n">
        <v>13</v>
      </c>
      <c r="R507" s="50" t="inlineStr">
        <is>
          <t>NO</t>
        </is>
      </c>
      <c r="S507" s="50" t="inlineStr">
        <is>
          <t>NO</t>
        </is>
      </c>
      <c r="T507" s="50" t="inlineStr">
        <is>
          <t>NO</t>
        </is>
      </c>
      <c r="U507" s="50" t="n">
        <v>64</v>
      </c>
      <c r="V507" s="50" t="n">
        <v>58</v>
      </c>
      <c r="W507" s="50" t="n">
        <v>64</v>
      </c>
      <c r="X507" s="50" t="n">
        <v>58</v>
      </c>
      <c r="Y507" s="50" t="inlineStr">
        <is>
          <t>1.5225-2.1315gr</t>
        </is>
      </c>
      <c r="Z507" s="50" t="inlineStr">
        <is>
          <t>standard</t>
        </is>
      </c>
      <c r="AA507" s="56" t="inlineStr">
        <is>
          <t>standard</t>
        </is>
      </c>
      <c r="AB507" s="50" t="inlineStr">
        <is>
          <t>standard</t>
        </is>
      </c>
      <c r="AC507" s="53" t="n">
        <v>45378</v>
      </c>
      <c r="AD507" s="84" t="inlineStr">
        <is>
          <t>D</t>
        </is>
      </c>
    </row>
    <row r="508" ht="12.75" customHeight="1" s="123">
      <c r="A508" s="85" t="n">
        <v>506</v>
      </c>
      <c r="B508" s="31" t="inlineStr">
        <is>
          <t>B&amp;P-041-MS07-D-C3-MID</t>
        </is>
      </c>
      <c r="C508" s="50" t="n">
        <v>17</v>
      </c>
      <c r="D508" s="50" t="n">
        <v>0</v>
      </c>
      <c r="E508" s="50" t="n">
        <v>-120</v>
      </c>
      <c r="F508" s="50" t="n">
        <v>72</v>
      </c>
      <c r="G508" s="50" t="n">
        <v>0</v>
      </c>
      <c r="H508" s="50" t="n">
        <v>-13</v>
      </c>
      <c r="I508" s="50" t="n">
        <v>17</v>
      </c>
      <c r="J508" s="50" t="n">
        <v>0</v>
      </c>
      <c r="K508" s="50" t="n">
        <v>-120</v>
      </c>
      <c r="L508" s="50" t="n">
        <v>35</v>
      </c>
      <c r="M508" s="50" t="n">
        <v>0</v>
      </c>
      <c r="N508" s="50" t="n">
        <v>-12</v>
      </c>
      <c r="O508" s="50" t="inlineStr">
        <is>
          <t>C3</t>
        </is>
      </c>
      <c r="P508" s="50" t="n">
        <v>33</v>
      </c>
      <c r="Q508" s="50" t="n">
        <v>15</v>
      </c>
      <c r="R508" s="50" t="inlineStr">
        <is>
          <t>NO</t>
        </is>
      </c>
      <c r="S508" s="50" t="inlineStr">
        <is>
          <t>NO</t>
        </is>
      </c>
      <c r="T508" s="50" t="inlineStr">
        <is>
          <t>NO</t>
        </is>
      </c>
      <c r="U508" s="50" t="n">
        <v>65</v>
      </c>
      <c r="V508" s="50" t="n">
        <v>60</v>
      </c>
      <c r="W508" s="50" t="n">
        <v>65</v>
      </c>
      <c r="X508" s="50" t="n">
        <v>60</v>
      </c>
      <c r="Y508" s="50" t="inlineStr">
        <is>
          <t>NO</t>
        </is>
      </c>
      <c r="Z508" s="50" t="inlineStr">
        <is>
          <t>NO</t>
        </is>
      </c>
      <c r="AA508" s="56" t="inlineStr">
        <is>
          <t>no</t>
        </is>
      </c>
      <c r="AB508" s="50" t="inlineStr">
        <is>
          <t>no</t>
        </is>
      </c>
      <c r="AC508" s="53" t="n">
        <v>44957</v>
      </c>
      <c r="AD508" s="84" t="inlineStr">
        <is>
          <t>H</t>
        </is>
      </c>
    </row>
    <row r="509" ht="12.75" customHeight="1" s="123">
      <c r="A509" s="85" t="n">
        <v>507</v>
      </c>
      <c r="B509" s="31" t="inlineStr">
        <is>
          <t>B&amp;P-031-DAC-30620030-BBS</t>
        </is>
      </c>
      <c r="C509" s="50" t="n">
        <v>30</v>
      </c>
      <c r="D509" s="50" t="n">
        <v>0</v>
      </c>
      <c r="E509" s="50" t="n">
        <v>-120</v>
      </c>
      <c r="F509" s="50" t="n">
        <v>62</v>
      </c>
      <c r="G509" s="50" t="n">
        <v>0</v>
      </c>
      <c r="H509" s="50" t="n">
        <v>-13</v>
      </c>
      <c r="I509" s="50" t="n">
        <v>30</v>
      </c>
      <c r="J509" s="50" t="n">
        <v>0</v>
      </c>
      <c r="K509" s="50" t="n">
        <v>-120</v>
      </c>
      <c r="L509" s="50" t="n">
        <v>30</v>
      </c>
      <c r="M509" s="50" t="n">
        <v>0</v>
      </c>
      <c r="N509" s="50" t="n">
        <v>-10</v>
      </c>
      <c r="O509" s="50" t="inlineStr">
        <is>
          <t>no</t>
        </is>
      </c>
      <c r="P509" s="50" t="inlineStr">
        <is>
          <t>no</t>
        </is>
      </c>
      <c r="Q509" s="50" t="inlineStr">
        <is>
          <t>no</t>
        </is>
      </c>
      <c r="R509" s="50" t="inlineStr">
        <is>
          <t>AXIAL</t>
        </is>
      </c>
      <c r="S509" s="50" t="n">
        <v>80</v>
      </c>
      <c r="T509" s="50" t="n">
        <v>30</v>
      </c>
      <c r="U509" s="50" t="n">
        <v>64</v>
      </c>
      <c r="V509" s="50" t="n">
        <v>58</v>
      </c>
      <c r="W509" s="50" t="n">
        <v>64</v>
      </c>
      <c r="X509" s="50" t="n">
        <v>58</v>
      </c>
      <c r="Y509" s="50" t="inlineStr">
        <is>
          <t>4-7gr</t>
        </is>
      </c>
      <c r="Z509" s="50" t="inlineStr">
        <is>
          <t>Polyrex</t>
        </is>
      </c>
      <c r="AA509" s="56" t="inlineStr">
        <is>
          <t>-</t>
        </is>
      </c>
      <c r="AB509" s="50" t="inlineStr">
        <is>
          <t>-</t>
        </is>
      </c>
      <c r="AC509" s="53" t="n">
        <v>45483</v>
      </c>
      <c r="AD509" s="84" t="n">
        <v>0</v>
      </c>
    </row>
    <row r="510" ht="12.75" customHeight="1" s="123">
      <c r="A510" s="85" t="n">
        <v>508</v>
      </c>
      <c r="B510" s="31" t="inlineStr">
        <is>
          <t>B&amp;P-041-LS19-2RSTX-MID</t>
        </is>
      </c>
      <c r="C510" s="50" t="n">
        <v>24</v>
      </c>
      <c r="D510" s="50" t="n">
        <v>0</v>
      </c>
      <c r="E510" s="50" t="n">
        <v>-200</v>
      </c>
      <c r="F510" s="50" t="n">
        <v>145</v>
      </c>
      <c r="G510" s="50" t="n">
        <v>0</v>
      </c>
      <c r="H510" s="50" t="n">
        <v>-18</v>
      </c>
      <c r="I510" s="50" t="n">
        <v>24</v>
      </c>
      <c r="J510" s="50" t="n">
        <v>0</v>
      </c>
      <c r="K510" s="50" t="n">
        <v>-200</v>
      </c>
      <c r="L510" s="50" t="n">
        <v>95</v>
      </c>
      <c r="M510" s="50" t="n">
        <v>0</v>
      </c>
      <c r="N510" s="50" t="n">
        <v>-20</v>
      </c>
      <c r="O510" s="50" t="inlineStr">
        <is>
          <t>C3</t>
        </is>
      </c>
      <c r="P510" s="50" t="n">
        <v>58</v>
      </c>
      <c r="Q510" s="50" t="n">
        <v>30</v>
      </c>
      <c r="R510" s="50" t="inlineStr">
        <is>
          <t>NO</t>
        </is>
      </c>
      <c r="S510" s="50" t="inlineStr">
        <is>
          <t>NO</t>
        </is>
      </c>
      <c r="T510" s="50" t="inlineStr">
        <is>
          <t>NO</t>
        </is>
      </c>
      <c r="U510" s="50" t="n">
        <v>65</v>
      </c>
      <c r="V510" s="50" t="n">
        <v>60</v>
      </c>
      <c r="W510" s="50" t="n">
        <v>65</v>
      </c>
      <c r="X510" s="50" t="n">
        <v>60</v>
      </c>
      <c r="Y510" s="50" t="inlineStr">
        <is>
          <t>Standard</t>
        </is>
      </c>
      <c r="Z510" s="50" t="inlineStr">
        <is>
          <t>Polyrex</t>
        </is>
      </c>
      <c r="AA510" s="56" t="inlineStr">
        <is>
          <t>standard</t>
        </is>
      </c>
      <c r="AB510" s="50" t="inlineStr">
        <is>
          <t>standard</t>
        </is>
      </c>
      <c r="AC510" s="53" t="n">
        <v>45174</v>
      </c>
      <c r="AD510" s="84" t="inlineStr">
        <is>
          <t>A</t>
        </is>
      </c>
    </row>
    <row r="511" ht="12.75" customHeight="1" s="123">
      <c r="A511" s="85" t="n">
        <v>509</v>
      </c>
      <c r="B511" s="31" t="inlineStr">
        <is>
          <t>B&amp;P-041-MS10-2RSTX-MID</t>
        </is>
      </c>
      <c r="C511" s="50" t="n">
        <v>20</v>
      </c>
      <c r="D511" s="50" t="n">
        <v>0</v>
      </c>
      <c r="E511" s="50" t="n">
        <v>-120</v>
      </c>
      <c r="F511" s="50" t="n">
        <v>90</v>
      </c>
      <c r="G511" s="50" t="n">
        <v>0</v>
      </c>
      <c r="H511" s="50" t="n">
        <v>-15</v>
      </c>
      <c r="I511" s="50" t="n">
        <v>20</v>
      </c>
      <c r="J511" s="50" t="n">
        <v>0</v>
      </c>
      <c r="K511" s="50" t="n">
        <v>-120</v>
      </c>
      <c r="L511" s="50" t="n">
        <v>50</v>
      </c>
      <c r="M511" s="50" t="n">
        <v>0</v>
      </c>
      <c r="N511" s="50" t="n">
        <v>-12</v>
      </c>
      <c r="O511" s="50" t="inlineStr">
        <is>
          <t>C3</t>
        </is>
      </c>
      <c r="P511" s="50" t="n">
        <v>36</v>
      </c>
      <c r="Q511" s="50" t="n">
        <v>18</v>
      </c>
      <c r="R511" s="50" t="inlineStr">
        <is>
          <t>NO</t>
        </is>
      </c>
      <c r="S511" s="50" t="inlineStr">
        <is>
          <t>NO</t>
        </is>
      </c>
      <c r="T511" s="50" t="inlineStr">
        <is>
          <t>NO</t>
        </is>
      </c>
      <c r="U511" s="50" t="n">
        <v>65</v>
      </c>
      <c r="V511" s="50" t="n">
        <v>60</v>
      </c>
      <c r="W511" s="50" t="n">
        <v>65</v>
      </c>
      <c r="X511" s="50" t="n">
        <v>60</v>
      </c>
      <c r="Y511" s="50" t="inlineStr">
        <is>
          <t>Standard</t>
        </is>
      </c>
      <c r="Z511" s="50" t="inlineStr">
        <is>
          <t>Polyrex</t>
        </is>
      </c>
      <c r="AA511" s="56" t="inlineStr">
        <is>
          <t>standard</t>
        </is>
      </c>
      <c r="AB511" s="50" t="inlineStr">
        <is>
          <t>standard</t>
        </is>
      </c>
      <c r="AC511" s="52" t="n">
        <v>45174</v>
      </c>
      <c r="AD511" s="51" t="inlineStr">
        <is>
          <t>A</t>
        </is>
      </c>
    </row>
    <row r="512" ht="12.75" customHeight="1" s="123">
      <c r="A512" s="85" t="n">
        <v>510</v>
      </c>
      <c r="B512" s="31" t="inlineStr">
        <is>
          <t>B&amp;P-040-1214-K-TN-C3-HLBR</t>
        </is>
      </c>
      <c r="C512" s="50" t="n">
        <v>24</v>
      </c>
      <c r="D512" s="50" t="n">
        <v>0</v>
      </c>
      <c r="E512" s="50" t="n">
        <v>-150</v>
      </c>
      <c r="F512" s="50" t="n">
        <v>125</v>
      </c>
      <c r="G512" s="50" t="n">
        <v>0</v>
      </c>
      <c r="H512" s="50" t="n">
        <v>-18</v>
      </c>
      <c r="I512" s="50" t="n">
        <v>24</v>
      </c>
      <c r="J512" s="50" t="n">
        <v>0</v>
      </c>
      <c r="K512" s="50" t="n">
        <v>-150</v>
      </c>
      <c r="L512" s="50" t="n">
        <v>70</v>
      </c>
      <c r="M512" s="50" t="n">
        <v>46</v>
      </c>
      <c r="N512" s="50" t="n">
        <v>0</v>
      </c>
      <c r="O512" s="50" t="inlineStr">
        <is>
          <t>C3</t>
        </is>
      </c>
      <c r="P512" s="50" t="n">
        <v>75</v>
      </c>
      <c r="Q512" s="50" t="n">
        <v>50</v>
      </c>
      <c r="R512" s="50" t="inlineStr">
        <is>
          <t>NO</t>
        </is>
      </c>
      <c r="S512" s="50" t="inlineStr">
        <is>
          <t>NO</t>
        </is>
      </c>
      <c r="T512" s="50" t="inlineStr">
        <is>
          <t>NO</t>
        </is>
      </c>
      <c r="U512" s="50" t="n">
        <v>65</v>
      </c>
      <c r="V512" s="50" t="n">
        <v>60</v>
      </c>
      <c r="W512" s="50" t="n">
        <v>65</v>
      </c>
      <c r="X512" s="50" t="n">
        <v>60</v>
      </c>
      <c r="Y512" s="50" t="inlineStr">
        <is>
          <t>NO</t>
        </is>
      </c>
      <c r="Z512" s="50" t="inlineStr">
        <is>
          <t>NO</t>
        </is>
      </c>
      <c r="AA512" s="56" t="inlineStr">
        <is>
          <t>NO</t>
        </is>
      </c>
      <c r="AB512" s="50" t="inlineStr">
        <is>
          <t>NO</t>
        </is>
      </c>
      <c r="AC512" s="53" t="n">
        <v>45517</v>
      </c>
      <c r="AD512" s="84" t="inlineStr">
        <is>
          <t>A</t>
        </is>
      </c>
    </row>
    <row r="513" ht="12.75" customHeight="1" s="123">
      <c r="A513" s="85" t="n">
        <v>511</v>
      </c>
      <c r="B513" s="31" t="inlineStr">
        <is>
          <t>B&amp;P-040-1215-K-TN-C3-HLBR</t>
        </is>
      </c>
      <c r="C513" s="50" t="n">
        <v>25</v>
      </c>
      <c r="D513" s="50" t="n">
        <v>0</v>
      </c>
      <c r="E513" s="50" t="n">
        <v>-150</v>
      </c>
      <c r="F513" s="50" t="n">
        <v>130</v>
      </c>
      <c r="G513" s="50" t="n">
        <v>0</v>
      </c>
      <c r="H513" s="50" t="n">
        <v>-18</v>
      </c>
      <c r="I513" s="50" t="n">
        <v>25</v>
      </c>
      <c r="J513" s="50" t="n">
        <v>0</v>
      </c>
      <c r="K513" s="50" t="n">
        <v>-150</v>
      </c>
      <c r="L513" s="50" t="n">
        <v>75</v>
      </c>
      <c r="M513" s="50" t="n">
        <v>46</v>
      </c>
      <c r="N513" s="50" t="n">
        <v>0</v>
      </c>
      <c r="O513" s="50" t="inlineStr">
        <is>
          <t>C3</t>
        </is>
      </c>
      <c r="P513" s="50" t="n">
        <v>75</v>
      </c>
      <c r="Q513" s="50" t="n">
        <v>50</v>
      </c>
      <c r="R513" s="50" t="inlineStr">
        <is>
          <t>NO</t>
        </is>
      </c>
      <c r="S513" s="50" t="inlineStr">
        <is>
          <t>NO</t>
        </is>
      </c>
      <c r="T513" s="50" t="inlineStr">
        <is>
          <t>NO</t>
        </is>
      </c>
      <c r="U513" s="50" t="n">
        <v>65</v>
      </c>
      <c r="V513" s="50" t="n">
        <v>60</v>
      </c>
      <c r="W513" s="50" t="n">
        <v>65</v>
      </c>
      <c r="X513" s="50" t="n">
        <v>60</v>
      </c>
      <c r="Y513" s="50" t="inlineStr">
        <is>
          <t>NO</t>
        </is>
      </c>
      <c r="Z513" s="50" t="inlineStr">
        <is>
          <t>NO</t>
        </is>
      </c>
      <c r="AA513" s="56" t="inlineStr">
        <is>
          <t>NO</t>
        </is>
      </c>
      <c r="AB513" s="50" t="inlineStr">
        <is>
          <t>NO</t>
        </is>
      </c>
      <c r="AC513" s="53" t="n">
        <v>45517</v>
      </c>
      <c r="AD513" s="84" t="inlineStr">
        <is>
          <t>A</t>
        </is>
      </c>
    </row>
    <row r="514" ht="12.75" customHeight="1" s="123">
      <c r="A514" s="85" t="n">
        <v>512</v>
      </c>
      <c r="B514" s="30" t="inlineStr">
        <is>
          <t>B&amp;P-040-2209-K-TN-C3-HLBR</t>
        </is>
      </c>
      <c r="C514" s="38" t="n">
        <v>23</v>
      </c>
      <c r="D514" s="38" t="n">
        <v>0</v>
      </c>
      <c r="E514" s="38" t="n">
        <v>-120</v>
      </c>
      <c r="F514" s="38" t="n">
        <v>85</v>
      </c>
      <c r="G514" s="38" t="n">
        <v>0</v>
      </c>
      <c r="H514" s="38" t="n">
        <v>-15</v>
      </c>
      <c r="I514" s="38" t="n">
        <v>23</v>
      </c>
      <c r="J514" s="38" t="n">
        <v>0</v>
      </c>
      <c r="K514" s="38" t="n">
        <v>-120</v>
      </c>
      <c r="L514" s="38" t="n">
        <v>45</v>
      </c>
      <c r="M514" s="38" t="n">
        <v>39</v>
      </c>
      <c r="N514" s="38" t="n">
        <v>0</v>
      </c>
      <c r="O514" s="38" t="inlineStr">
        <is>
          <t>Radial (C3)</t>
        </is>
      </c>
      <c r="P514" s="38" t="n">
        <v>52</v>
      </c>
      <c r="Q514" s="38" t="n">
        <v>33</v>
      </c>
      <c r="R514" s="38" t="inlineStr">
        <is>
          <t>NO</t>
        </is>
      </c>
      <c r="S514" s="38" t="inlineStr">
        <is>
          <t>NO</t>
        </is>
      </c>
      <c r="T514" s="38" t="inlineStr">
        <is>
          <t>NO</t>
        </is>
      </c>
      <c r="U514" s="38" t="n">
        <v>65</v>
      </c>
      <c r="V514" s="38" t="n">
        <v>60</v>
      </c>
      <c r="W514" s="38" t="n">
        <v>65</v>
      </c>
      <c r="X514" s="38" t="n">
        <v>60</v>
      </c>
      <c r="Y514" s="38" t="inlineStr">
        <is>
          <t>NO</t>
        </is>
      </c>
      <c r="Z514" s="38" t="inlineStr">
        <is>
          <t>NO</t>
        </is>
      </c>
      <c r="AA514" s="45" t="inlineStr">
        <is>
          <t>NO</t>
        </is>
      </c>
      <c r="AB514" s="45" t="inlineStr">
        <is>
          <t>NO</t>
        </is>
      </c>
      <c r="AC514" s="44" t="n">
        <v>45589</v>
      </c>
      <c r="AD514" s="57" t="inlineStr">
        <is>
          <t>B</t>
        </is>
      </c>
    </row>
    <row r="515" ht="12.75" customHeight="1" s="123">
      <c r="A515" s="85" t="n">
        <v>513</v>
      </c>
      <c r="B515" s="31" t="inlineStr">
        <is>
          <t>B&amp;P-040-2210-K-TN-C3-HLBR</t>
        </is>
      </c>
      <c r="C515" s="50" t="n">
        <v>23</v>
      </c>
      <c r="D515" s="50" t="n">
        <v>0</v>
      </c>
      <c r="E515" s="50" t="n">
        <v>-120</v>
      </c>
      <c r="F515" s="50" t="n">
        <v>90</v>
      </c>
      <c r="G515" s="50" t="n">
        <v>0</v>
      </c>
      <c r="H515" s="50" t="n">
        <v>-13</v>
      </c>
      <c r="I515" s="50" t="n">
        <v>23</v>
      </c>
      <c r="J515" s="50" t="n">
        <v>0</v>
      </c>
      <c r="K515" s="50" t="n">
        <v>-120</v>
      </c>
      <c r="L515" s="50" t="n">
        <v>50</v>
      </c>
      <c r="M515" s="50" t="n">
        <v>39</v>
      </c>
      <c r="N515" s="50" t="n">
        <v>0</v>
      </c>
      <c r="O515" s="50" t="inlineStr">
        <is>
          <t>C3</t>
        </is>
      </c>
      <c r="P515" s="50" t="n">
        <v>52</v>
      </c>
      <c r="Q515" s="50" t="n">
        <v>33</v>
      </c>
      <c r="R515" s="50" t="inlineStr">
        <is>
          <t>NO</t>
        </is>
      </c>
      <c r="S515" s="50" t="inlineStr">
        <is>
          <t>NO</t>
        </is>
      </c>
      <c r="T515" s="50" t="inlineStr">
        <is>
          <t>NO</t>
        </is>
      </c>
      <c r="U515" s="50" t="n">
        <v>65</v>
      </c>
      <c r="V515" s="50" t="n">
        <v>60</v>
      </c>
      <c r="W515" s="50" t="n">
        <v>65</v>
      </c>
      <c r="X515" s="50" t="n">
        <v>60</v>
      </c>
      <c r="Y515" s="50" t="inlineStr">
        <is>
          <t>NO</t>
        </is>
      </c>
      <c r="Z515" s="50" t="inlineStr">
        <is>
          <t>NO</t>
        </is>
      </c>
      <c r="AA515" s="56" t="inlineStr">
        <is>
          <t>NO</t>
        </is>
      </c>
      <c r="AB515" s="50" t="inlineStr">
        <is>
          <t>NO</t>
        </is>
      </c>
      <c r="AC515" s="53" t="n">
        <v>45517</v>
      </c>
      <c r="AD515" s="84" t="inlineStr">
        <is>
          <t>A</t>
        </is>
      </c>
    </row>
    <row r="516" ht="12.75" customHeight="1" s="123">
      <c r="A516" s="85" t="n">
        <v>514</v>
      </c>
      <c r="B516" s="30" t="inlineStr">
        <is>
          <t>B&amp;P-040-1205-K-TN-C3-HLBR</t>
        </is>
      </c>
      <c r="C516" s="38" t="n">
        <v>15</v>
      </c>
      <c r="D516" s="38" t="n">
        <v>0</v>
      </c>
      <c r="E516" s="38" t="n">
        <v>-120</v>
      </c>
      <c r="F516" s="38" t="n">
        <v>52</v>
      </c>
      <c r="G516" s="38" t="n">
        <v>0</v>
      </c>
      <c r="H516" s="38" t="n">
        <v>-13</v>
      </c>
      <c r="I516" s="38" t="n">
        <v>15</v>
      </c>
      <c r="J516" s="38" t="n">
        <v>0</v>
      </c>
      <c r="K516" s="38" t="n">
        <v>-120</v>
      </c>
      <c r="L516" s="38" t="n">
        <v>25</v>
      </c>
      <c r="M516" s="38" t="n">
        <v>33</v>
      </c>
      <c r="N516" s="38" t="n">
        <v>0</v>
      </c>
      <c r="O516" s="38" t="inlineStr">
        <is>
          <t>C3</t>
        </is>
      </c>
      <c r="P516" s="38" t="n">
        <v>39</v>
      </c>
      <c r="Q516" s="38" t="n">
        <v>23</v>
      </c>
      <c r="R516" s="38" t="inlineStr">
        <is>
          <t>NO</t>
        </is>
      </c>
      <c r="S516" s="38" t="inlineStr">
        <is>
          <t>NO</t>
        </is>
      </c>
      <c r="T516" s="38" t="inlineStr">
        <is>
          <t>NO</t>
        </is>
      </c>
      <c r="U516" s="38" t="n">
        <v>65</v>
      </c>
      <c r="V516" s="38" t="n">
        <v>60</v>
      </c>
      <c r="W516" s="38" t="n">
        <v>65</v>
      </c>
      <c r="X516" s="38" t="n">
        <v>60</v>
      </c>
      <c r="Y516" s="38" t="inlineStr">
        <is>
          <t>NO</t>
        </is>
      </c>
      <c r="Z516" s="38" t="inlineStr">
        <is>
          <t>NO</t>
        </is>
      </c>
      <c r="AA516" s="45" t="inlineStr">
        <is>
          <t>NO</t>
        </is>
      </c>
      <c r="AB516" s="45" t="inlineStr">
        <is>
          <t>NO</t>
        </is>
      </c>
      <c r="AC516" s="44" t="n">
        <v>45517</v>
      </c>
      <c r="AD516" s="57" t="inlineStr">
        <is>
          <t>A</t>
        </is>
      </c>
    </row>
    <row r="517" ht="12.75" customHeight="1" s="123">
      <c r="A517" s="85" t="n">
        <v>515</v>
      </c>
      <c r="B517" s="31" t="inlineStr">
        <is>
          <t>B&amp;P-040-1204-K-TN-C3-HLBR</t>
        </is>
      </c>
      <c r="C517" s="50" t="n">
        <v>14</v>
      </c>
      <c r="D517" s="50" t="n">
        <v>0</v>
      </c>
      <c r="E517" s="50" t="n">
        <v>-120</v>
      </c>
      <c r="F517" s="50" t="n">
        <v>47</v>
      </c>
      <c r="G517" s="50" t="n">
        <v>0</v>
      </c>
      <c r="H517" s="50" t="n">
        <v>-11</v>
      </c>
      <c r="I517" s="50" t="n">
        <v>14</v>
      </c>
      <c r="J517" s="50" t="n">
        <v>0</v>
      </c>
      <c r="K517" s="50" t="n">
        <v>-120</v>
      </c>
      <c r="L517" s="50" t="n">
        <v>20</v>
      </c>
      <c r="M517" s="50" t="n">
        <v>33</v>
      </c>
      <c r="N517" s="50" t="n">
        <v>0</v>
      </c>
      <c r="O517" s="50" t="inlineStr">
        <is>
          <t>C3</t>
        </is>
      </c>
      <c r="P517" s="50" t="n">
        <v>33</v>
      </c>
      <c r="Q517" s="50" t="n">
        <v>20</v>
      </c>
      <c r="R517" s="50" t="inlineStr">
        <is>
          <t>NO</t>
        </is>
      </c>
      <c r="S517" s="50" t="inlineStr">
        <is>
          <t>NO</t>
        </is>
      </c>
      <c r="T517" s="50" t="inlineStr">
        <is>
          <t>NO</t>
        </is>
      </c>
      <c r="U517" s="50" t="n">
        <v>65</v>
      </c>
      <c r="V517" s="50" t="n">
        <v>60</v>
      </c>
      <c r="W517" s="50" t="n">
        <v>65</v>
      </c>
      <c r="X517" s="50" t="n">
        <v>60</v>
      </c>
      <c r="Y517" s="50" t="inlineStr">
        <is>
          <t>NO</t>
        </is>
      </c>
      <c r="Z517" s="50" t="inlineStr">
        <is>
          <t>NO</t>
        </is>
      </c>
      <c r="AA517" s="56" t="inlineStr">
        <is>
          <t>NO</t>
        </is>
      </c>
      <c r="AB517" s="50" t="inlineStr">
        <is>
          <t>NO</t>
        </is>
      </c>
      <c r="AC517" s="53" t="n">
        <v>45517</v>
      </c>
      <c r="AD517" s="84" t="inlineStr">
        <is>
          <t>A</t>
        </is>
      </c>
    </row>
    <row r="518" ht="12.75" customHeight="1" s="123">
      <c r="A518" s="85" t="n">
        <v>516</v>
      </c>
      <c r="B518" s="31" t="inlineStr">
        <is>
          <t>B&amp;P-040-1212-K-TN-C3-HLBR</t>
        </is>
      </c>
      <c r="C518" s="50" t="n">
        <v>22</v>
      </c>
      <c r="D518" s="50" t="n">
        <v>0</v>
      </c>
      <c r="E518" s="50" t="n">
        <v>-150</v>
      </c>
      <c r="F518" s="50" t="n">
        <v>110</v>
      </c>
      <c r="G518" s="50" t="n">
        <v>0</v>
      </c>
      <c r="H518" s="50" t="n">
        <v>-15</v>
      </c>
      <c r="I518" s="50" t="n">
        <v>22</v>
      </c>
      <c r="J518" s="50" t="n">
        <v>0</v>
      </c>
      <c r="K518" s="50" t="n">
        <v>-150</v>
      </c>
      <c r="L518" s="50" t="n">
        <v>60</v>
      </c>
      <c r="M518" s="50" t="n">
        <v>46</v>
      </c>
      <c r="N518" s="50" t="n">
        <v>0</v>
      </c>
      <c r="O518" s="50" t="inlineStr">
        <is>
          <t>C3</t>
        </is>
      </c>
      <c r="P518" s="50" t="n">
        <v>61</v>
      </c>
      <c r="Q518" s="50" t="n">
        <v>41</v>
      </c>
      <c r="R518" s="50" t="inlineStr">
        <is>
          <t>NO</t>
        </is>
      </c>
      <c r="S518" s="50" t="inlineStr">
        <is>
          <t>NO</t>
        </is>
      </c>
      <c r="T518" s="50" t="inlineStr">
        <is>
          <t>NO</t>
        </is>
      </c>
      <c r="U518" s="50" t="n">
        <v>65</v>
      </c>
      <c r="V518" s="50" t="n">
        <v>60</v>
      </c>
      <c r="W518" s="50" t="n">
        <v>65</v>
      </c>
      <c r="X518" s="50" t="n">
        <v>60</v>
      </c>
      <c r="Y518" s="50" t="inlineStr">
        <is>
          <t>NO</t>
        </is>
      </c>
      <c r="Z518" s="50" t="inlineStr">
        <is>
          <t>NO</t>
        </is>
      </c>
      <c r="AA518" s="56" t="inlineStr">
        <is>
          <t>NO</t>
        </is>
      </c>
      <c r="AB518" s="50" t="inlineStr">
        <is>
          <t>NO</t>
        </is>
      </c>
      <c r="AC518" s="53" t="n">
        <v>45517</v>
      </c>
      <c r="AD518" s="84" t="inlineStr">
        <is>
          <t>A</t>
        </is>
      </c>
    </row>
    <row r="519" ht="12.75" customHeight="1" s="123">
      <c r="A519" s="85" t="n">
        <v>517</v>
      </c>
      <c r="B519" s="31" t="inlineStr">
        <is>
          <t>B&amp;P-040-1213-K-TN-C3-HLBR</t>
        </is>
      </c>
      <c r="C519" s="50" t="n">
        <v>23</v>
      </c>
      <c r="D519" s="50" t="n">
        <v>0</v>
      </c>
      <c r="E519" s="50" t="n">
        <v>-150</v>
      </c>
      <c r="F519" s="50" t="n">
        <v>120</v>
      </c>
      <c r="G519" s="50" t="n">
        <v>0</v>
      </c>
      <c r="H519" s="50" t="n">
        <v>-15</v>
      </c>
      <c r="I519" s="50" t="n">
        <v>23</v>
      </c>
      <c r="J519" s="50" t="n">
        <v>0</v>
      </c>
      <c r="K519" s="50" t="n">
        <v>-150</v>
      </c>
      <c r="L519" s="50" t="n">
        <v>65</v>
      </c>
      <c r="M519" s="50" t="n">
        <v>46</v>
      </c>
      <c r="N519" s="50" t="n">
        <v>0</v>
      </c>
      <c r="O519" s="50" t="inlineStr">
        <is>
          <t>C3</t>
        </is>
      </c>
      <c r="P519" s="50" t="n">
        <v>61</v>
      </c>
      <c r="Q519" s="50" t="n">
        <v>41</v>
      </c>
      <c r="R519" s="50" t="inlineStr">
        <is>
          <t>NO</t>
        </is>
      </c>
      <c r="S519" s="50" t="inlineStr">
        <is>
          <t>NO</t>
        </is>
      </c>
      <c r="T519" s="50" t="inlineStr">
        <is>
          <t>NO</t>
        </is>
      </c>
      <c r="U519" s="50" t="n">
        <v>65</v>
      </c>
      <c r="V519" s="50" t="n">
        <v>60</v>
      </c>
      <c r="W519" s="50" t="n">
        <v>65</v>
      </c>
      <c r="X519" s="50" t="n">
        <v>60</v>
      </c>
      <c r="Y519" s="50" t="inlineStr">
        <is>
          <t>NO</t>
        </is>
      </c>
      <c r="Z519" s="50" t="inlineStr">
        <is>
          <t>NO</t>
        </is>
      </c>
      <c r="AA519" s="56" t="inlineStr">
        <is>
          <t>NO</t>
        </is>
      </c>
      <c r="AB519" s="50" t="inlineStr">
        <is>
          <t>NO</t>
        </is>
      </c>
      <c r="AC519" s="53" t="n">
        <v>45517</v>
      </c>
      <c r="AD519" s="84" t="inlineStr">
        <is>
          <t>A</t>
        </is>
      </c>
    </row>
    <row r="520" ht="12.75" customHeight="1" s="123">
      <c r="A520" s="85" t="n">
        <v>518</v>
      </c>
      <c r="B520" s="30" t="inlineStr">
        <is>
          <t>B&amp;P-040-2208-TN-C3-HLBR</t>
        </is>
      </c>
      <c r="C520" s="38" t="n">
        <v>23</v>
      </c>
      <c r="D520" s="38" t="n">
        <v>0</v>
      </c>
      <c r="E520" s="38" t="n">
        <v>-120</v>
      </c>
      <c r="F520" s="38" t="n">
        <v>80</v>
      </c>
      <c r="G520" s="38" t="n">
        <v>0</v>
      </c>
      <c r="H520" s="38" t="n">
        <v>-13</v>
      </c>
      <c r="I520" s="38" t="n">
        <v>23</v>
      </c>
      <c r="J520" s="38" t="n">
        <v>0</v>
      </c>
      <c r="K520" s="38" t="n">
        <v>-120</v>
      </c>
      <c r="L520" s="38" t="n">
        <v>40</v>
      </c>
      <c r="M520" s="38" t="n">
        <v>0</v>
      </c>
      <c r="N520" s="38" t="n">
        <v>-12</v>
      </c>
      <c r="O520" s="38" t="inlineStr">
        <is>
          <t>C3</t>
        </is>
      </c>
      <c r="P520" s="38" t="n">
        <v>40</v>
      </c>
      <c r="Q520" s="38" t="n">
        <v>23</v>
      </c>
      <c r="R520" s="38" t="inlineStr">
        <is>
          <t>NO</t>
        </is>
      </c>
      <c r="S520" s="38" t="inlineStr">
        <is>
          <t>NO</t>
        </is>
      </c>
      <c r="T520" s="38" t="inlineStr">
        <is>
          <t>NO</t>
        </is>
      </c>
      <c r="U520" s="38" t="n">
        <v>65</v>
      </c>
      <c r="V520" s="38" t="n">
        <v>60</v>
      </c>
      <c r="W520" s="38" t="n">
        <v>65</v>
      </c>
      <c r="X520" s="38" t="n">
        <v>60</v>
      </c>
      <c r="Y520" s="36" t="inlineStr">
        <is>
          <t>NO</t>
        </is>
      </c>
      <c r="Z520" s="38" t="inlineStr">
        <is>
          <t>NO</t>
        </is>
      </c>
      <c r="AA520" s="45" t="inlineStr">
        <is>
          <t>NO</t>
        </is>
      </c>
      <c r="AB520" s="45" t="inlineStr">
        <is>
          <t>NO</t>
        </is>
      </c>
      <c r="AC520" s="44" t="n">
        <v>45517</v>
      </c>
      <c r="AD520" s="57" t="inlineStr">
        <is>
          <t>A</t>
        </is>
      </c>
    </row>
    <row r="521" ht="12.75" customHeight="1" s="123">
      <c r="A521" s="85" t="n">
        <v>519</v>
      </c>
      <c r="B521" s="31" t="inlineStr">
        <is>
          <t>B&amp;P-041-MS03-2RST-XINXIN</t>
        </is>
      </c>
      <c r="C521" s="50" t="n">
        <v>12</v>
      </c>
      <c r="D521" s="50" t="n">
        <v>0</v>
      </c>
      <c r="E521" s="50" t="n">
        <v>-120</v>
      </c>
      <c r="F521" s="50" t="n">
        <v>40</v>
      </c>
      <c r="G521" s="50" t="n">
        <v>0</v>
      </c>
      <c r="H521" s="50" t="n">
        <v>-11</v>
      </c>
      <c r="I521" s="50" t="n">
        <v>12</v>
      </c>
      <c r="J521" s="50" t="n">
        <v>0</v>
      </c>
      <c r="K521" s="50" t="n">
        <v>-120</v>
      </c>
      <c r="L521" s="50" t="n">
        <v>17</v>
      </c>
      <c r="M521" s="50" t="n">
        <v>0</v>
      </c>
      <c r="N521" s="50" t="n">
        <v>-7</v>
      </c>
      <c r="O521" s="50" t="inlineStr">
        <is>
          <t>CE</t>
        </is>
      </c>
      <c r="P521" s="50" t="n">
        <v>25</v>
      </c>
      <c r="Q521" s="50" t="n">
        <v>11</v>
      </c>
      <c r="R521" s="50" t="inlineStr">
        <is>
          <t>NO</t>
        </is>
      </c>
      <c r="S521" s="50" t="inlineStr">
        <is>
          <t>NO</t>
        </is>
      </c>
      <c r="T521" s="50" t="inlineStr">
        <is>
          <t>NO</t>
        </is>
      </c>
      <c r="U521" s="50" t="n">
        <v>64</v>
      </c>
      <c r="V521" s="50" t="n">
        <v>58</v>
      </c>
      <c r="W521" s="50" t="n">
        <v>64</v>
      </c>
      <c r="X521" s="50" t="n">
        <v>58</v>
      </c>
      <c r="Y521" s="50" t="inlineStr">
        <is>
          <t>1.92 - 2.2 gr</t>
        </is>
      </c>
      <c r="Z521" s="50" t="inlineStr">
        <is>
          <t>Polyrex</t>
        </is>
      </c>
      <c r="AA521" s="56" t="inlineStr">
        <is>
          <t>0.0268Nm</t>
        </is>
      </c>
      <c r="AB521" s="50" t="inlineStr">
        <is>
          <t>0.0162Nm</t>
        </is>
      </c>
      <c r="AC521" s="53" t="n">
        <v>40248</v>
      </c>
      <c r="AD521" s="84" t="n">
        <v>0</v>
      </c>
    </row>
    <row r="522" ht="12.75" customHeight="1" s="123">
      <c r="A522" s="85" t="n">
        <v>520</v>
      </c>
      <c r="B522" s="30" t="inlineStr">
        <is>
          <t>B&amp;P-041-MS04-2RLD-YS</t>
        </is>
      </c>
      <c r="C522" s="38" t="n">
        <v>14</v>
      </c>
      <c r="D522" s="38" t="n">
        <v>0</v>
      </c>
      <c r="E522" s="38" t="n">
        <v>-120</v>
      </c>
      <c r="F522" s="38" t="n">
        <v>47</v>
      </c>
      <c r="G522" s="38" t="n">
        <v>0</v>
      </c>
      <c r="H522" s="38" t="n">
        <v>-9</v>
      </c>
      <c r="I522" s="38" t="n">
        <v>14</v>
      </c>
      <c r="J522" s="38" t="n">
        <v>0</v>
      </c>
      <c r="K522" s="38" t="n">
        <v>-120</v>
      </c>
      <c r="L522" s="38" t="n">
        <v>20</v>
      </c>
      <c r="M522" s="38" t="n">
        <v>0</v>
      </c>
      <c r="N522" s="38" t="n">
        <v>-8</v>
      </c>
      <c r="O522" s="38" t="inlineStr">
        <is>
          <t>C3</t>
        </is>
      </c>
      <c r="P522" s="38" t="n">
        <v>28</v>
      </c>
      <c r="Q522" s="38" t="n">
        <v>13</v>
      </c>
      <c r="R522" s="38" t="inlineStr">
        <is>
          <t>NO</t>
        </is>
      </c>
      <c r="S522" s="38" t="inlineStr">
        <is>
          <t>NO</t>
        </is>
      </c>
      <c r="T522" s="38" t="inlineStr">
        <is>
          <t>NO</t>
        </is>
      </c>
      <c r="U522" s="38" t="n">
        <v>64</v>
      </c>
      <c r="V522" s="38" t="n">
        <v>58</v>
      </c>
      <c r="W522" s="38" t="n">
        <v>64</v>
      </c>
      <c r="X522" s="38" t="n">
        <v>58</v>
      </c>
      <c r="Y522" s="38" t="inlineStr">
        <is>
          <t>25-35%</t>
        </is>
      </c>
      <c r="Z522" s="38" t="inlineStr">
        <is>
          <t>Polyrex</t>
        </is>
      </c>
      <c r="AA522" s="45" t="inlineStr">
        <is>
          <t>0.04 Nm</t>
        </is>
      </c>
      <c r="AB522" s="45" t="inlineStr">
        <is>
          <t>0.015Nm</t>
        </is>
      </c>
      <c r="AC522" s="44" t="n">
        <v>45517</v>
      </c>
      <c r="AD522" s="57" t="inlineStr">
        <is>
          <t>A</t>
        </is>
      </c>
    </row>
    <row r="523" ht="12.75" customHeight="1" s="123">
      <c r="A523" s="85" t="n">
        <v>521</v>
      </c>
      <c r="B523" s="30" t="inlineStr">
        <is>
          <t>B&amp;P-041-6013-2RST-22 - CMI</t>
        </is>
      </c>
      <c r="C523" s="38" t="n">
        <v>18</v>
      </c>
      <c r="D523" s="38" t="n">
        <v>0</v>
      </c>
      <c r="E523" s="38" t="n">
        <v>-150</v>
      </c>
      <c r="F523" s="38" t="n">
        <v>100</v>
      </c>
      <c r="G523" s="38" t="n">
        <v>0</v>
      </c>
      <c r="H523" s="38" t="n">
        <v>-15</v>
      </c>
      <c r="I523" s="38" t="n">
        <v>18</v>
      </c>
      <c r="J523" s="38" t="n">
        <v>0</v>
      </c>
      <c r="K523" s="38" t="n">
        <v>-150</v>
      </c>
      <c r="L523" s="38" t="n">
        <v>65</v>
      </c>
      <c r="M523" s="38" t="n">
        <v>0</v>
      </c>
      <c r="N523" s="38" t="n">
        <v>-15</v>
      </c>
      <c r="O523" s="38" t="inlineStr">
        <is>
          <t>C3</t>
        </is>
      </c>
      <c r="P523" s="38" t="n">
        <v>43</v>
      </c>
      <c r="Q523" s="38" t="n">
        <v>23</v>
      </c>
      <c r="R523" s="38" t="inlineStr">
        <is>
          <t>NO</t>
        </is>
      </c>
      <c r="S523" s="38" t="inlineStr">
        <is>
          <t>NO</t>
        </is>
      </c>
      <c r="T523" s="38" t="inlineStr">
        <is>
          <t>NO</t>
        </is>
      </c>
      <c r="U523" s="38" t="n">
        <v>64</v>
      </c>
      <c r="V523" s="38" t="n">
        <v>58</v>
      </c>
      <c r="W523" s="38" t="n">
        <v>64</v>
      </c>
      <c r="X523" s="38" t="n">
        <v>58</v>
      </c>
      <c r="Y523" s="43" t="inlineStr">
        <is>
          <t>70 - 80 %</t>
        </is>
      </c>
      <c r="Z523" s="38" t="inlineStr">
        <is>
          <t>Polyrex</t>
        </is>
      </c>
      <c r="AA523" s="45" t="inlineStr">
        <is>
          <t>High</t>
        </is>
      </c>
      <c r="AB523" s="45" t="inlineStr">
        <is>
          <t>High</t>
        </is>
      </c>
      <c r="AC523" s="44" t="n">
        <v>39644</v>
      </c>
      <c r="AD523" s="57" t="n">
        <v>0</v>
      </c>
    </row>
    <row r="524" ht="12.75" customHeight="1" s="123">
      <c r="A524" s="85" t="n">
        <v>522</v>
      </c>
      <c r="B524" s="31" t="inlineStr">
        <is>
          <t>B&amp;P-041-6804-2RS-YS</t>
        </is>
      </c>
      <c r="C524" s="50" t="n">
        <v>7</v>
      </c>
      <c r="D524" s="50" t="n">
        <v>0</v>
      </c>
      <c r="E524" s="50" t="n">
        <v>-120</v>
      </c>
      <c r="F524" s="50" t="n">
        <v>32</v>
      </c>
      <c r="G524" s="50" t="n">
        <v>0</v>
      </c>
      <c r="H524" s="50" t="n">
        <v>-9</v>
      </c>
      <c r="I524" s="50" t="n">
        <v>7</v>
      </c>
      <c r="J524" s="50" t="n">
        <v>0</v>
      </c>
      <c r="K524" s="50" t="n">
        <v>-120</v>
      </c>
      <c r="L524" s="50" t="n">
        <v>20</v>
      </c>
      <c r="M524" s="50" t="n">
        <v>0</v>
      </c>
      <c r="N524" s="50" t="n">
        <v>-8</v>
      </c>
      <c r="O524" s="56" t="inlineStr">
        <is>
          <t>C0</t>
        </is>
      </c>
      <c r="P524" s="50" t="n">
        <v>20</v>
      </c>
      <c r="Q524" s="50" t="n">
        <v>5</v>
      </c>
      <c r="R524" s="56" t="inlineStr">
        <is>
          <t>NO</t>
        </is>
      </c>
      <c r="S524" s="56" t="inlineStr">
        <is>
          <t>NO</t>
        </is>
      </c>
      <c r="T524" s="56" t="inlineStr">
        <is>
          <t>NO</t>
        </is>
      </c>
      <c r="U524" s="50" t="n">
        <v>64</v>
      </c>
      <c r="V524" s="50" t="n">
        <v>60</v>
      </c>
      <c r="W524" s="50" t="n">
        <v>64</v>
      </c>
      <c r="X524" s="50" t="n">
        <v>60</v>
      </c>
      <c r="Y524" s="56" t="inlineStr">
        <is>
          <t>25-35%</t>
        </is>
      </c>
      <c r="Z524" s="56" t="inlineStr">
        <is>
          <t>Polyrex</t>
        </is>
      </c>
      <c r="AA524" s="56" t="inlineStr">
        <is>
          <t>standard</t>
        </is>
      </c>
      <c r="AB524" s="56" t="inlineStr">
        <is>
          <t>standard</t>
        </is>
      </c>
      <c r="AC524" s="66" t="n">
        <v>45516</v>
      </c>
      <c r="AD524" s="84" t="n">
        <v>0</v>
      </c>
    </row>
    <row r="525" ht="12.75" customHeight="1" s="123">
      <c r="A525" s="85" t="n">
        <v>523</v>
      </c>
      <c r="B525" s="31" t="inlineStr">
        <is>
          <t>B&amp;P-041-6805-2RS-YS</t>
        </is>
      </c>
      <c r="C525" s="50" t="n">
        <v>7</v>
      </c>
      <c r="D525" s="50" t="n">
        <v>0</v>
      </c>
      <c r="E525" s="50" t="n">
        <v>-120</v>
      </c>
      <c r="F525" s="50" t="n">
        <v>37</v>
      </c>
      <c r="G525" s="50" t="n">
        <v>0</v>
      </c>
      <c r="H525" s="50" t="n">
        <v>-11</v>
      </c>
      <c r="I525" s="50" t="n">
        <v>7</v>
      </c>
      <c r="J525" s="50" t="n">
        <v>0</v>
      </c>
      <c r="K525" s="50" t="n">
        <v>-120</v>
      </c>
      <c r="L525" s="50" t="n">
        <v>25</v>
      </c>
      <c r="M525" s="50" t="n">
        <v>0</v>
      </c>
      <c r="N525" s="50" t="n">
        <v>-8</v>
      </c>
      <c r="O525" s="56" t="inlineStr">
        <is>
          <t>C0</t>
        </is>
      </c>
      <c r="P525" s="50" t="n">
        <v>20</v>
      </c>
      <c r="Q525" s="50" t="n">
        <v>5</v>
      </c>
      <c r="R525" s="56" t="inlineStr">
        <is>
          <t>NO</t>
        </is>
      </c>
      <c r="S525" s="56" t="inlineStr">
        <is>
          <t>NO</t>
        </is>
      </c>
      <c r="T525" s="56" t="inlineStr">
        <is>
          <t>NO</t>
        </is>
      </c>
      <c r="U525" s="50" t="n">
        <v>64</v>
      </c>
      <c r="V525" s="50" t="n">
        <v>60</v>
      </c>
      <c r="W525" s="50" t="n">
        <v>64</v>
      </c>
      <c r="X525" s="50" t="n">
        <v>60</v>
      </c>
      <c r="Y525" s="56" t="inlineStr">
        <is>
          <t>25-35%</t>
        </is>
      </c>
      <c r="Z525" s="56" t="inlineStr">
        <is>
          <t>Polyrex</t>
        </is>
      </c>
      <c r="AA525" s="56" t="inlineStr">
        <is>
          <t>standard</t>
        </is>
      </c>
      <c r="AB525" s="56" t="inlineStr">
        <is>
          <t>standard</t>
        </is>
      </c>
      <c r="AC525" s="53" t="n">
        <v>45516</v>
      </c>
      <c r="AD525" s="84" t="n">
        <v>0</v>
      </c>
    </row>
    <row r="526" ht="12.75" customHeight="1" s="123">
      <c r="A526" s="85" t="n">
        <v>524</v>
      </c>
      <c r="B526" s="31" t="inlineStr">
        <is>
          <t>B&amp;P-041-6806-2RS-YS</t>
        </is>
      </c>
      <c r="C526" s="50" t="n">
        <v>7</v>
      </c>
      <c r="D526" s="50" t="n">
        <v>0</v>
      </c>
      <c r="E526" s="50" t="n">
        <v>-120</v>
      </c>
      <c r="F526" s="50" t="n">
        <v>42</v>
      </c>
      <c r="G526" s="50" t="n">
        <v>0</v>
      </c>
      <c r="H526" s="50" t="n">
        <v>-11</v>
      </c>
      <c r="I526" s="50" t="n">
        <v>7</v>
      </c>
      <c r="J526" s="50" t="n">
        <v>0</v>
      </c>
      <c r="K526" s="50" t="n">
        <v>-120</v>
      </c>
      <c r="L526" s="50" t="n">
        <v>30</v>
      </c>
      <c r="M526" s="56" t="n">
        <v>0</v>
      </c>
      <c r="N526" s="50" t="n">
        <v>-8</v>
      </c>
      <c r="O526" s="56" t="inlineStr">
        <is>
          <t>C0</t>
        </is>
      </c>
      <c r="P526" s="50" t="n">
        <v>20</v>
      </c>
      <c r="Q526" s="50" t="n">
        <v>5</v>
      </c>
      <c r="R526" s="56" t="inlineStr">
        <is>
          <t>NO</t>
        </is>
      </c>
      <c r="S526" s="56" t="inlineStr">
        <is>
          <t>NO</t>
        </is>
      </c>
      <c r="T526" s="56" t="inlineStr">
        <is>
          <t>NO</t>
        </is>
      </c>
      <c r="U526" s="50" t="n">
        <v>64</v>
      </c>
      <c r="V526" s="50" t="n">
        <v>60</v>
      </c>
      <c r="W526" s="50" t="n">
        <v>64</v>
      </c>
      <c r="X526" s="50" t="n">
        <v>60</v>
      </c>
      <c r="Y526" s="56" t="inlineStr">
        <is>
          <t>25-35%</t>
        </is>
      </c>
      <c r="Z526" s="56" t="inlineStr">
        <is>
          <t>Polyrex</t>
        </is>
      </c>
      <c r="AA526" s="56" t="inlineStr">
        <is>
          <t>standard</t>
        </is>
      </c>
      <c r="AB526" s="56" t="inlineStr">
        <is>
          <t>standard</t>
        </is>
      </c>
      <c r="AC526" s="53" t="n">
        <v>45516</v>
      </c>
      <c r="AD526" s="84" t="n">
        <v>0</v>
      </c>
    </row>
    <row r="527" ht="12.75" customHeight="1" s="123">
      <c r="A527" s="85" t="n">
        <v>525</v>
      </c>
      <c r="B527" s="31" t="inlineStr">
        <is>
          <t>B&amp;P-041-6907-2RLDC3P-SIN PLANO</t>
        </is>
      </c>
      <c r="C527" s="50" t="n">
        <v>10</v>
      </c>
      <c r="D527" s="50" t="n">
        <v>0</v>
      </c>
      <c r="E527" s="50" t="n">
        <v>-120</v>
      </c>
      <c r="F527" s="50" t="n">
        <v>55</v>
      </c>
      <c r="G527" s="50" t="n">
        <v>0</v>
      </c>
      <c r="H527" s="50" t="n">
        <v>-13</v>
      </c>
      <c r="I527" s="50" t="n">
        <v>7</v>
      </c>
      <c r="J527" s="50" t="n">
        <v>0</v>
      </c>
      <c r="K527" s="50" t="n">
        <v>-120</v>
      </c>
      <c r="L527" s="50" t="n">
        <v>35</v>
      </c>
      <c r="M527" s="50" t="n">
        <v>0</v>
      </c>
      <c r="N527" s="50" t="n">
        <v>-12</v>
      </c>
      <c r="O527" s="50" t="inlineStr">
        <is>
          <t>C3</t>
        </is>
      </c>
      <c r="P527" s="50" t="n">
        <v>33</v>
      </c>
      <c r="Q527" s="50" t="n">
        <v>15</v>
      </c>
      <c r="R527" s="50" t="inlineStr">
        <is>
          <t>NO</t>
        </is>
      </c>
      <c r="S527" s="50" t="inlineStr">
        <is>
          <t>NO</t>
        </is>
      </c>
      <c r="T527" s="50" t="inlineStr">
        <is>
          <t>NO</t>
        </is>
      </c>
      <c r="U527" s="50" t="inlineStr">
        <is>
          <t>-</t>
        </is>
      </c>
      <c r="V527" s="50" t="inlineStr">
        <is>
          <t>-</t>
        </is>
      </c>
      <c r="W527" s="50" t="inlineStr">
        <is>
          <t>-</t>
        </is>
      </c>
      <c r="X527" s="50" t="inlineStr">
        <is>
          <t>-</t>
        </is>
      </c>
      <c r="Y527" s="50" t="inlineStr">
        <is>
          <t>-</t>
        </is>
      </c>
      <c r="Z527" s="50" t="inlineStr">
        <is>
          <t>-</t>
        </is>
      </c>
      <c r="AA527" s="56" t="inlineStr">
        <is>
          <t>-</t>
        </is>
      </c>
      <c r="AB527" s="50" t="inlineStr">
        <is>
          <t>-</t>
        </is>
      </c>
      <c r="AC527" s="84" t="inlineStr">
        <is>
          <t>-</t>
        </is>
      </c>
      <c r="AD527" s="84" t="inlineStr">
        <is>
          <t>-</t>
        </is>
      </c>
    </row>
    <row r="528" ht="12.75" customHeight="1" s="123">
      <c r="A528" s="85" t="n">
        <v>526</v>
      </c>
      <c r="B528" s="31" t="inlineStr">
        <is>
          <t>B&amp;P-041-MS07-2RLD-YS</t>
        </is>
      </c>
      <c r="C528" s="50" t="n">
        <v>17</v>
      </c>
      <c r="D528" s="50" t="n">
        <v>0</v>
      </c>
      <c r="E528" s="50" t="n">
        <v>-120</v>
      </c>
      <c r="F528" s="50" t="n">
        <v>72</v>
      </c>
      <c r="G528" s="50" t="n">
        <v>0</v>
      </c>
      <c r="H528" s="50" t="n">
        <v>-11</v>
      </c>
      <c r="I528" s="50" t="n">
        <v>17</v>
      </c>
      <c r="J528" s="50" t="n">
        <v>0</v>
      </c>
      <c r="K528" s="50" t="n">
        <v>-120</v>
      </c>
      <c r="L528" s="50" t="n">
        <v>35</v>
      </c>
      <c r="M528" s="50" t="n">
        <v>0</v>
      </c>
      <c r="N528" s="50" t="n">
        <v>-10</v>
      </c>
      <c r="O528" s="50" t="inlineStr">
        <is>
          <t>C3</t>
        </is>
      </c>
      <c r="P528" s="50" t="n">
        <v>33</v>
      </c>
      <c r="Q528" s="50" t="n">
        <v>15</v>
      </c>
      <c r="R528" s="50" t="inlineStr">
        <is>
          <t>NO</t>
        </is>
      </c>
      <c r="S528" s="50" t="inlineStr">
        <is>
          <t>NO</t>
        </is>
      </c>
      <c r="T528" s="50" t="inlineStr">
        <is>
          <t>NO</t>
        </is>
      </c>
      <c r="U528" s="50" t="n">
        <v>65</v>
      </c>
      <c r="V528" s="50" t="n">
        <v>60</v>
      </c>
      <c r="W528" s="50" t="n">
        <v>65</v>
      </c>
      <c r="X528" s="50" t="n">
        <v>60</v>
      </c>
      <c r="Y528" s="50" t="inlineStr">
        <is>
          <t>25-35%</t>
        </is>
      </c>
      <c r="Z528" s="50" t="inlineStr">
        <is>
          <t>Polyrex</t>
        </is>
      </c>
      <c r="AA528" s="56" t="inlineStr">
        <is>
          <t>standard</t>
        </is>
      </c>
      <c r="AB528" s="56" t="inlineStr">
        <is>
          <t>standard</t>
        </is>
      </c>
      <c r="AC528" s="53" t="n">
        <v>45517</v>
      </c>
      <c r="AD528" s="76" t="inlineStr">
        <is>
          <t>A</t>
        </is>
      </c>
    </row>
    <row r="529" ht="12.75" customHeight="1" s="123">
      <c r="A529" s="85" t="n">
        <v>527</v>
      </c>
      <c r="B529" s="31" t="inlineStr">
        <is>
          <t>B&amp;P-041-HD06-2RST-ZH</t>
        </is>
      </c>
      <c r="C529" s="50" t="n">
        <v>19</v>
      </c>
      <c r="D529" s="50" t="n">
        <v>0</v>
      </c>
      <c r="E529" s="50" t="n">
        <v>-120</v>
      </c>
      <c r="F529" s="50" t="n">
        <v>72</v>
      </c>
      <c r="G529" s="50" t="n">
        <v>0</v>
      </c>
      <c r="H529" s="50" t="n">
        <v>-13</v>
      </c>
      <c r="I529" s="50" t="n">
        <v>19</v>
      </c>
      <c r="J529" s="50" t="n">
        <v>0</v>
      </c>
      <c r="K529" s="50" t="n">
        <v>-120</v>
      </c>
      <c r="L529" s="50" t="n">
        <v>30</v>
      </c>
      <c r="M529" s="50" t="n">
        <v>0</v>
      </c>
      <c r="N529" s="50" t="n">
        <v>-10</v>
      </c>
      <c r="O529" s="50" t="inlineStr">
        <is>
          <t>C3</t>
        </is>
      </c>
      <c r="P529" s="50" t="n">
        <v>28</v>
      </c>
      <c r="Q529" s="50" t="n">
        <v>13</v>
      </c>
      <c r="R529" s="50" t="inlineStr">
        <is>
          <t>NO</t>
        </is>
      </c>
      <c r="S529" s="50" t="inlineStr">
        <is>
          <t>NO</t>
        </is>
      </c>
      <c r="T529" s="50" t="inlineStr">
        <is>
          <t>NO</t>
        </is>
      </c>
      <c r="U529" s="50" t="n">
        <v>64</v>
      </c>
      <c r="V529" s="50" t="n">
        <v>58</v>
      </c>
      <c r="W529" s="50" t="n">
        <v>64</v>
      </c>
      <c r="X529" s="50" t="n">
        <v>58</v>
      </c>
      <c r="Y529" s="50" t="inlineStr">
        <is>
          <t>9.9- 11.3 gr</t>
        </is>
      </c>
      <c r="Z529" s="50" t="inlineStr">
        <is>
          <t>Polyrex</t>
        </is>
      </c>
      <c r="AA529" s="56" t="inlineStr">
        <is>
          <t>0.12 Nm</t>
        </is>
      </c>
      <c r="AB529" s="56" t="inlineStr">
        <is>
          <t>0.05 Nm</t>
        </is>
      </c>
      <c r="AC529" s="53" t="n">
        <v>45615</v>
      </c>
      <c r="AD529" s="84" t="inlineStr">
        <is>
          <t>B</t>
        </is>
      </c>
    </row>
    <row r="530" ht="12.75" customHeight="1" s="123">
      <c r="A530" s="85" t="n">
        <v>528</v>
      </c>
      <c r="B530" s="31" t="inlineStr">
        <is>
          <t>BPB-041-5208-2RS</t>
        </is>
      </c>
      <c r="C530" s="50" t="n">
        <v>30.163</v>
      </c>
      <c r="D530" s="50" t="n">
        <v>0</v>
      </c>
      <c r="E530" s="50" t="n">
        <v>-120</v>
      </c>
      <c r="F530" s="50" t="n">
        <v>80</v>
      </c>
      <c r="G530" s="50" t="n">
        <v>0</v>
      </c>
      <c r="H530" s="50" t="n">
        <v>-11</v>
      </c>
      <c r="I530" s="50" t="n">
        <v>30.163</v>
      </c>
      <c r="J530" s="50" t="n">
        <v>0</v>
      </c>
      <c r="K530" s="50" t="n">
        <v>-120</v>
      </c>
      <c r="L530" s="50" t="n">
        <v>40</v>
      </c>
      <c r="M530" s="50" t="n">
        <v>0</v>
      </c>
      <c r="N530" s="50" t="n">
        <v>-12</v>
      </c>
      <c r="O530" s="50" t="inlineStr">
        <is>
          <t>NO</t>
        </is>
      </c>
      <c r="P530" s="50" t="inlineStr">
        <is>
          <t>NO</t>
        </is>
      </c>
      <c r="Q530" s="50" t="inlineStr">
        <is>
          <t>NO</t>
        </is>
      </c>
      <c r="R530" s="50" t="inlineStr">
        <is>
          <t>NO</t>
        </is>
      </c>
      <c r="S530" s="50" t="inlineStr">
        <is>
          <t>NO</t>
        </is>
      </c>
      <c r="T530" s="50" t="inlineStr">
        <is>
          <t>NO</t>
        </is>
      </c>
      <c r="U530" s="50" t="inlineStr">
        <is>
          <t>NO</t>
        </is>
      </c>
      <c r="V530" s="50" t="inlineStr">
        <is>
          <t>NO</t>
        </is>
      </c>
      <c r="W530" s="50" t="inlineStr">
        <is>
          <t>NO</t>
        </is>
      </c>
      <c r="X530" s="50" t="inlineStr">
        <is>
          <t>NO</t>
        </is>
      </c>
      <c r="Y530" s="50" t="inlineStr">
        <is>
          <t>NO</t>
        </is>
      </c>
      <c r="Z530" s="50" t="inlineStr">
        <is>
          <t>NO</t>
        </is>
      </c>
      <c r="AA530" s="56" t="inlineStr">
        <is>
          <t>NO</t>
        </is>
      </c>
      <c r="AB530" s="50" t="inlineStr">
        <is>
          <t>NO</t>
        </is>
      </c>
      <c r="AC530" s="84" t="inlineStr">
        <is>
          <t>-</t>
        </is>
      </c>
      <c r="AD530" s="84" t="n">
        <v>0</v>
      </c>
    </row>
    <row r="531" ht="12.75" customHeight="1" s="123">
      <c r="A531" s="85" t="n">
        <v>529</v>
      </c>
      <c r="B531" s="31" t="inlineStr">
        <is>
          <t>B&amp;P-041-LS17-2RS-HLBR</t>
        </is>
      </c>
      <c r="C531" s="50" t="n">
        <v>22</v>
      </c>
      <c r="D531" s="50" t="n">
        <v>0</v>
      </c>
      <c r="E531" s="50" t="n">
        <v>-200</v>
      </c>
      <c r="F531" s="50" t="n">
        <v>130</v>
      </c>
      <c r="G531" s="50" t="n">
        <v>0</v>
      </c>
      <c r="H531" s="50" t="n">
        <v>-18</v>
      </c>
      <c r="I531" s="50" t="n">
        <v>22</v>
      </c>
      <c r="J531" s="50" t="n">
        <v>0</v>
      </c>
      <c r="K531" s="50" t="n">
        <v>-200</v>
      </c>
      <c r="L531" s="50" t="n">
        <v>85</v>
      </c>
      <c r="M531" s="50" t="n">
        <v>0</v>
      </c>
      <c r="N531" s="50" t="n">
        <v>-20</v>
      </c>
      <c r="O531" s="50" t="inlineStr">
        <is>
          <t>C3</t>
        </is>
      </c>
      <c r="P531" s="50" t="n">
        <v>58</v>
      </c>
      <c r="Q531" s="50" t="n">
        <v>30</v>
      </c>
      <c r="R531" s="50" t="inlineStr">
        <is>
          <t>NO</t>
        </is>
      </c>
      <c r="S531" s="50" t="inlineStr">
        <is>
          <t>NO</t>
        </is>
      </c>
      <c r="T531" s="50" t="inlineStr">
        <is>
          <t>NO</t>
        </is>
      </c>
      <c r="U531" s="50" t="n">
        <v>65</v>
      </c>
      <c r="V531" s="50" t="n">
        <v>60</v>
      </c>
      <c r="W531" s="50" t="n">
        <v>65</v>
      </c>
      <c r="X531" s="50" t="n">
        <v>60</v>
      </c>
      <c r="Y531" s="50" t="inlineStr">
        <is>
          <t>25-35%</t>
        </is>
      </c>
      <c r="Z531" s="50" t="inlineStr">
        <is>
          <t>Polyrex</t>
        </is>
      </c>
      <c r="AA531" s="56" t="inlineStr">
        <is>
          <t>standard</t>
        </is>
      </c>
      <c r="AB531" s="50" t="inlineStr">
        <is>
          <t>standard</t>
        </is>
      </c>
      <c r="AC531" s="53" t="n">
        <v>45615</v>
      </c>
      <c r="AD531" s="84" t="inlineStr">
        <is>
          <t>A</t>
        </is>
      </c>
    </row>
    <row r="532" ht="12.75" customHeight="1" s="123">
      <c r="A532" s="85" t="n">
        <v>530</v>
      </c>
      <c r="B532" s="31" t="inlineStr">
        <is>
          <t>B&amp;P-041-LS16-2RS-HLBR</t>
        </is>
      </c>
      <c r="C532" s="50" t="n">
        <v>22</v>
      </c>
      <c r="D532" s="50" t="n">
        <v>0</v>
      </c>
      <c r="E532" s="50" t="n">
        <v>-150</v>
      </c>
      <c r="F532" s="50" t="n">
        <v>125</v>
      </c>
      <c r="G532" s="50" t="n">
        <v>0</v>
      </c>
      <c r="H532" s="50" t="n">
        <v>-18</v>
      </c>
      <c r="I532" s="50" t="n">
        <v>22</v>
      </c>
      <c r="J532" s="50" t="n">
        <v>0</v>
      </c>
      <c r="K532" s="50" t="n">
        <v>-150</v>
      </c>
      <c r="L532" s="50" t="n">
        <v>80</v>
      </c>
      <c r="M532" s="50" t="n">
        <v>0</v>
      </c>
      <c r="N532" s="50" t="n">
        <v>-15</v>
      </c>
      <c r="O532" s="50" t="inlineStr">
        <is>
          <t>C3</t>
        </is>
      </c>
      <c r="P532" s="50" t="n">
        <v>51</v>
      </c>
      <c r="Q532" s="50" t="n">
        <v>25</v>
      </c>
      <c r="R532" s="50" t="inlineStr">
        <is>
          <t>NO</t>
        </is>
      </c>
      <c r="S532" s="50" t="inlineStr">
        <is>
          <t>NO</t>
        </is>
      </c>
      <c r="T532" s="50" t="inlineStr">
        <is>
          <t>NO</t>
        </is>
      </c>
      <c r="U532" s="50" t="n">
        <v>65</v>
      </c>
      <c r="V532" s="50" t="n">
        <v>60</v>
      </c>
      <c r="W532" s="50" t="n">
        <v>65</v>
      </c>
      <c r="X532" s="50" t="n">
        <v>60</v>
      </c>
      <c r="Y532" s="50" t="inlineStr">
        <is>
          <t>25-35%</t>
        </is>
      </c>
      <c r="Z532" s="50" t="inlineStr">
        <is>
          <t>Polyrex</t>
        </is>
      </c>
      <c r="AA532" s="56" t="inlineStr">
        <is>
          <t>0.15 Nm</t>
        </is>
      </c>
      <c r="AB532" s="50" t="inlineStr">
        <is>
          <t>0.09 Nm</t>
        </is>
      </c>
      <c r="AC532" s="53" t="n">
        <v>45615</v>
      </c>
      <c r="AD532" s="84" t="inlineStr">
        <is>
          <t>A</t>
        </is>
      </c>
    </row>
    <row r="533" ht="12.75" customHeight="1" s="123">
      <c r="A533" s="85" t="n">
        <v>531</v>
      </c>
      <c r="B533" s="30" t="inlineStr">
        <is>
          <t>B&amp;P-041-HD12-2RS - ZJFD</t>
        </is>
      </c>
      <c r="C533" s="50" t="n">
        <v>31</v>
      </c>
      <c r="D533" s="50" t="n">
        <v>0</v>
      </c>
      <c r="E533" s="50" t="n">
        <v>-150</v>
      </c>
      <c r="F533" s="50" t="n">
        <v>130</v>
      </c>
      <c r="G533" s="50" t="n">
        <v>0</v>
      </c>
      <c r="H533" s="50" t="n">
        <v>-15</v>
      </c>
      <c r="I533" s="50" t="n">
        <v>31</v>
      </c>
      <c r="J533" s="50" t="n">
        <v>0</v>
      </c>
      <c r="K533" s="50" t="n">
        <v>-150</v>
      </c>
      <c r="L533" s="50" t="n">
        <v>60</v>
      </c>
      <c r="M533" s="50" t="n">
        <v>0</v>
      </c>
      <c r="N533" s="50" t="n">
        <v>-12</v>
      </c>
      <c r="O533" s="50" t="inlineStr">
        <is>
          <t>C3</t>
        </is>
      </c>
      <c r="P533" s="50" t="n">
        <v>40</v>
      </c>
      <c r="Q533" s="50" t="n">
        <v>20</v>
      </c>
      <c r="R533" s="50" t="inlineStr">
        <is>
          <t>NO</t>
        </is>
      </c>
      <c r="S533" s="50" t="inlineStr">
        <is>
          <t>NO</t>
        </is>
      </c>
      <c r="T533" s="50" t="inlineStr">
        <is>
          <t>NO</t>
        </is>
      </c>
      <c r="U533" s="50" t="n">
        <v>65</v>
      </c>
      <c r="V533" s="50" t="n">
        <v>60</v>
      </c>
      <c r="W533" s="50" t="n">
        <v>65</v>
      </c>
      <c r="X533" s="50" t="n">
        <v>60</v>
      </c>
      <c r="Y533" s="50" t="inlineStr">
        <is>
          <t>25-35%</t>
        </is>
      </c>
      <c r="Z533" s="50" t="inlineStr">
        <is>
          <t>Polyrex</t>
        </is>
      </c>
      <c r="AA533" s="56" t="inlineStr">
        <is>
          <t xml:space="preserve">Medium </t>
        </is>
      </c>
      <c r="AB533" s="50" t="inlineStr">
        <is>
          <t>Medium</t>
        </is>
      </c>
      <c r="AC533" s="53" t="n">
        <v>45611</v>
      </c>
      <c r="AD533" s="84" t="inlineStr">
        <is>
          <t>A</t>
        </is>
      </c>
    </row>
    <row r="534" ht="12.75" customHeight="1" s="123">
      <c r="A534" s="85" t="n">
        <v>532</v>
      </c>
      <c r="B534" s="30" t="inlineStr">
        <is>
          <t>B&amp;P-041-MS14-2RS-ZJFD</t>
        </is>
      </c>
      <c r="C534" s="50" t="n">
        <v>24</v>
      </c>
      <c r="D534" s="50" t="n">
        <v>0</v>
      </c>
      <c r="E534" s="50" t="n">
        <v>-150</v>
      </c>
      <c r="F534" s="50" t="n">
        <v>125</v>
      </c>
      <c r="G534" s="50" t="n">
        <v>0</v>
      </c>
      <c r="H534" s="50" t="n">
        <v>-15</v>
      </c>
      <c r="I534" s="50" t="n">
        <v>24</v>
      </c>
      <c r="J534" s="50" t="n">
        <v>0</v>
      </c>
      <c r="K534" s="50" t="n">
        <v>-150</v>
      </c>
      <c r="L534" s="50" t="n">
        <v>70</v>
      </c>
      <c r="M534" s="50" t="n">
        <v>0</v>
      </c>
      <c r="N534" s="50" t="n">
        <v>-12</v>
      </c>
      <c r="O534" s="50" t="inlineStr">
        <is>
          <t>C3</t>
        </is>
      </c>
      <c r="P534" s="50" t="n">
        <v>51</v>
      </c>
      <c r="Q534" s="50" t="n">
        <v>25</v>
      </c>
      <c r="R534" s="50" t="inlineStr">
        <is>
          <t>NO</t>
        </is>
      </c>
      <c r="S534" s="50" t="inlineStr">
        <is>
          <t>NO</t>
        </is>
      </c>
      <c r="T534" s="50" t="inlineStr">
        <is>
          <t>NO</t>
        </is>
      </c>
      <c r="U534" s="50" t="n">
        <v>65</v>
      </c>
      <c r="V534" s="50" t="n">
        <v>60</v>
      </c>
      <c r="W534" s="50" t="n">
        <v>65</v>
      </c>
      <c r="X534" s="50" t="n">
        <v>60</v>
      </c>
      <c r="Y534" s="50" t="inlineStr">
        <is>
          <t>25-35%</t>
        </is>
      </c>
      <c r="Z534" s="50" t="inlineStr">
        <is>
          <t>Polyrex</t>
        </is>
      </c>
      <c r="AA534" s="56" t="inlineStr">
        <is>
          <t xml:space="preserve">Medium </t>
        </is>
      </c>
      <c r="AB534" s="50" t="inlineStr">
        <is>
          <t>Medium</t>
        </is>
      </c>
      <c r="AC534" s="53" t="n">
        <v>45611</v>
      </c>
      <c r="AD534" s="84" t="inlineStr">
        <is>
          <t>A</t>
        </is>
      </c>
    </row>
    <row r="535" ht="12.75" customHeight="1" s="123">
      <c r="A535" s="85" t="n">
        <v>533</v>
      </c>
      <c r="B535" s="31" t="inlineStr">
        <is>
          <t>B&amp;P-041-6803-2RS-YS</t>
        </is>
      </c>
      <c r="C535" s="50" t="n">
        <v>5</v>
      </c>
      <c r="D535" s="50" t="n">
        <v>0</v>
      </c>
      <c r="E535" s="50" t="n">
        <v>-120</v>
      </c>
      <c r="F535" s="50" t="n">
        <v>26</v>
      </c>
      <c r="G535" s="50" t="n">
        <v>0</v>
      </c>
      <c r="H535" s="50" t="n">
        <v>-9</v>
      </c>
      <c r="I535" s="50" t="n">
        <v>5</v>
      </c>
      <c r="J535" s="50" t="n">
        <v>0</v>
      </c>
      <c r="K535" s="50" t="n">
        <v>-120</v>
      </c>
      <c r="L535" s="50" t="n">
        <v>17</v>
      </c>
      <c r="M535" s="50" t="n">
        <v>0</v>
      </c>
      <c r="N535" s="50" t="n">
        <v>-7</v>
      </c>
      <c r="O535" s="50" t="inlineStr">
        <is>
          <t>C0</t>
        </is>
      </c>
      <c r="P535" s="50" t="n">
        <v>18</v>
      </c>
      <c r="Q535" s="50" t="n">
        <v>3</v>
      </c>
      <c r="R535" s="50" t="inlineStr">
        <is>
          <t>NO</t>
        </is>
      </c>
      <c r="S535" s="50" t="inlineStr">
        <is>
          <t>NO</t>
        </is>
      </c>
      <c r="T535" s="50" t="inlineStr">
        <is>
          <t>NO</t>
        </is>
      </c>
      <c r="U535" s="50" t="n">
        <v>64</v>
      </c>
      <c r="V535" s="50" t="n">
        <v>60</v>
      </c>
      <c r="W535" s="50" t="n">
        <v>64</v>
      </c>
      <c r="X535" s="50" t="n">
        <v>60</v>
      </c>
      <c r="Y535" s="50" t="inlineStr">
        <is>
          <t>25-35%</t>
        </is>
      </c>
      <c r="Z535" s="50" t="inlineStr">
        <is>
          <t>Polyrex</t>
        </is>
      </c>
      <c r="AA535" s="56" t="inlineStr">
        <is>
          <t>standard</t>
        </is>
      </c>
      <c r="AB535" s="50" t="inlineStr">
        <is>
          <t>standard</t>
        </is>
      </c>
      <c r="AC535" s="53" t="n">
        <v>45516</v>
      </c>
      <c r="AD535" s="84" t="n">
        <v>0</v>
      </c>
    </row>
    <row r="536" ht="12.75" customHeight="1" s="123">
      <c r="A536" s="85" t="n">
        <v>534</v>
      </c>
      <c r="B536" s="31" t="inlineStr">
        <is>
          <t>B&amp;P-041-MS06-2RLD-YS</t>
        </is>
      </c>
      <c r="C536" s="50" t="n">
        <v>16</v>
      </c>
      <c r="D536" s="50" t="n">
        <v>0</v>
      </c>
      <c r="E536" s="50" t="n">
        <v>-120</v>
      </c>
      <c r="F536" s="50" t="n">
        <v>62</v>
      </c>
      <c r="G536" s="50" t="n">
        <v>0</v>
      </c>
      <c r="H536" s="50" t="n">
        <v>-11</v>
      </c>
      <c r="I536" s="50" t="n">
        <v>16</v>
      </c>
      <c r="J536" s="50" t="n">
        <v>0</v>
      </c>
      <c r="K536" s="50" t="n">
        <v>-120</v>
      </c>
      <c r="L536" s="50" t="n">
        <v>30</v>
      </c>
      <c r="M536" s="50" t="n">
        <v>0</v>
      </c>
      <c r="N536" s="50" t="n">
        <v>-8</v>
      </c>
      <c r="O536" s="50" t="inlineStr">
        <is>
          <t>C3</t>
        </is>
      </c>
      <c r="P536" s="50" t="n">
        <v>28</v>
      </c>
      <c r="Q536" s="50" t="n">
        <v>13</v>
      </c>
      <c r="R536" s="50" t="inlineStr">
        <is>
          <t>NO</t>
        </is>
      </c>
      <c r="S536" s="50" t="inlineStr">
        <is>
          <t>NO</t>
        </is>
      </c>
      <c r="T536" s="50" t="inlineStr">
        <is>
          <t>NO</t>
        </is>
      </c>
      <c r="U536" s="50" t="n">
        <v>65</v>
      </c>
      <c r="V536" s="50" t="n">
        <v>60</v>
      </c>
      <c r="W536" s="50" t="n">
        <v>65</v>
      </c>
      <c r="X536" s="50" t="n">
        <v>60</v>
      </c>
      <c r="Y536" s="50" t="inlineStr">
        <is>
          <t>25-35%</t>
        </is>
      </c>
      <c r="Z536" s="50" t="inlineStr">
        <is>
          <t>Polyrex</t>
        </is>
      </c>
      <c r="AA536" s="56" t="inlineStr">
        <is>
          <t>0.12 Nm</t>
        </is>
      </c>
      <c r="AB536" s="50" t="inlineStr">
        <is>
          <t>0.02 Nm</t>
        </is>
      </c>
      <c r="AC536" s="53" t="n">
        <v>45594</v>
      </c>
      <c r="AD536" s="84" t="inlineStr">
        <is>
          <t>B</t>
        </is>
      </c>
    </row>
    <row r="537" ht="12.75" customHeight="1" s="123">
      <c r="A537" s="85" t="n">
        <v>535</v>
      </c>
      <c r="B537" s="31" t="inlineStr">
        <is>
          <t>B&amp;P-041-HD01-2RLD-YS</t>
        </is>
      </c>
      <c r="C537" s="50" t="n">
        <v>12</v>
      </c>
      <c r="D537" s="50" t="n">
        <v>0</v>
      </c>
      <c r="E537" s="50" t="n">
        <v>-120</v>
      </c>
      <c r="F537" s="50" t="n">
        <v>37</v>
      </c>
      <c r="G537" s="50" t="n">
        <v>0</v>
      </c>
      <c r="H537" s="50" t="n">
        <v>-11</v>
      </c>
      <c r="I537" s="50" t="n">
        <v>12</v>
      </c>
      <c r="J537" s="50" t="n">
        <v>0</v>
      </c>
      <c r="K537" s="50" t="n">
        <v>-120</v>
      </c>
      <c r="L537" s="50" t="n">
        <v>12</v>
      </c>
      <c r="M537" s="50" t="n">
        <v>0</v>
      </c>
      <c r="N537" s="50" t="n">
        <v>-8</v>
      </c>
      <c r="O537" s="50" t="inlineStr">
        <is>
          <t>C3</t>
        </is>
      </c>
      <c r="P537" s="50" t="n">
        <v>25</v>
      </c>
      <c r="Q537" s="50" t="n">
        <v>11</v>
      </c>
      <c r="R537" s="50" t="inlineStr">
        <is>
          <t>NO</t>
        </is>
      </c>
      <c r="S537" s="50" t="inlineStr">
        <is>
          <t>NO</t>
        </is>
      </c>
      <c r="T537" s="50" t="inlineStr">
        <is>
          <t>NO</t>
        </is>
      </c>
      <c r="U537" s="50" t="n">
        <v>65</v>
      </c>
      <c r="V537" s="50" t="n">
        <v>60</v>
      </c>
      <c r="W537" s="50" t="n">
        <v>65</v>
      </c>
      <c r="X537" s="50" t="n">
        <v>60</v>
      </c>
      <c r="Y537" s="50" t="inlineStr">
        <is>
          <t>25-35%</t>
        </is>
      </c>
      <c r="Z537" s="50" t="inlineStr">
        <is>
          <t>Polyrex</t>
        </is>
      </c>
      <c r="AA537" s="56" t="inlineStr">
        <is>
          <t>0.025 Nm</t>
        </is>
      </c>
      <c r="AB537" s="50" t="inlineStr">
        <is>
          <t>0.010 Nm</t>
        </is>
      </c>
      <c r="AC537" s="53" t="n">
        <v>45504</v>
      </c>
      <c r="AD537" s="84" t="n">
        <v>0</v>
      </c>
    </row>
    <row r="538" ht="12.75" customHeight="1" s="123">
      <c r="A538" s="85" t="n">
        <v>536</v>
      </c>
      <c r="B538" s="31" t="inlineStr">
        <is>
          <t>B&amp;P-041-MS01-2RLD-YS</t>
        </is>
      </c>
      <c r="C538" s="50" t="n">
        <v>10</v>
      </c>
      <c r="D538" s="50" t="n">
        <v>0</v>
      </c>
      <c r="E538" s="50" t="n">
        <v>-120</v>
      </c>
      <c r="F538" s="50" t="n">
        <v>32</v>
      </c>
      <c r="G538" s="50" t="n">
        <v>0</v>
      </c>
      <c r="H538" s="50" t="n">
        <v>-9</v>
      </c>
      <c r="I538" s="50" t="n">
        <v>10</v>
      </c>
      <c r="J538" s="50" t="n">
        <v>0</v>
      </c>
      <c r="K538" s="50" t="n">
        <v>-120</v>
      </c>
      <c r="L538" s="50" t="n">
        <v>12</v>
      </c>
      <c r="M538" s="50" t="n">
        <v>0</v>
      </c>
      <c r="N538" s="50" t="n">
        <v>-7</v>
      </c>
      <c r="O538" s="50" t="inlineStr">
        <is>
          <t>C3</t>
        </is>
      </c>
      <c r="P538" s="50" t="n">
        <v>25</v>
      </c>
      <c r="Q538" s="50" t="n">
        <v>11</v>
      </c>
      <c r="R538" s="50" t="inlineStr">
        <is>
          <t>NO</t>
        </is>
      </c>
      <c r="S538" s="50" t="inlineStr">
        <is>
          <t>NO</t>
        </is>
      </c>
      <c r="T538" s="50" t="inlineStr">
        <is>
          <t>NO</t>
        </is>
      </c>
      <c r="U538" s="50" t="n">
        <v>65</v>
      </c>
      <c r="V538" s="50" t="n">
        <v>60</v>
      </c>
      <c r="W538" s="50" t="n">
        <v>65</v>
      </c>
      <c r="X538" s="50" t="n">
        <v>60</v>
      </c>
      <c r="Y538" s="50" t="inlineStr">
        <is>
          <t>25-35%</t>
        </is>
      </c>
      <c r="Z538" s="50" t="inlineStr">
        <is>
          <t>Polyrex</t>
        </is>
      </c>
      <c r="AA538" s="56" t="inlineStr">
        <is>
          <t>0.04 Nm</t>
        </is>
      </c>
      <c r="AB538" s="50" t="inlineStr">
        <is>
          <t>0.012 Nm</t>
        </is>
      </c>
      <c r="AC538" s="53" t="n">
        <v>45504</v>
      </c>
      <c r="AD538" s="84" t="n">
        <v>0</v>
      </c>
    </row>
    <row r="539">
      <c r="A539" s="85" t="n">
        <v>537</v>
      </c>
      <c r="B539" s="31" t="inlineStr">
        <is>
          <t>BPB-041-608-ZZ-YS</t>
        </is>
      </c>
      <c r="C539" s="50" t="n">
        <v>7</v>
      </c>
      <c r="D539" s="50" t="n">
        <v>0</v>
      </c>
      <c r="E539" s="50" t="n">
        <v>-120</v>
      </c>
      <c r="F539" s="50" t="n">
        <v>22</v>
      </c>
      <c r="G539" s="50" t="n">
        <v>0</v>
      </c>
      <c r="H539" s="50" t="n">
        <v>-9</v>
      </c>
      <c r="I539" s="50" t="n">
        <v>7</v>
      </c>
      <c r="J539" s="50" t="n">
        <v>0</v>
      </c>
      <c r="K539" s="50" t="n">
        <v>-120</v>
      </c>
      <c r="L539" s="50" t="n">
        <v>8</v>
      </c>
      <c r="M539" s="50" t="n">
        <v>0</v>
      </c>
      <c r="N539" s="50" t="n">
        <v>-8</v>
      </c>
      <c r="O539" s="50" t="inlineStr">
        <is>
          <t>C3</t>
        </is>
      </c>
      <c r="P539" s="50" t="n">
        <v>23</v>
      </c>
      <c r="Q539" s="50" t="n">
        <v>8</v>
      </c>
      <c r="R539" s="50" t="inlineStr">
        <is>
          <t>NO</t>
        </is>
      </c>
      <c r="S539" s="50" t="inlineStr">
        <is>
          <t>NO</t>
        </is>
      </c>
      <c r="T539" s="50" t="inlineStr">
        <is>
          <t>NO</t>
        </is>
      </c>
      <c r="U539" s="50" t="n">
        <v>64</v>
      </c>
      <c r="V539" s="50" t="n">
        <v>58</v>
      </c>
      <c r="W539" s="50" t="n">
        <v>64</v>
      </c>
      <c r="X539" s="50" t="n">
        <v>58</v>
      </c>
      <c r="Y539" s="50" t="inlineStr">
        <is>
          <t>0.245gr-0.175gr</t>
        </is>
      </c>
      <c r="Z539" s="50" t="inlineStr">
        <is>
          <t>Polyrex</t>
        </is>
      </c>
      <c r="AA539" s="56" t="inlineStr">
        <is>
          <t>-</t>
        </is>
      </c>
      <c r="AB539" s="50" t="inlineStr">
        <is>
          <t>-</t>
        </is>
      </c>
      <c r="AC539" s="53" t="n">
        <v>45733</v>
      </c>
      <c r="AD539" s="84" t="inlineStr">
        <is>
          <t>B</t>
        </is>
      </c>
    </row>
    <row r="540">
      <c r="A540" s="85" t="n">
        <v>538</v>
      </c>
      <c r="B540" s="31" t="inlineStr">
        <is>
          <t>BPB-041-609-2RLD-YS</t>
        </is>
      </c>
      <c r="C540" s="50" t="n">
        <v>7</v>
      </c>
      <c r="D540" s="50" t="n">
        <v>0</v>
      </c>
      <c r="E540" s="50" t="n">
        <v>-120</v>
      </c>
      <c r="F540" s="50" t="n">
        <v>24</v>
      </c>
      <c r="G540" s="50" t="n">
        <v>0</v>
      </c>
      <c r="H540" s="50" t="n">
        <v>-9</v>
      </c>
      <c r="I540" s="50" t="n">
        <v>7</v>
      </c>
      <c r="J540" s="50" t="n">
        <v>0</v>
      </c>
      <c r="K540" s="50" t="n">
        <v>-120</v>
      </c>
      <c r="L540" s="50" t="n">
        <v>9</v>
      </c>
      <c r="M540" s="50" t="n">
        <v>0</v>
      </c>
      <c r="N540" s="50" t="n">
        <v>-8</v>
      </c>
      <c r="O540" s="50" t="inlineStr">
        <is>
          <t>C3</t>
        </is>
      </c>
      <c r="P540" s="50" t="n">
        <v>23</v>
      </c>
      <c r="Q540" s="50" t="n">
        <v>8</v>
      </c>
      <c r="R540" s="50" t="inlineStr">
        <is>
          <t>NO</t>
        </is>
      </c>
      <c r="S540" s="50" t="inlineStr">
        <is>
          <t>NO</t>
        </is>
      </c>
      <c r="T540" s="50" t="inlineStr">
        <is>
          <t>NO</t>
        </is>
      </c>
      <c r="U540" s="50" t="n">
        <v>64</v>
      </c>
      <c r="V540" s="50" t="n">
        <v>58</v>
      </c>
      <c r="W540" s="50" t="n">
        <v>64</v>
      </c>
      <c r="X540" s="50" t="n">
        <v>58</v>
      </c>
      <c r="Y540" s="50" t="inlineStr">
        <is>
          <t>25-35%</t>
        </is>
      </c>
      <c r="Z540" s="50" t="inlineStr">
        <is>
          <t>Polyrex</t>
        </is>
      </c>
      <c r="AA540" s="56" t="inlineStr">
        <is>
          <t>0.03 Nm</t>
        </is>
      </c>
      <c r="AB540" s="50" t="inlineStr">
        <is>
          <t>0.004 Nm</t>
        </is>
      </c>
      <c r="AC540" s="53" t="n">
        <v>45756</v>
      </c>
      <c r="AD540" s="84" t="inlineStr">
        <is>
          <t>C</t>
        </is>
      </c>
    </row>
    <row r="541">
      <c r="A541" s="85" t="n">
        <v>539</v>
      </c>
      <c r="B541" s="31" t="inlineStr">
        <is>
          <t>BPB-041-609-ZZ-YS</t>
        </is>
      </c>
      <c r="C541" s="50" t="n">
        <v>7</v>
      </c>
      <c r="D541" s="50" t="n">
        <v>0</v>
      </c>
      <c r="E541" s="50" t="n">
        <v>-120</v>
      </c>
      <c r="F541" s="50" t="n">
        <v>24</v>
      </c>
      <c r="G541" s="50" t="n">
        <v>0</v>
      </c>
      <c r="H541" s="50" t="n">
        <v>-8</v>
      </c>
      <c r="I541" s="50" t="n">
        <v>7</v>
      </c>
      <c r="J541" s="50" t="n">
        <v>0</v>
      </c>
      <c r="K541" s="50" t="n">
        <v>-120</v>
      </c>
      <c r="L541" s="50" t="n">
        <v>9</v>
      </c>
      <c r="M541" s="50" t="n">
        <v>0</v>
      </c>
      <c r="N541" s="50" t="n">
        <v>-7</v>
      </c>
      <c r="O541" s="50" t="inlineStr">
        <is>
          <t>C3</t>
        </is>
      </c>
      <c r="P541" s="50" t="n">
        <v>23</v>
      </c>
      <c r="Q541" s="50" t="n">
        <v>8</v>
      </c>
      <c r="R541" s="50" t="inlineStr">
        <is>
          <t>NO</t>
        </is>
      </c>
      <c r="S541" s="50" t="inlineStr">
        <is>
          <t>NO</t>
        </is>
      </c>
      <c r="T541" s="50" t="inlineStr">
        <is>
          <t>NO</t>
        </is>
      </c>
      <c r="U541" s="50" t="n">
        <v>64</v>
      </c>
      <c r="V541" s="50" t="n">
        <v>58</v>
      </c>
      <c r="W541" s="50" t="n">
        <v>64</v>
      </c>
      <c r="X541" s="50" t="n">
        <v>58</v>
      </c>
      <c r="Y541" s="50" t="inlineStr">
        <is>
          <t>25-35%</t>
        </is>
      </c>
      <c r="Z541" s="50" t="inlineStr">
        <is>
          <t>Polyrex</t>
        </is>
      </c>
      <c r="AA541" s="56" t="inlineStr">
        <is>
          <t>-</t>
        </is>
      </c>
      <c r="AB541" s="50" t="inlineStr">
        <is>
          <t>-</t>
        </is>
      </c>
      <c r="AC541" s="53" t="n">
        <v>45618</v>
      </c>
      <c r="AD541" s="84" t="inlineStr">
        <is>
          <t>B</t>
        </is>
      </c>
    </row>
    <row r="542">
      <c r="A542" s="85" t="n">
        <v>540</v>
      </c>
      <c r="B542" s="31" t="inlineStr">
        <is>
          <t>B&amp;P-041-MS05-2RLD-YS</t>
        </is>
      </c>
      <c r="C542" s="50" t="n">
        <v>15</v>
      </c>
      <c r="D542" s="50" t="n">
        <v>0</v>
      </c>
      <c r="E542" s="50" t="n">
        <v>-120</v>
      </c>
      <c r="F542" s="50" t="n">
        <v>52</v>
      </c>
      <c r="G542" s="50" t="n">
        <v>0</v>
      </c>
      <c r="H542" s="50" t="n">
        <v>-11</v>
      </c>
      <c r="I542" s="50" t="n">
        <v>15</v>
      </c>
      <c r="J542" s="50" t="n">
        <v>0</v>
      </c>
      <c r="K542" s="50" t="n">
        <v>-120</v>
      </c>
      <c r="L542" s="50" t="n">
        <v>25</v>
      </c>
      <c r="M542" s="50" t="n">
        <v>0</v>
      </c>
      <c r="N542" s="50" t="n">
        <v>-8</v>
      </c>
      <c r="O542" s="56" t="inlineStr">
        <is>
          <t>C3</t>
        </is>
      </c>
      <c r="P542" s="50" t="n">
        <v>28</v>
      </c>
      <c r="Q542" s="50" t="n">
        <v>13</v>
      </c>
      <c r="R542" s="56" t="inlineStr">
        <is>
          <t>NO</t>
        </is>
      </c>
      <c r="S542" s="56" t="inlineStr">
        <is>
          <t>NO</t>
        </is>
      </c>
      <c r="T542" s="56" t="inlineStr">
        <is>
          <t>NO</t>
        </is>
      </c>
      <c r="U542" s="50" t="n">
        <v>65</v>
      </c>
      <c r="V542" s="50" t="n">
        <v>60</v>
      </c>
      <c r="W542" s="50" t="n">
        <v>65</v>
      </c>
      <c r="X542" s="50" t="n">
        <v>60</v>
      </c>
      <c r="Y542" s="56" t="inlineStr">
        <is>
          <t>25-35%</t>
        </is>
      </c>
      <c r="Z542" s="56" t="inlineStr">
        <is>
          <t>Polyrex</t>
        </is>
      </c>
      <c r="AA542" s="56" t="inlineStr">
        <is>
          <t>STANDARD</t>
        </is>
      </c>
      <c r="AB542" s="56" t="inlineStr">
        <is>
          <t>STANDARD</t>
        </is>
      </c>
      <c r="AC542" s="53" t="n">
        <v>45882</v>
      </c>
      <c r="AD542" s="76" t="inlineStr">
        <is>
          <t>A</t>
        </is>
      </c>
    </row>
    <row r="543">
      <c r="A543" s="85" t="n">
        <v>541</v>
      </c>
      <c r="B543" s="31" t="inlineStr">
        <is>
          <t>B&amp;P-041-MS02-2RLD-YS</t>
        </is>
      </c>
      <c r="C543" s="50" t="n">
        <v>11</v>
      </c>
      <c r="D543" s="50" t="n">
        <v>0</v>
      </c>
      <c r="E543" s="50" t="n">
        <v>-120</v>
      </c>
      <c r="F543" s="50" t="n">
        <v>35</v>
      </c>
      <c r="G543" s="50" t="n">
        <v>0</v>
      </c>
      <c r="H543" s="50" t="n">
        <v>-9</v>
      </c>
      <c r="I543" s="50" t="n">
        <v>11</v>
      </c>
      <c r="J543" s="50" t="n">
        <v>0</v>
      </c>
      <c r="K543" s="50" t="n">
        <v>-120</v>
      </c>
      <c r="L543" s="50" t="n">
        <v>15</v>
      </c>
      <c r="M543" s="50" t="n">
        <v>0</v>
      </c>
      <c r="N543" s="50" t="n">
        <v>-7</v>
      </c>
      <c r="O543" s="50" t="inlineStr">
        <is>
          <t>C3</t>
        </is>
      </c>
      <c r="P543" s="50" t="n">
        <v>25</v>
      </c>
      <c r="Q543" s="50" t="n">
        <v>11</v>
      </c>
      <c r="R543" s="50" t="inlineStr">
        <is>
          <t>NO</t>
        </is>
      </c>
      <c r="S543" s="50" t="inlineStr">
        <is>
          <t>NO</t>
        </is>
      </c>
      <c r="T543" s="50" t="inlineStr">
        <is>
          <t>NO</t>
        </is>
      </c>
      <c r="U543" s="50" t="n">
        <v>65</v>
      </c>
      <c r="V543" s="50" t="n">
        <v>60</v>
      </c>
      <c r="W543" s="50" t="n">
        <v>65</v>
      </c>
      <c r="X543" s="50" t="n">
        <v>60</v>
      </c>
      <c r="Y543" s="50" t="inlineStr">
        <is>
          <t>30-40%</t>
        </is>
      </c>
      <c r="Z543" s="50" t="inlineStr">
        <is>
          <t>Polyrex</t>
        </is>
      </c>
      <c r="AA543" s="56" t="inlineStr">
        <is>
          <t>STANDARD</t>
        </is>
      </c>
      <c r="AB543" s="50" t="inlineStr">
        <is>
          <t>STANDARD</t>
        </is>
      </c>
      <c r="AC543" s="53" t="n">
        <v>44211</v>
      </c>
      <c r="AD543" s="84" t="n">
        <v>0</v>
      </c>
    </row>
    <row r="544">
      <c r="A544" s="85" t="n">
        <v>542</v>
      </c>
      <c r="B544" s="31" t="inlineStr">
        <is>
          <t>B&amp;P-041-LS01-2RLD-YS</t>
        </is>
      </c>
      <c r="C544" s="50" t="n">
        <v>8</v>
      </c>
      <c r="D544" s="50" t="n">
        <v>0</v>
      </c>
      <c r="E544" s="50" t="n">
        <v>-120</v>
      </c>
      <c r="F544" s="50" t="n">
        <v>28</v>
      </c>
      <c r="G544" s="50" t="n">
        <v>0</v>
      </c>
      <c r="H544" s="50" t="n">
        <v>-9</v>
      </c>
      <c r="I544" s="50" t="n">
        <v>8</v>
      </c>
      <c r="J544" s="50" t="n">
        <v>0</v>
      </c>
      <c r="K544" s="50" t="n">
        <v>-120</v>
      </c>
      <c r="L544" s="50" t="n">
        <v>12</v>
      </c>
      <c r="M544" s="50" t="n">
        <v>0</v>
      </c>
      <c r="N544" s="50" t="n">
        <v>-8</v>
      </c>
      <c r="O544" s="50" t="inlineStr">
        <is>
          <t>C3</t>
        </is>
      </c>
      <c r="P544" s="50" t="n">
        <v>25</v>
      </c>
      <c r="Q544" s="50" t="n">
        <v>11</v>
      </c>
      <c r="R544" s="50" t="inlineStr">
        <is>
          <t>NO</t>
        </is>
      </c>
      <c r="S544" s="50" t="inlineStr">
        <is>
          <t>NO</t>
        </is>
      </c>
      <c r="T544" s="50" t="inlineStr">
        <is>
          <t>NO</t>
        </is>
      </c>
      <c r="U544" s="50" t="n">
        <v>65</v>
      </c>
      <c r="V544" s="50" t="n">
        <v>60</v>
      </c>
      <c r="W544" s="50" t="n">
        <v>65</v>
      </c>
      <c r="X544" s="50" t="n">
        <v>60</v>
      </c>
      <c r="Y544" s="50" t="inlineStr">
        <is>
          <t>25-35%</t>
        </is>
      </c>
      <c r="Z544" s="50" t="inlineStr">
        <is>
          <t>Polyrex</t>
        </is>
      </c>
      <c r="AA544" s="56" t="inlineStr">
        <is>
          <t>0.03 Nm</t>
        </is>
      </c>
      <c r="AB544" s="50" t="inlineStr">
        <is>
          <t>0.004 Nm</t>
        </is>
      </c>
      <c r="AC544" s="53" t="n">
        <v>45559</v>
      </c>
      <c r="AD544" s="84" t="inlineStr">
        <is>
          <t>A</t>
        </is>
      </c>
    </row>
    <row r="545">
      <c r="A545" s="85" t="n">
        <v>543</v>
      </c>
      <c r="B545" s="31" t="inlineStr">
        <is>
          <t>B&amp;P-041-LS02-2RLD-YS</t>
        </is>
      </c>
      <c r="C545" s="50" t="n">
        <v>9</v>
      </c>
      <c r="D545" s="50" t="n">
        <v>0</v>
      </c>
      <c r="E545" s="50" t="n">
        <v>-120</v>
      </c>
      <c r="F545" s="50" t="n">
        <v>32</v>
      </c>
      <c r="G545" s="50" t="n">
        <v>0</v>
      </c>
      <c r="H545" s="50" t="n">
        <v>-11</v>
      </c>
      <c r="I545" s="50" t="n">
        <v>9</v>
      </c>
      <c r="J545" s="50" t="n">
        <v>0</v>
      </c>
      <c r="K545" s="50" t="n">
        <v>-120</v>
      </c>
      <c r="L545" s="50" t="n">
        <v>15</v>
      </c>
      <c r="M545" s="50" t="n">
        <v>0</v>
      </c>
      <c r="N545" s="50" t="n">
        <v>-8</v>
      </c>
      <c r="O545" s="50" t="inlineStr">
        <is>
          <t>C3</t>
        </is>
      </c>
      <c r="P545" s="50" t="n">
        <v>25</v>
      </c>
      <c r="Q545" s="50" t="n">
        <v>11</v>
      </c>
      <c r="R545" s="50" t="inlineStr">
        <is>
          <t>NO</t>
        </is>
      </c>
      <c r="S545" s="50" t="inlineStr">
        <is>
          <t>NO</t>
        </is>
      </c>
      <c r="T545" s="50" t="inlineStr">
        <is>
          <t>NO</t>
        </is>
      </c>
      <c r="U545" s="50" t="n">
        <v>65</v>
      </c>
      <c r="V545" s="50" t="n">
        <v>60</v>
      </c>
      <c r="W545" s="50" t="n">
        <v>65</v>
      </c>
      <c r="X545" s="50" t="n">
        <v>60</v>
      </c>
      <c r="Y545" s="50" t="inlineStr">
        <is>
          <t>25-35%</t>
        </is>
      </c>
      <c r="Z545" s="50" t="inlineStr">
        <is>
          <t>Polyrex</t>
        </is>
      </c>
      <c r="AA545" s="56" t="inlineStr">
        <is>
          <t>0.075 Nm</t>
        </is>
      </c>
      <c r="AB545" s="50" t="inlineStr">
        <is>
          <t>0.005 Nm</t>
        </is>
      </c>
      <c r="AC545" s="53" t="n">
        <v>42286</v>
      </c>
      <c r="AD545" s="84" t="n">
        <v>0</v>
      </c>
    </row>
    <row r="546">
      <c r="A546" s="85" t="n">
        <v>544</v>
      </c>
      <c r="B546" s="31" t="inlineStr">
        <is>
          <t>B&amp;P-041-LS04-2RLD-YS</t>
        </is>
      </c>
      <c r="C546" s="50" t="n">
        <v>12</v>
      </c>
      <c r="D546" s="50" t="n">
        <v>0</v>
      </c>
      <c r="E546" s="50" t="n">
        <v>-120</v>
      </c>
      <c r="F546" s="50" t="n">
        <v>42</v>
      </c>
      <c r="G546" s="50" t="n">
        <v>0</v>
      </c>
      <c r="H546" s="50" t="n">
        <v>-11</v>
      </c>
      <c r="I546" s="50" t="n">
        <v>12</v>
      </c>
      <c r="J546" s="50" t="n">
        <v>0</v>
      </c>
      <c r="K546" s="50" t="n">
        <v>-120</v>
      </c>
      <c r="L546" s="50" t="n">
        <v>20</v>
      </c>
      <c r="M546" s="50" t="n">
        <v>0</v>
      </c>
      <c r="N546" s="50" t="n">
        <v>-10</v>
      </c>
      <c r="O546" s="50" t="inlineStr">
        <is>
          <t>C3</t>
        </is>
      </c>
      <c r="P546" s="50" t="n">
        <v>28</v>
      </c>
      <c r="Q546" s="50" t="n">
        <v>13</v>
      </c>
      <c r="R546" s="50" t="inlineStr">
        <is>
          <t>NO</t>
        </is>
      </c>
      <c r="S546" s="50" t="inlineStr">
        <is>
          <t>NO</t>
        </is>
      </c>
      <c r="T546" s="50" t="inlineStr">
        <is>
          <t>NO</t>
        </is>
      </c>
      <c r="U546" s="50" t="n">
        <v>65</v>
      </c>
      <c r="V546" s="50" t="n">
        <v>60</v>
      </c>
      <c r="W546" s="50" t="n">
        <v>65</v>
      </c>
      <c r="X546" s="50" t="n">
        <v>60</v>
      </c>
      <c r="Y546" s="50" t="inlineStr">
        <is>
          <t>30-40%</t>
        </is>
      </c>
      <c r="Z546" s="50" t="inlineStr">
        <is>
          <t>Polyrex</t>
        </is>
      </c>
      <c r="AA546" s="56" t="inlineStr">
        <is>
          <t>STANDARD</t>
        </is>
      </c>
      <c r="AB546" s="50" t="inlineStr">
        <is>
          <t>STANDARD</t>
        </is>
      </c>
      <c r="AC546" s="53" t="n">
        <v>45517</v>
      </c>
      <c r="AD546" s="84" t="inlineStr">
        <is>
          <t>A</t>
        </is>
      </c>
    </row>
    <row r="547">
      <c r="A547" s="85" t="n">
        <v>545</v>
      </c>
      <c r="B547" s="31" t="inlineStr">
        <is>
          <t>B&amp;P-041-MS00-2RLD-YS</t>
        </is>
      </c>
      <c r="C547" s="50" t="n">
        <v>9</v>
      </c>
      <c r="D547" s="50" t="n">
        <v>0</v>
      </c>
      <c r="E547" s="50" t="n">
        <v>-120</v>
      </c>
      <c r="F547" s="50" t="n">
        <v>30</v>
      </c>
      <c r="G547" s="50" t="n">
        <v>0</v>
      </c>
      <c r="H547" s="50" t="n">
        <v>-8</v>
      </c>
      <c r="I547" s="50" t="n">
        <v>9</v>
      </c>
      <c r="J547" s="50" t="n">
        <v>0</v>
      </c>
      <c r="K547" s="50" t="n">
        <v>-120</v>
      </c>
      <c r="L547" s="50" t="n">
        <v>10</v>
      </c>
      <c r="M547" s="50" t="n">
        <v>0</v>
      </c>
      <c r="N547" s="50" t="n">
        <v>-7</v>
      </c>
      <c r="O547" s="50" t="inlineStr">
        <is>
          <t>C3</t>
        </is>
      </c>
      <c r="P547" s="50" t="n">
        <v>23</v>
      </c>
      <c r="Q547" s="50" t="n">
        <v>8</v>
      </c>
      <c r="R547" s="50" t="inlineStr">
        <is>
          <t>NO</t>
        </is>
      </c>
      <c r="S547" s="50" t="inlineStr">
        <is>
          <t>NO</t>
        </is>
      </c>
      <c r="T547" s="50" t="inlineStr">
        <is>
          <t>NO</t>
        </is>
      </c>
      <c r="U547" s="50" t="n">
        <v>65</v>
      </c>
      <c r="V547" s="50" t="n">
        <v>60</v>
      </c>
      <c r="W547" s="50" t="n">
        <v>65</v>
      </c>
      <c r="X547" s="50" t="n">
        <v>60</v>
      </c>
      <c r="Y547" s="50" t="inlineStr">
        <is>
          <t>25-35%</t>
        </is>
      </c>
      <c r="Z547" s="50" t="inlineStr">
        <is>
          <t>Polyrex</t>
        </is>
      </c>
      <c r="AA547" s="56" t="inlineStr">
        <is>
          <t>0.04 Nm</t>
        </is>
      </c>
      <c r="AB547" s="50" t="inlineStr">
        <is>
          <t>0.0011 Nm</t>
        </is>
      </c>
      <c r="AC547" s="53" t="n">
        <v>45560</v>
      </c>
      <c r="AD547" s="84" t="inlineStr">
        <is>
          <t>B</t>
        </is>
      </c>
    </row>
    <row r="548">
      <c r="A548" s="85" t="n">
        <v>546</v>
      </c>
      <c r="B548" s="31" t="inlineStr">
        <is>
          <t>B&amp;P-041-MS03-2RLD-YS</t>
        </is>
      </c>
      <c r="C548" s="50" t="n">
        <v>12</v>
      </c>
      <c r="D548" s="50" t="n">
        <v>0</v>
      </c>
      <c r="E548" s="50" t="n">
        <v>-12</v>
      </c>
      <c r="F548" s="50" t="n">
        <v>40</v>
      </c>
      <c r="G548" s="50" t="n">
        <v>0</v>
      </c>
      <c r="H548" s="50" t="n">
        <v>-9</v>
      </c>
      <c r="I548" s="50" t="n">
        <v>12</v>
      </c>
      <c r="J548" s="50" t="n">
        <v>0</v>
      </c>
      <c r="K548" s="50" t="n">
        <v>-120</v>
      </c>
      <c r="L548" s="50" t="n">
        <v>17</v>
      </c>
      <c r="M548" s="50" t="n">
        <v>0</v>
      </c>
      <c r="N548" s="50" t="n">
        <v>-7</v>
      </c>
      <c r="O548" s="50" t="inlineStr">
        <is>
          <t>C3</t>
        </is>
      </c>
      <c r="P548" s="50" t="n">
        <v>25</v>
      </c>
      <c r="Q548" s="50" t="n">
        <v>11</v>
      </c>
      <c r="R548" s="50" t="inlineStr">
        <is>
          <t>NO</t>
        </is>
      </c>
      <c r="S548" s="50" t="inlineStr">
        <is>
          <t>NO</t>
        </is>
      </c>
      <c r="T548" s="50" t="inlineStr">
        <is>
          <t>NO</t>
        </is>
      </c>
      <c r="U548" s="50" t="n">
        <v>65</v>
      </c>
      <c r="V548" s="50" t="n">
        <v>60</v>
      </c>
      <c r="W548" s="50" t="n">
        <v>65</v>
      </c>
      <c r="X548" s="50" t="n">
        <v>60</v>
      </c>
      <c r="Y548" s="50" t="inlineStr">
        <is>
          <t>25-35%</t>
        </is>
      </c>
      <c r="Z548" s="50" t="inlineStr">
        <is>
          <t>Polyrex</t>
        </is>
      </c>
      <c r="AA548" s="56" t="inlineStr">
        <is>
          <t>0.026 Nm</t>
        </is>
      </c>
      <c r="AB548" s="50" t="inlineStr">
        <is>
          <t>0.016 Nm</t>
        </is>
      </c>
      <c r="AC548" s="53" t="n">
        <v>45560</v>
      </c>
      <c r="AD548" s="84" t="inlineStr">
        <is>
          <t>B</t>
        </is>
      </c>
    </row>
    <row r="549">
      <c r="A549" s="85" t="n">
        <v>547</v>
      </c>
      <c r="B549" s="30" t="inlineStr">
        <is>
          <t>B&amp;P-040-1312-K-TN-C3-HLBR</t>
        </is>
      </c>
      <c r="C549" s="50" t="n">
        <v>31</v>
      </c>
      <c r="D549" s="50" t="n">
        <v>0</v>
      </c>
      <c r="E549" s="50" t="n">
        <v>-150</v>
      </c>
      <c r="F549" s="50" t="n">
        <v>130</v>
      </c>
      <c r="G549" s="50" t="n">
        <v>0</v>
      </c>
      <c r="H549" s="50" t="n">
        <v>-18</v>
      </c>
      <c r="I549" s="50" t="n">
        <v>31</v>
      </c>
      <c r="J549" s="50" t="n">
        <v>0</v>
      </c>
      <c r="K549" s="50" t="n">
        <v>-150</v>
      </c>
      <c r="L549" s="50" t="n">
        <v>60</v>
      </c>
      <c r="M549" s="50" t="n">
        <v>40</v>
      </c>
      <c r="N549" s="50" t="n">
        <v>0</v>
      </c>
      <c r="O549" s="50" t="inlineStr">
        <is>
          <t>C3</t>
        </is>
      </c>
      <c r="P549" s="50" t="n">
        <v>50</v>
      </c>
      <c r="Q549" s="50" t="n">
        <v>30</v>
      </c>
      <c r="R549" s="50" t="inlineStr">
        <is>
          <t>NO</t>
        </is>
      </c>
      <c r="S549" s="50" t="inlineStr">
        <is>
          <t>NO</t>
        </is>
      </c>
      <c r="T549" s="50" t="inlineStr">
        <is>
          <t>NO</t>
        </is>
      </c>
      <c r="U549" s="50" t="n">
        <v>65</v>
      </c>
      <c r="V549" s="50" t="n">
        <v>60</v>
      </c>
      <c r="W549" s="50" t="n">
        <v>65</v>
      </c>
      <c r="X549" s="50" t="n">
        <v>60</v>
      </c>
      <c r="Y549" s="50" t="inlineStr">
        <is>
          <t>NO</t>
        </is>
      </c>
      <c r="Z549" s="50" t="inlineStr">
        <is>
          <t>NO</t>
        </is>
      </c>
      <c r="AA549" s="56" t="inlineStr">
        <is>
          <t>NO</t>
        </is>
      </c>
      <c r="AB549" s="50" t="inlineStr">
        <is>
          <t>NO</t>
        </is>
      </c>
      <c r="AC549" s="53" t="n">
        <v>45561</v>
      </c>
      <c r="AD549" s="84" t="n">
        <v>0</v>
      </c>
    </row>
    <row r="550">
      <c r="A550" s="85" t="n">
        <v>548</v>
      </c>
      <c r="B550" s="31" t="inlineStr">
        <is>
          <t>B&amp;P-041-HD09-2RS-ZJFD</t>
        </is>
      </c>
      <c r="C550" s="50" t="n">
        <v>25</v>
      </c>
      <c r="D550" s="50" t="n">
        <v>0</v>
      </c>
      <c r="E550" s="50" t="n">
        <v>-120</v>
      </c>
      <c r="F550" s="50" t="n">
        <v>100</v>
      </c>
      <c r="G550" s="50" t="n">
        <v>0</v>
      </c>
      <c r="H550" s="50" t="n">
        <v>-13</v>
      </c>
      <c r="I550" s="50" t="n">
        <v>25</v>
      </c>
      <c r="J550" s="50" t="n">
        <v>0</v>
      </c>
      <c r="K550" s="50" t="n">
        <v>-120</v>
      </c>
      <c r="L550" s="50" t="n">
        <v>45</v>
      </c>
      <c r="M550" s="50" t="n">
        <v>0</v>
      </c>
      <c r="N550" s="50" t="n">
        <v>-10</v>
      </c>
      <c r="O550" s="50" t="inlineStr">
        <is>
          <t>C3</t>
        </is>
      </c>
      <c r="P550" s="50" t="n">
        <v>36</v>
      </c>
      <c r="Q550" s="50" t="n">
        <v>18</v>
      </c>
      <c r="R550" s="50" t="inlineStr">
        <is>
          <t>NO</t>
        </is>
      </c>
      <c r="S550" s="50" t="inlineStr">
        <is>
          <t>NO</t>
        </is>
      </c>
      <c r="T550" s="50" t="inlineStr">
        <is>
          <t>NO</t>
        </is>
      </c>
      <c r="U550" s="50" t="n">
        <v>65</v>
      </c>
      <c r="V550" s="50" t="n">
        <v>60</v>
      </c>
      <c r="W550" s="50" t="n">
        <v>65</v>
      </c>
      <c r="X550" s="50" t="n">
        <v>60</v>
      </c>
      <c r="Y550" s="50" t="inlineStr">
        <is>
          <t>25-35%</t>
        </is>
      </c>
      <c r="Z550" s="50" t="inlineStr">
        <is>
          <t>Polyrex</t>
        </is>
      </c>
      <c r="AA550" s="56" t="inlineStr">
        <is>
          <t>STANDARD</t>
        </is>
      </c>
      <c r="AB550" s="50" t="inlineStr">
        <is>
          <t>STANDARD</t>
        </is>
      </c>
      <c r="AC550" s="53" t="n">
        <v>45754</v>
      </c>
      <c r="AD550" s="84" t="inlineStr">
        <is>
          <t>A</t>
        </is>
      </c>
    </row>
    <row r="551">
      <c r="A551" s="85" t="n">
        <v>549</v>
      </c>
      <c r="B551" s="31" t="inlineStr">
        <is>
          <t>B&amp;P-041-LS19-2RS-HLBR</t>
        </is>
      </c>
      <c r="C551" s="50" t="n">
        <v>24</v>
      </c>
      <c r="D551" s="50" t="n">
        <v>0</v>
      </c>
      <c r="E551" s="50" t="n">
        <v>-200</v>
      </c>
      <c r="F551" s="50" t="n">
        <v>145</v>
      </c>
      <c r="G551" s="50" t="n">
        <v>0</v>
      </c>
      <c r="H551" s="50" t="n">
        <v>-18</v>
      </c>
      <c r="I551" s="50" t="n">
        <v>24</v>
      </c>
      <c r="J551" s="50" t="n">
        <v>0</v>
      </c>
      <c r="K551" s="50" t="n">
        <v>-200</v>
      </c>
      <c r="L551" s="50" t="n">
        <v>95</v>
      </c>
      <c r="M551" s="50" t="n">
        <v>0</v>
      </c>
      <c r="N551" s="50" t="n">
        <v>-20</v>
      </c>
      <c r="O551" s="50" t="inlineStr">
        <is>
          <t>C3</t>
        </is>
      </c>
      <c r="P551" s="50" t="n">
        <v>58</v>
      </c>
      <c r="Q551" s="50" t="n">
        <v>30</v>
      </c>
      <c r="R551" s="50" t="inlineStr">
        <is>
          <t>NO</t>
        </is>
      </c>
      <c r="S551" s="50" t="inlineStr">
        <is>
          <t>NO</t>
        </is>
      </c>
      <c r="T551" s="50" t="inlineStr">
        <is>
          <t>NO</t>
        </is>
      </c>
      <c r="U551" s="50" t="n">
        <v>65</v>
      </c>
      <c r="V551" s="50" t="n">
        <v>60</v>
      </c>
      <c r="W551" s="50" t="n">
        <v>65</v>
      </c>
      <c r="X551" s="50" t="n">
        <v>60</v>
      </c>
      <c r="Y551" s="50" t="inlineStr">
        <is>
          <t>25-35%</t>
        </is>
      </c>
      <c r="Z551" s="50" t="inlineStr">
        <is>
          <t>Polyrex</t>
        </is>
      </c>
      <c r="AA551" s="56" t="inlineStr">
        <is>
          <t>STANDARD</t>
        </is>
      </c>
      <c r="AB551" s="50" t="inlineStr">
        <is>
          <t>STANDARD</t>
        </is>
      </c>
      <c r="AC551" s="53" t="n">
        <v>45174</v>
      </c>
      <c r="AD551" s="84" t="inlineStr">
        <is>
          <t>A</t>
        </is>
      </c>
    </row>
    <row r="552">
      <c r="A552" s="85" t="n">
        <v>550</v>
      </c>
      <c r="B552" s="31" t="inlineStr">
        <is>
          <t>B&amp;P-041-LS16-2RS-ZJFD</t>
        </is>
      </c>
      <c r="C552" s="50" t="n">
        <v>22</v>
      </c>
      <c r="D552" s="50" t="n">
        <v>0</v>
      </c>
      <c r="E552" s="50" t="n">
        <v>-150</v>
      </c>
      <c r="F552" s="50" t="n">
        <v>125</v>
      </c>
      <c r="G552" s="50" t="n">
        <v>0</v>
      </c>
      <c r="H552" s="50" t="n">
        <v>-18</v>
      </c>
      <c r="I552" s="50" t="n">
        <v>22</v>
      </c>
      <c r="J552" s="50" t="n">
        <v>0</v>
      </c>
      <c r="K552" s="50" t="n">
        <v>-150</v>
      </c>
      <c r="L552" s="50" t="n">
        <v>80</v>
      </c>
      <c r="M552" s="50" t="n">
        <v>0</v>
      </c>
      <c r="N552" s="50" t="n">
        <v>-15</v>
      </c>
      <c r="O552" s="50" t="inlineStr">
        <is>
          <t>C3</t>
        </is>
      </c>
      <c r="P552" s="50" t="n">
        <v>51</v>
      </c>
      <c r="Q552" s="50" t="n">
        <v>25</v>
      </c>
      <c r="R552" s="50" t="inlineStr">
        <is>
          <t>NO</t>
        </is>
      </c>
      <c r="S552" s="50" t="inlineStr">
        <is>
          <t>NO</t>
        </is>
      </c>
      <c r="T552" s="50" t="inlineStr">
        <is>
          <t>NO</t>
        </is>
      </c>
      <c r="U552" s="50" t="n">
        <v>65</v>
      </c>
      <c r="V552" s="50" t="n">
        <v>60</v>
      </c>
      <c r="W552" s="50" t="n">
        <v>65</v>
      </c>
      <c r="X552" s="50" t="n">
        <v>60</v>
      </c>
      <c r="Y552" s="50" t="inlineStr">
        <is>
          <t>25-35%</t>
        </is>
      </c>
      <c r="Z552" s="50" t="inlineStr">
        <is>
          <t>Polyrex</t>
        </is>
      </c>
      <c r="AA552" s="56" t="inlineStr">
        <is>
          <t>0.15 Nm</t>
        </is>
      </c>
      <c r="AB552" s="50" t="inlineStr">
        <is>
          <t>0.09 Nm</t>
        </is>
      </c>
      <c r="AC552" s="53" t="n">
        <v>45754</v>
      </c>
      <c r="AD552" s="84" t="inlineStr">
        <is>
          <t>A</t>
        </is>
      </c>
    </row>
    <row r="553">
      <c r="A553" s="85" t="n">
        <v>551</v>
      </c>
      <c r="B553" s="31" t="inlineStr">
        <is>
          <t>B&amp;P-031-DAC-34670037-BBS</t>
        </is>
      </c>
      <c r="C553" s="50" t="n">
        <v>37</v>
      </c>
      <c r="D553" s="50" t="n">
        <v>0</v>
      </c>
      <c r="E553" s="50" t="n">
        <v>-120</v>
      </c>
      <c r="F553" s="50" t="n">
        <v>67</v>
      </c>
      <c r="G553" s="50" t="n">
        <v>0</v>
      </c>
      <c r="H553" s="50" t="n">
        <v>-13</v>
      </c>
      <c r="I553" s="50" t="n">
        <v>37</v>
      </c>
      <c r="J553" s="50" t="n">
        <v>0</v>
      </c>
      <c r="K553" s="50" t="n">
        <v>-240</v>
      </c>
      <c r="L553" s="50" t="n">
        <v>34</v>
      </c>
      <c r="M553" s="50" t="n">
        <v>0</v>
      </c>
      <c r="N553" s="50" t="n">
        <v>-12</v>
      </c>
      <c r="O553" s="50" t="inlineStr">
        <is>
          <t>NO</t>
        </is>
      </c>
      <c r="P553" s="50" t="inlineStr">
        <is>
          <t>NO</t>
        </is>
      </c>
      <c r="Q553" s="50" t="inlineStr">
        <is>
          <t>NO</t>
        </is>
      </c>
      <c r="R553" s="50" t="inlineStr">
        <is>
          <t>Axial</t>
        </is>
      </c>
      <c r="S553" s="50" t="n">
        <v>80</v>
      </c>
      <c r="T553" s="50" t="n">
        <v>30</v>
      </c>
      <c r="U553" s="50" t="n">
        <v>64</v>
      </c>
      <c r="V553" s="50" t="n">
        <v>58</v>
      </c>
      <c r="W553" s="50" t="n">
        <v>64</v>
      </c>
      <c r="X553" s="50" t="n">
        <v>58</v>
      </c>
      <c r="Y553" s="50" t="inlineStr">
        <is>
          <t>30-50%</t>
        </is>
      </c>
      <c r="Z553" s="50" t="inlineStr">
        <is>
          <t>Mobil mobilux EP2</t>
        </is>
      </c>
      <c r="AA553" s="56" t="inlineStr">
        <is>
          <t>NO</t>
        </is>
      </c>
      <c r="AB553" s="50" t="inlineStr">
        <is>
          <t>NO</t>
        </is>
      </c>
      <c r="AC553" s="53" t="n">
        <v>45792</v>
      </c>
      <c r="AD553" s="84" t="n">
        <v>0</v>
      </c>
    </row>
  </sheetData>
  <autoFilter ref="A2:AD552"/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Ariel Bettio</dc:creator>
  <dcterms:created xsi:type="dcterms:W3CDTF">2008-05-02T14:04:52Z</dcterms:created>
  <dcterms:modified xsi:type="dcterms:W3CDTF">2026-03-13T19:15:45Z</dcterms:modified>
  <cp:lastModifiedBy>Lorenzo Contigiani</cp:lastModifiedBy>
  <cp:lastPrinted>2025-09-18T10:55:42Z</cp:lastPrinted>
</cp:coreProperties>
</file>