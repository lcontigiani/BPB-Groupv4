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contigiani\Desktop\Servidor\BPB-Groupv4\Proyecto Costos\Analisis de Producto\Productos\AG-2565-CHS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2" l="1" a="1"/>
  <c r="L36" i="2" s="1"/>
  <c r="L35" i="2" a="1"/>
  <c r="L35" i="2" s="1"/>
  <c r="L38" i="2" a="1"/>
  <c r="L38" i="2" s="1"/>
  <c r="M46" i="2"/>
  <c r="M45" i="2"/>
  <c r="M44" i="2"/>
  <c r="H27" i="2" l="1"/>
  <c r="H29" i="2"/>
  <c r="I29" i="2" s="1"/>
  <c r="D27" i="2"/>
  <c r="J27" i="2" s="1"/>
  <c r="G27" i="2" l="1"/>
  <c r="I27" i="2"/>
  <c r="M27" i="2" s="1"/>
  <c r="G14" i="2"/>
  <c r="F14" i="2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s="1"/>
  <c r="H14" i="2"/>
  <c r="M36" i="2" l="1" a="1"/>
  <c r="M36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10" i="2"/>
  <c r="I11" i="2"/>
  <c r="I9" i="2"/>
  <c r="D10" i="2"/>
  <c r="D11" i="2"/>
  <c r="D9" i="2"/>
  <c r="H10" i="2" l="1"/>
  <c r="H11" i="2"/>
  <c r="M10" i="2" l="1"/>
  <c r="J10" i="2"/>
  <c r="G10" i="2"/>
  <c r="K10" i="2"/>
  <c r="M11" i="2"/>
  <c r="J11" i="2"/>
  <c r="G11" i="2"/>
  <c r="K11" i="2"/>
  <c r="J23" i="2"/>
  <c r="J17" i="2"/>
  <c r="J19" i="2"/>
  <c r="H3" i="2"/>
  <c r="H23" i="2" l="1"/>
  <c r="M23" i="2" s="1"/>
  <c r="H13" i="2"/>
  <c r="H16" i="2"/>
  <c r="H19" i="2"/>
  <c r="M19" i="2" l="1"/>
  <c r="G13" i="2"/>
  <c r="B2" i="5" l="1" a="1"/>
  <c r="B2" i="5" s="1"/>
  <c r="C2" i="5" l="1"/>
  <c r="D2" i="5" l="1"/>
  <c r="E2" i="5" s="1"/>
  <c r="J14" i="2"/>
  <c r="F2" i="5" l="1"/>
  <c r="G2" i="5" s="1"/>
  <c r="M16" i="2"/>
  <c r="J16" i="2"/>
  <c r="M13" i="2"/>
  <c r="J13" i="2"/>
  <c r="H2" i="5" l="1"/>
  <c r="I2" i="5" s="1"/>
  <c r="J25" i="2"/>
  <c r="J2" i="5" l="1"/>
  <c r="K2" i="5" s="1"/>
  <c r="L2" i="5" l="1"/>
  <c r="M2" i="5" s="1"/>
  <c r="N2" i="5" s="1"/>
  <c r="H17" i="2"/>
  <c r="M17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3" i="2" l="1"/>
  <c r="M25" i="2" l="1"/>
  <c r="G25" i="2"/>
  <c r="M37" i="2" l="1" a="1"/>
  <c r="M37" i="2" s="1"/>
  <c r="D29" i="2"/>
  <c r="J29" i="2" s="1"/>
  <c r="J9" i="2"/>
  <c r="D21" i="2"/>
  <c r="D20" i="2"/>
  <c r="E20" i="2"/>
  <c r="J20" i="2" s="1"/>
  <c r="E21" i="2"/>
  <c r="G19" i="2"/>
  <c r="G20" i="2" l="1"/>
  <c r="G9" i="2"/>
  <c r="G21" i="2"/>
  <c r="J21" i="2"/>
  <c r="G29" i="2"/>
  <c r="G16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M14" i="2" l="1"/>
  <c r="K9" i="2"/>
  <c r="M33" i="2" l="1" a="1"/>
  <c r="M33" i="2" s="1"/>
  <c r="L33" i="2" a="1"/>
  <c r="L33" i="2" s="1"/>
  <c r="M29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H21" i="2"/>
  <c r="H20" i="2"/>
  <c r="F21" i="2"/>
  <c r="F20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2" i="2" l="1" a="1"/>
  <c r="M32" i="2" s="1"/>
  <c r="M34" i="2" s="1"/>
  <c r="L32" i="2" a="1"/>
  <c r="L32" i="2" s="1"/>
  <c r="L34" i="2" s="1"/>
  <c r="L37" i="2" s="1"/>
  <c r="I21" i="2"/>
  <c r="M21" i="2" s="1"/>
  <c r="M35" i="2" s="1" a="1"/>
  <c r="M35" i="2" s="1"/>
  <c r="I20" i="2"/>
  <c r="M20" i="2" s="1"/>
  <c r="L39" i="2" l="1"/>
  <c r="M38" i="2" a="1"/>
  <c r="M38" i="2" s="1"/>
  <c r="M47" i="2"/>
  <c r="M39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  <c r="J47" i="2"/>
</calcChain>
</file>

<file path=xl/sharedStrings.xml><?xml version="1.0" encoding="utf-8"?>
<sst xmlns="http://schemas.openxmlformats.org/spreadsheetml/2006/main" count="69" uniqueCount="62">
  <si>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</si>
  <si>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</si>
  <si>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</si>
  <si>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</si>
  <si>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</si>
  <si>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</si>
  <si>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</si>
  <si>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</si>
  <si>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</si>
  <si>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</si>
  <si>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</si>
  <si>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</si>
  <si>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</si>
  <si>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</si>
  <si>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</si>
  <si>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</si>
  <si>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</si>
  <si>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</si>
  <si>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</si>
  <si>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</si>
  <si>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</si>
  <si>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</si>
  <si>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AG-2565-CHS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</si>
  <si>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</si>
  <si>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</si>
  <si>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</si>
  <si>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</si>
  <si>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</si>
  <si>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</si>
  <si>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</si>
  <si>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</si>
  <si>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</si>
  <si>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</si>
  <si>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</si>
  <si>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</si>
  <si>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</si>
  <si>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</si>
  <si>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</si>
  <si>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</si>
  <si>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</si>
  <si>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</si>
  <si>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</si>
  <si>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</si>
  <si>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</si>
  <si>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</si>
  <si>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</si>
  <si>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</si>
  <si>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</si>
  <si>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</si>
  <si>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</si>
  <si>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</si>
  <si>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</si>
  <si>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</si>
  <si>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</si>
  <si>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Loctite 609</t>
  </si>
  <si>
    <t>Embalaje Manual Planta</t>
  </si>
  <si>
    <t>PRENSA QY-16 - PRENSA QY-10-3</t>
  </si>
  <si>
    <t>Fresas</t>
  </si>
  <si>
    <t>Costo de Importación</t>
  </si>
  <si>
    <t>Gastos Importación</t>
  </si>
  <si>
    <t>Costo de Venta "Estanteria"</t>
  </si>
  <si>
    <t>Costo de Venta "TOTAL"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</si>
</sst>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0" borderId="19" xfId="4" applyFont="1" applyFill="1" applyBorder="1" applyAlignment="1" applyProtection="1">
      <alignment horizontal="right" vertical="center" indent="1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7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36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33</xdr:row>
          <xdr:rowOff>333375</xdr:rowOff>
        </xdr:from>
        <xdr:to>
          <xdr:col>1</xdr:col>
          <xdr:colOff>1762125</xdr:colOff>
          <xdr:row>35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95250</xdr:rowOff>
        </xdr:from>
        <xdr:to>
          <xdr:col>1</xdr:col>
          <xdr:colOff>1609725</xdr:colOff>
          <xdr:row>30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Produccion\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Ensamble\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Embalaje\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ducto\Auxiliares\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ducto\Auxiliares\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cesos\Analisis%20de%20Costos%20Deposito%20y%20Logistica\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BSRV03\lcontigiani\Proyecto%20Costos\Analisis%20de%20Producto\Auxiliares\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>
            <v>0</v>
          </cell>
          <cell r="D32">
            <v>0</v>
          </cell>
        </row>
        <row r="33">
          <cell r="C33">
            <v>0</v>
          </cell>
          <cell r="D33">
            <v>0</v>
          </cell>
        </row>
        <row r="34">
          <cell r="C34">
            <v>0</v>
          </cell>
          <cell r="D34">
            <v>0</v>
          </cell>
        </row>
        <row r="35">
          <cell r="C35">
            <v>0</v>
          </cell>
          <cell r="D35">
            <v>0</v>
          </cell>
        </row>
        <row r="36">
          <cell r="C36">
            <v>0</v>
          </cell>
          <cell r="D36">
            <v>0</v>
          </cell>
        </row>
        <row r="37">
          <cell r="C37">
            <v>0</v>
          </cell>
          <cell r="D37">
            <v>0</v>
          </cell>
        </row>
        <row r="38">
          <cell r="C38">
            <v>0</v>
          </cell>
          <cell r="D38">
            <v>0</v>
          </cell>
        </row>
        <row r="39">
          <cell r="C39">
            <v>0</v>
          </cell>
          <cell r="D39">
            <v>0</v>
          </cell>
        </row>
        <row r="40">
          <cell r="C40">
            <v>0</v>
          </cell>
          <cell r="D40">
            <v>0</v>
          </cell>
        </row>
        <row r="41">
          <cell r="C41">
            <v>0</v>
          </cell>
          <cell r="D41">
            <v>0</v>
          </cell>
        </row>
        <row r="42">
          <cell r="C42">
            <v>0</v>
          </cell>
          <cell r="D42">
            <v>0</v>
          </cell>
        </row>
        <row r="43">
          <cell r="C43">
            <v>0</v>
          </cell>
          <cell r="D43">
            <v>0</v>
          </cell>
        </row>
        <row r="44">
          <cell r="C44">
            <v>0</v>
          </cell>
          <cell r="D44">
            <v>0</v>
          </cell>
        </row>
        <row r="45">
          <cell r="C45">
            <v>0</v>
          </cell>
          <cell r="D45">
            <v>0</v>
          </cell>
        </row>
        <row r="46">
          <cell r="C46">
            <v>0</v>
          </cell>
          <cell r="D46">
            <v>0</v>
          </cell>
        </row>
        <row r="47">
          <cell r="C47">
            <v>0</v>
          </cell>
          <cell r="D47">
            <v>0</v>
          </cell>
        </row>
        <row r="48">
          <cell r="C48">
            <v>0</v>
          </cell>
          <cell r="D48">
            <v>0</v>
          </cell>
        </row>
        <row r="49">
          <cell r="C49">
            <v>0</v>
          </cell>
          <cell r="D49">
            <v>0</v>
          </cell>
        </row>
        <row r="50">
          <cell r="C50">
            <v>0</v>
          </cell>
          <cell r="D50">
            <v>0</v>
          </cell>
        </row>
        <row r="51">
          <cell r="C51">
            <v>0</v>
          </cell>
          <cell r="D51">
            <v>0</v>
          </cell>
        </row>
        <row r="52">
          <cell r="C52">
            <v>0</v>
          </cell>
          <cell r="D52">
            <v>0</v>
          </cell>
        </row>
        <row r="53">
          <cell r="C53">
            <v>0</v>
          </cell>
          <cell r="D53">
            <v>0</v>
          </cell>
        </row>
        <row r="54">
          <cell r="C54">
            <v>0</v>
          </cell>
          <cell r="D54">
            <v>0</v>
          </cell>
        </row>
        <row r="55">
          <cell r="C55">
            <v>0</v>
          </cell>
          <cell r="D55">
            <v>0</v>
          </cell>
        </row>
        <row r="56">
          <cell r="C56">
            <v>0</v>
          </cell>
          <cell r="D56">
            <v>0</v>
          </cell>
        </row>
        <row r="57">
          <cell r="C57">
            <v>0</v>
          </cell>
          <cell r="D57">
            <v>0</v>
          </cell>
        </row>
        <row r="58">
          <cell r="C58">
            <v>0</v>
          </cell>
          <cell r="D58">
            <v>0</v>
          </cell>
        </row>
        <row r="59">
          <cell r="C59">
            <v>0</v>
          </cell>
          <cell r="D59">
            <v>0</v>
          </cell>
        </row>
        <row r="60">
          <cell r="C60">
            <v>0</v>
          </cell>
          <cell r="D60">
            <v>0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3">
          <cell r="C63">
            <v>0</v>
          </cell>
          <cell r="D63">
            <v>0</v>
          </cell>
        </row>
        <row r="64">
          <cell r="C64">
            <v>0</v>
          </cell>
          <cell r="D64">
            <v>0</v>
          </cell>
        </row>
        <row r="65">
          <cell r="C65">
            <v>0</v>
          </cell>
          <cell r="D65">
            <v>0</v>
          </cell>
        </row>
        <row r="66">
          <cell r="C66">
            <v>0</v>
          </cell>
          <cell r="D66">
            <v>0</v>
          </cell>
        </row>
        <row r="67">
          <cell r="C67">
            <v>0</v>
          </cell>
          <cell r="D67">
            <v>0</v>
          </cell>
        </row>
        <row r="68">
          <cell r="C68">
            <v>0</v>
          </cell>
          <cell r="D68">
            <v>0</v>
          </cell>
        </row>
        <row r="69">
          <cell r="C69">
            <v>0</v>
          </cell>
          <cell r="D69">
            <v>0</v>
          </cell>
        </row>
        <row r="70">
          <cell r="C70">
            <v>0</v>
          </cell>
          <cell r="D70">
            <v>0</v>
          </cell>
        </row>
        <row r="71">
          <cell r="C71">
            <v>0</v>
          </cell>
          <cell r="D71">
            <v>0</v>
          </cell>
        </row>
      </sheetData>
      <sheetData sheetId="1"/>
      <sheetData sheetId="2">
        <row r="11">
          <cell r="D11" t="str">
            <v xml:space="preserve">Esferica </v>
          </cell>
          <cell r="E11">
            <v>0</v>
          </cell>
          <cell r="F11" t="str">
            <v>Plana</v>
          </cell>
          <cell r="G11">
            <v>0</v>
          </cell>
          <cell r="H11" t="str">
            <v xml:space="preserve">12 mm </v>
          </cell>
          <cell r="I11">
            <v>0</v>
          </cell>
          <cell r="J11" t="str">
            <v xml:space="preserve">16 mm </v>
          </cell>
          <cell r="K11">
            <v>0</v>
          </cell>
          <cell r="L11" t="str">
            <v xml:space="preserve">20 mm </v>
          </cell>
          <cell r="M11">
            <v>0</v>
          </cell>
          <cell r="N11" t="str">
            <v>25 mm</v>
          </cell>
          <cell r="O11">
            <v>0</v>
          </cell>
          <cell r="P11" t="str">
            <v>32 mm</v>
          </cell>
          <cell r="Q11">
            <v>0</v>
          </cell>
          <cell r="R11" t="str">
            <v>40 mm</v>
          </cell>
          <cell r="S11">
            <v>0</v>
          </cell>
          <cell r="T11" t="str">
            <v>63 mm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Para Ranurar</v>
          </cell>
          <cell r="AA11">
            <v>0</v>
          </cell>
          <cell r="AB11" t="str">
            <v>Para Roscar</v>
          </cell>
          <cell r="AC11">
            <v>0</v>
          </cell>
          <cell r="AD11" t="str">
            <v>Inserto 1</v>
          </cell>
          <cell r="AE11">
            <v>0</v>
          </cell>
          <cell r="AF11" t="str">
            <v>Inserto 2</v>
          </cell>
          <cell r="AG11">
            <v>0</v>
          </cell>
          <cell r="AH11" t="str">
            <v>Inserto 3</v>
          </cell>
          <cell r="AI11">
            <v>0</v>
          </cell>
          <cell r="AJ11" t="str">
            <v>Inserto 4</v>
          </cell>
          <cell r="AK11">
            <v>0</v>
          </cell>
          <cell r="AL11" t="str">
            <v>Inserto 5</v>
          </cell>
          <cell r="AM11">
            <v>0</v>
          </cell>
          <cell r="AN11" t="str">
            <v>Inserto 6</v>
          </cell>
          <cell r="AO11">
            <v>0</v>
          </cell>
          <cell r="AP11" t="str">
            <v>Inserto 7</v>
          </cell>
          <cell r="AQ11">
            <v>0</v>
          </cell>
          <cell r="AR11" t="str">
            <v>Inserto 8</v>
          </cell>
          <cell r="AS11">
            <v>0</v>
          </cell>
          <cell r="AT11" t="str">
            <v>Inserto 9</v>
          </cell>
          <cell r="AU11">
            <v>0</v>
          </cell>
          <cell r="AV11" t="str">
            <v>Inserto 10</v>
          </cell>
          <cell r="AW11">
            <v>0</v>
          </cell>
          <cell r="AX11" t="str">
            <v>Inserto 11</v>
          </cell>
          <cell r="AY11">
            <v>0</v>
          </cell>
          <cell r="AZ11" t="str">
            <v>Inserto 12</v>
          </cell>
          <cell r="BA11">
            <v>0</v>
          </cell>
          <cell r="BB11" t="str">
            <v>Inserto 13</v>
          </cell>
          <cell r="BC11">
            <v>0</v>
          </cell>
          <cell r="BD11" t="str">
            <v>Mecha 1</v>
          </cell>
          <cell r="BE11">
            <v>0</v>
          </cell>
          <cell r="BF11" t="str">
            <v>Mecha 2</v>
          </cell>
          <cell r="BG11">
            <v>0</v>
          </cell>
          <cell r="BH11" t="str">
            <v>Mecha 3</v>
          </cell>
          <cell r="BI11">
            <v>0</v>
          </cell>
          <cell r="BJ11" t="str">
            <v>Mecha 4</v>
          </cell>
          <cell r="BK11">
            <v>0</v>
          </cell>
          <cell r="BL11" t="str">
            <v>Mecha 5</v>
          </cell>
          <cell r="BM11">
            <v>0</v>
          </cell>
          <cell r="BN11" t="str">
            <v>Mecha 6</v>
          </cell>
          <cell r="BO11">
            <v>0</v>
          </cell>
          <cell r="BP11" t="str">
            <v>Mecha 7</v>
          </cell>
          <cell r="BQ11">
            <v>0</v>
          </cell>
          <cell r="BR11" t="str">
            <v>Mecha 8</v>
          </cell>
          <cell r="BS11">
            <v>0</v>
          </cell>
          <cell r="BT11" t="str">
            <v>Mecha 9</v>
          </cell>
          <cell r="BU11">
            <v>0</v>
          </cell>
          <cell r="BV11" t="str">
            <v>Mecha 10</v>
          </cell>
          <cell r="BW11">
            <v>0</v>
          </cell>
          <cell r="BX11" t="str">
            <v>Mecha 11</v>
          </cell>
          <cell r="BY11">
            <v>0</v>
          </cell>
          <cell r="CJ11" t="str">
            <v>Mechas</v>
          </cell>
        </row>
        <row r="12">
          <cell r="D12">
            <v>0</v>
          </cell>
          <cell r="E12">
            <v>0</v>
          </cell>
          <cell r="F12" t="str">
            <v>F-V-A08060-8.0</v>
          </cell>
          <cell r="G12">
            <v>0</v>
          </cell>
          <cell r="H12">
            <v>0</v>
          </cell>
          <cell r="I12">
            <v>0</v>
          </cell>
          <cell r="J12" t="str">
            <v>R390-11-16-160-C16-2T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 t="str">
            <v>R390-11T308M-PM 4340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 t="str">
            <v>Mecha 1</v>
          </cell>
          <cell r="BE12">
            <v>0</v>
          </cell>
          <cell r="BF12" t="str">
            <v>Mecha 2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0</v>
          </cell>
          <cell r="BY12">
            <v>0</v>
          </cell>
        </row>
        <row r="13">
          <cell r="B13" t="str">
            <v>Costo Costo ($/u)</v>
          </cell>
          <cell r="D13">
            <v>0</v>
          </cell>
          <cell r="E13">
            <v>0</v>
          </cell>
          <cell r="F13">
            <v>26.9</v>
          </cell>
          <cell r="G13">
            <v>0</v>
          </cell>
          <cell r="H13">
            <v>0</v>
          </cell>
          <cell r="I13">
            <v>0</v>
          </cell>
          <cell r="J13">
            <v>135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26.55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</row>
        <row r="14">
          <cell r="B14" t="str">
            <v>Vida Util (h/tool)</v>
          </cell>
          <cell r="D14" t="str">
            <v/>
          </cell>
          <cell r="E14">
            <v>0</v>
          </cell>
          <cell r="F14">
            <v>2500</v>
          </cell>
          <cell r="G14">
            <v>0</v>
          </cell>
          <cell r="H14" t="str">
            <v/>
          </cell>
          <cell r="I14">
            <v>0</v>
          </cell>
          <cell r="J14">
            <v>5000</v>
          </cell>
          <cell r="K14">
            <v>0</v>
          </cell>
          <cell r="L14" t="str">
            <v/>
          </cell>
          <cell r="M14">
            <v>0</v>
          </cell>
          <cell r="N14" t="str">
            <v/>
          </cell>
          <cell r="O14">
            <v>0</v>
          </cell>
          <cell r="P14" t="str">
            <v/>
          </cell>
          <cell r="Q14">
            <v>0</v>
          </cell>
          <cell r="R14" t="str">
            <v/>
          </cell>
          <cell r="S14">
            <v>0</v>
          </cell>
          <cell r="T14" t="str">
            <v/>
          </cell>
          <cell r="U14">
            <v>0</v>
          </cell>
          <cell r="V14" t="str">
            <v/>
          </cell>
          <cell r="W14">
            <v>0</v>
          </cell>
          <cell r="X14" t="str">
            <v/>
          </cell>
          <cell r="Y14">
            <v>0</v>
          </cell>
          <cell r="Z14" t="str">
            <v/>
          </cell>
          <cell r="AA14">
            <v>0</v>
          </cell>
          <cell r="AB14" t="str">
            <v/>
          </cell>
          <cell r="AC14">
            <v>0</v>
          </cell>
          <cell r="AD14">
            <v>500</v>
          </cell>
          <cell r="AE14">
            <v>0</v>
          </cell>
          <cell r="AF14" t="str">
            <v/>
          </cell>
          <cell r="AG14">
            <v>0</v>
          </cell>
          <cell r="AH14" t="str">
            <v/>
          </cell>
          <cell r="AI14">
            <v>0</v>
          </cell>
          <cell r="AJ14" t="str">
            <v/>
          </cell>
          <cell r="AK14">
            <v>0</v>
          </cell>
          <cell r="AL14" t="str">
            <v/>
          </cell>
          <cell r="AM14">
            <v>0</v>
          </cell>
          <cell r="AN14" t="str">
            <v/>
          </cell>
          <cell r="AO14">
            <v>0</v>
          </cell>
          <cell r="AP14" t="str">
            <v/>
          </cell>
          <cell r="AQ14">
            <v>0</v>
          </cell>
          <cell r="AR14" t="str">
            <v/>
          </cell>
          <cell r="AS14">
            <v>0</v>
          </cell>
          <cell r="AT14" t="str">
            <v/>
          </cell>
          <cell r="AU14">
            <v>0</v>
          </cell>
          <cell r="AV14" t="str">
            <v/>
          </cell>
          <cell r="AW14">
            <v>0</v>
          </cell>
          <cell r="AX14" t="str">
            <v/>
          </cell>
          <cell r="AY14">
            <v>0</v>
          </cell>
          <cell r="AZ14" t="str">
            <v/>
          </cell>
          <cell r="BA14">
            <v>0</v>
          </cell>
          <cell r="BB14" t="str">
            <v/>
          </cell>
          <cell r="BC14">
            <v>0</v>
          </cell>
          <cell r="BD14" t="str">
            <v/>
          </cell>
          <cell r="BE14">
            <v>0</v>
          </cell>
          <cell r="BF14" t="str">
            <v/>
          </cell>
          <cell r="BG14">
            <v>0</v>
          </cell>
          <cell r="BH14" t="str">
            <v/>
          </cell>
          <cell r="BI14">
            <v>0</v>
          </cell>
          <cell r="BJ14" t="str">
            <v/>
          </cell>
          <cell r="BK14">
            <v>0</v>
          </cell>
          <cell r="BL14" t="str">
            <v/>
          </cell>
          <cell r="BM14">
            <v>0</v>
          </cell>
          <cell r="BN14" t="str">
            <v/>
          </cell>
          <cell r="BO14">
            <v>0</v>
          </cell>
          <cell r="BP14" t="str">
            <v/>
          </cell>
          <cell r="BQ14">
            <v>0</v>
          </cell>
          <cell r="BR14" t="str">
            <v/>
          </cell>
          <cell r="BS14">
            <v>0</v>
          </cell>
          <cell r="BT14" t="str">
            <v/>
          </cell>
          <cell r="BU14">
            <v>0</v>
          </cell>
          <cell r="BV14" t="str">
            <v/>
          </cell>
          <cell r="BW14">
            <v>0</v>
          </cell>
          <cell r="BX14" t="str">
            <v/>
          </cell>
          <cell r="BY14">
            <v>0</v>
          </cell>
        </row>
        <row r="15">
          <cell r="B15" t="str">
            <v>Codigo_Pieza</v>
          </cell>
          <cell r="D15" t="str">
            <v>Piezas Trabajadas  (N)</v>
          </cell>
          <cell r="E15" t="str">
            <v>Tiempo de Trabajo por Pieza (min)</v>
          </cell>
          <cell r="F15" t="str">
            <v>Piezas Trabajadas (N)</v>
          </cell>
          <cell r="G15" t="str">
            <v>Tiempo de Trabajo por Pieza (min)</v>
          </cell>
          <cell r="H15" t="str">
            <v>Piezas Trabajadas (N)</v>
          </cell>
          <cell r="I15" t="str">
            <v>Tiempo de Trabajo por Pieza (min)</v>
          </cell>
          <cell r="J15" t="str">
            <v>Piezas Trabajadas (N)</v>
          </cell>
          <cell r="K15" t="str">
            <v>Tiempo de Trabajo por Pieza (min)</v>
          </cell>
          <cell r="L15" t="str">
            <v>Piezas Trabajadas (N)</v>
          </cell>
          <cell r="M15" t="str">
            <v>Tiempo de Trabajo por Pieza (min)</v>
          </cell>
          <cell r="N15" t="str">
            <v>Piezas Trabajadas (N)</v>
          </cell>
          <cell r="O15" t="str">
            <v>Tiempo de Trabajo por Pieza (min)</v>
          </cell>
          <cell r="P15" t="str">
            <v>Piezas Trabajadas (N)</v>
          </cell>
          <cell r="Q15" t="str">
            <v>Tiempo de Trabajo por Pieza (min)</v>
          </cell>
          <cell r="R15" t="str">
            <v>Piezas Trabajadas (N)</v>
          </cell>
          <cell r="S15" t="str">
            <v>Tiempo de Trabajo por Pieza (min)</v>
          </cell>
          <cell r="T15" t="str">
            <v>Piezas Trabajadas (N)</v>
          </cell>
          <cell r="U15" t="str">
            <v>Tiempo de Trabajo por Pieza (min)</v>
          </cell>
          <cell r="V15" t="str">
            <v>Piezas Trabajadas (N)</v>
          </cell>
          <cell r="W15" t="str">
            <v>Tiempo de Trabajo por Pieza (min)</v>
          </cell>
          <cell r="X15" t="str">
            <v>Piezas Trabajadas (N)</v>
          </cell>
          <cell r="Y15" t="str">
            <v>Tiempo de Trabajo por Pieza (min)</v>
          </cell>
          <cell r="Z15" t="str">
            <v>Piezas Trabajadas (N)</v>
          </cell>
          <cell r="AA15" t="str">
            <v>Tiempo de Trabajo por Pieza (min)</v>
          </cell>
          <cell r="AB15" t="str">
            <v>Piezas Trabajadas (N)</v>
          </cell>
          <cell r="AC15" t="str">
            <v>Tiempo de Trabajo por Pieza (min)</v>
          </cell>
          <cell r="AD15" t="str">
            <v>Piezas Trabajadas (N)</v>
          </cell>
          <cell r="AE15" t="str">
            <v>Tiempo de Trabajo por Pieza (min)</v>
          </cell>
          <cell r="AF15" t="str">
            <v>Piezas Trabajadas (N)</v>
          </cell>
          <cell r="AG15" t="str">
            <v>Tiempo de Trabajo por Pieza (min)</v>
          </cell>
          <cell r="AH15" t="str">
            <v>Piezas Trabajadas (N)</v>
          </cell>
          <cell r="AI15" t="str">
            <v>Tiempo de Trabajo por Pieza (min)</v>
          </cell>
          <cell r="AJ15" t="str">
            <v>Piezas Trabajadas (N)</v>
          </cell>
          <cell r="AK15" t="str">
            <v>Tiempo de Trabajo por Pieza (min)</v>
          </cell>
          <cell r="AL15" t="str">
            <v>Piezas Trabajadas (N)</v>
          </cell>
          <cell r="AM15" t="str">
            <v>Tiempo de Trabajo por Pieza (min)</v>
          </cell>
          <cell r="AN15" t="str">
            <v>Piezas Trabajadas (N)</v>
          </cell>
          <cell r="AO15" t="str">
            <v>Tiempo de Trabajo por Pieza (min)</v>
          </cell>
          <cell r="AP15" t="str">
            <v>Piezas Trabajadas (N)</v>
          </cell>
          <cell r="AQ15" t="str">
            <v>Tiempo de Trabajo por Pieza (min)</v>
          </cell>
          <cell r="AR15" t="str">
            <v>Piezas Trabajadas (N)</v>
          </cell>
          <cell r="AS15" t="str">
            <v>Tiempo de Trabajo por Pieza (min)</v>
          </cell>
          <cell r="AT15" t="str">
            <v>Piezas Trabajadas (N)</v>
          </cell>
          <cell r="AU15" t="str">
            <v>Tiempo de Trabajo por Pieza (min)</v>
          </cell>
          <cell r="AV15" t="str">
            <v>Piezas Trabajadas (N)</v>
          </cell>
          <cell r="AW15" t="str">
            <v>Tiempo de Trabajo por Pieza (min)</v>
          </cell>
          <cell r="AX15" t="str">
            <v>Piezas Trabajadas (N)</v>
          </cell>
          <cell r="AY15" t="str">
            <v>Tiempo de Trabajo por Pieza (min)</v>
          </cell>
          <cell r="AZ15" t="str">
            <v>Piezas Trabajadas (N)</v>
          </cell>
          <cell r="BA15" t="str">
            <v>Tiempo de Trabajo por Pieza (min)</v>
          </cell>
          <cell r="BB15" t="str">
            <v>Piezas Trabajadas (N)</v>
          </cell>
          <cell r="BC15" t="str">
            <v>Tiempo de Trabajo por Pieza (min)</v>
          </cell>
          <cell r="BD15" t="str">
            <v>Piezas Trabajadas (N)</v>
          </cell>
          <cell r="BE15" t="str">
            <v>Tiempo de Trabajo por Pieza (min)</v>
          </cell>
          <cell r="BF15" t="str">
            <v>Piezas Trabajadas (N)</v>
          </cell>
          <cell r="BG15" t="str">
            <v>Tiempo de Trabajo por Pieza (min)</v>
          </cell>
          <cell r="BH15" t="str">
            <v>Piezas Trabajadas (N)</v>
          </cell>
          <cell r="BI15" t="str">
            <v>Tiempo de Trabajo por Pieza (min)</v>
          </cell>
          <cell r="BJ15" t="str">
            <v>Piezas Trabajadas (N)</v>
          </cell>
          <cell r="BK15" t="str">
            <v>Tiempo de Trabajo por Pieza (min)</v>
          </cell>
          <cell r="BL15" t="str">
            <v>Piezas Trabajadas (N)</v>
          </cell>
          <cell r="BM15" t="str">
            <v>Tiempo de Trabajo por Pieza (min)</v>
          </cell>
          <cell r="BN15" t="str">
            <v>Piezas Trabajadas (N)</v>
          </cell>
          <cell r="BO15" t="str">
            <v>Tiempo de Trabajo por Pieza (min)</v>
          </cell>
          <cell r="BP15" t="str">
            <v>Piezas Trabajadas (N)</v>
          </cell>
          <cell r="BQ15" t="str">
            <v>Tiempo de Trabajo por Pieza (min)</v>
          </cell>
          <cell r="BR15" t="str">
            <v>Piezas Trabajadas (N)</v>
          </cell>
          <cell r="BS15" t="str">
            <v>Tiempo de Trabajo por Pieza (min)</v>
          </cell>
          <cell r="BT15" t="str">
            <v>Piezas Trabajadas (N)</v>
          </cell>
          <cell r="BU15" t="str">
            <v>Tiempo de Trabajo por Pieza (min)</v>
          </cell>
          <cell r="BV15" t="str">
            <v>Piezas Trabajadas (N)</v>
          </cell>
          <cell r="BW15" t="str">
            <v>Tiempo de Trabajo por Pieza (min)</v>
          </cell>
          <cell r="BX15" t="str">
            <v>Piezas Trabajadas (N)</v>
          </cell>
          <cell r="BY15" t="str">
            <v>Tiempo de Trabajo por Pieza (min)</v>
          </cell>
          <cell r="CJ15" t="str">
            <v/>
          </cell>
        </row>
        <row r="16">
          <cell r="B16" t="str">
            <v>AG-353040CHS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0</v>
          </cell>
          <cell r="CJ16" t="str">
            <v/>
          </cell>
        </row>
        <row r="17">
          <cell r="B17" t="str">
            <v>AG-2565-CHS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CJ17" t="str">
            <v/>
          </cell>
        </row>
        <row r="18">
          <cell r="B18" t="str">
            <v>HM-518445-41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CJ18" t="str">
            <v/>
          </cell>
        </row>
        <row r="19">
          <cell r="B19" t="str">
            <v>M040000075</v>
          </cell>
          <cell r="D19">
            <v>0</v>
          </cell>
          <cell r="E19">
            <v>0</v>
          </cell>
          <cell r="F19">
            <v>5000</v>
          </cell>
          <cell r="G19">
            <v>30</v>
          </cell>
          <cell r="H19">
            <v>0</v>
          </cell>
          <cell r="I19">
            <v>0</v>
          </cell>
          <cell r="J19">
            <v>10000</v>
          </cell>
          <cell r="K19">
            <v>30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1000</v>
          </cell>
          <cell r="AE19">
            <v>30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CJ19" t="str">
            <v/>
          </cell>
        </row>
        <row r="20">
          <cell r="B20" t="str">
            <v>30207-MX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J20" t="str">
            <v/>
          </cell>
        </row>
        <row r="21">
          <cell r="B21" t="str">
            <v>AG-3565-CH9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CJ21" t="str">
            <v/>
          </cell>
        </row>
        <row r="22">
          <cell r="B22" t="str">
            <v>30206-MX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J22" t="str">
            <v/>
          </cell>
        </row>
        <row r="23">
          <cell r="B23" t="str">
            <v>FT-205-KYYB5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</row>
        <row r="24">
          <cell r="B24" t="str">
            <v>30208-MX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</row>
        <row r="25">
          <cell r="B25" t="str">
            <v>9010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</row>
        <row r="26">
          <cell r="B26" t="str">
            <v>AGHUB39FM20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0</v>
          </cell>
          <cell r="BY26">
            <v>0</v>
          </cell>
        </row>
        <row r="27">
          <cell r="B27" t="str">
            <v>30209-MX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</row>
        <row r="28">
          <cell r="B28" t="str">
            <v>30210-MX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</row>
        <row r="29">
          <cell r="B29" t="str">
            <v>30205-MX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</row>
        <row r="30">
          <cell r="B30" t="str">
            <v>9011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0</v>
          </cell>
          <cell r="BY30">
            <v>0</v>
          </cell>
        </row>
        <row r="31">
          <cell r="B31" t="str">
            <v>AG-353016CHS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</row>
        <row r="32">
          <cell r="B32" t="str">
            <v>30204-MX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</row>
        <row r="33">
          <cell r="B33" t="str">
            <v>DTR3062-FM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</row>
        <row r="34">
          <cell r="B34" t="str">
            <v>30212-MX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</row>
        <row r="35">
          <cell r="B35" t="str">
            <v>DTR2549-FM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</row>
        <row r="36">
          <cell r="B36" t="str">
            <v>30211-MX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</row>
        <row r="37">
          <cell r="B37" t="str">
            <v>32218-MX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</row>
        <row r="38">
          <cell r="B38" t="str">
            <v>S410000034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</row>
        <row r="39">
          <cell r="B39" t="str">
            <v>12025-P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</row>
        <row r="40">
          <cell r="B40" t="str">
            <v>AG-04.038.1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</row>
        <row r="41">
          <cell r="B41" t="str">
            <v>LS06-2RST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BR41">
            <v>0</v>
          </cell>
          <cell r="BS41">
            <v>0</v>
          </cell>
          <cell r="BT41">
            <v>0</v>
          </cell>
          <cell r="BU41">
            <v>0</v>
          </cell>
          <cell r="BV41">
            <v>0</v>
          </cell>
          <cell r="BW41">
            <v>0</v>
          </cell>
          <cell r="BX41">
            <v>0</v>
          </cell>
          <cell r="BY41">
            <v>0</v>
          </cell>
        </row>
        <row r="42">
          <cell r="B42" t="str">
            <v>320-32X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BR42">
            <v>0</v>
          </cell>
          <cell r="BS42">
            <v>0</v>
          </cell>
          <cell r="BT42">
            <v>0</v>
          </cell>
          <cell r="BU42">
            <v>0</v>
          </cell>
          <cell r="BV42">
            <v>0</v>
          </cell>
          <cell r="BW42">
            <v>0</v>
          </cell>
          <cell r="BX42">
            <v>0</v>
          </cell>
          <cell r="BY42">
            <v>0</v>
          </cell>
        </row>
        <row r="43">
          <cell r="B43" t="str">
            <v>32213-MX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</row>
        <row r="44">
          <cell r="B44" t="str">
            <v>32209-MX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</row>
        <row r="45">
          <cell r="B45" t="str">
            <v>SAB207-P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</row>
        <row r="46">
          <cell r="B46" t="str">
            <v>HCFTS206-20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</row>
        <row r="47">
          <cell r="B47" t="str">
            <v>HCP210-31-HA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</row>
        <row r="48">
          <cell r="B48" t="str">
            <v>32216-MX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</row>
        <row r="49">
          <cell r="B49" t="str">
            <v>32211-MX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</row>
        <row r="50">
          <cell r="B50" t="str">
            <v>AG307516-CHS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</row>
        <row r="51">
          <cell r="B51" t="str">
            <v>MG-206-RR3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</row>
        <row r="52">
          <cell r="B52" t="str">
            <v>BP-22002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</row>
        <row r="53">
          <cell r="B53" t="str">
            <v>30203-MX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</row>
        <row r="54">
          <cell r="B54" t="str">
            <v>MS04-2RST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</row>
        <row r="55">
          <cell r="B55" t="str">
            <v>32212-MX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</row>
        <row r="56">
          <cell r="B56" t="str">
            <v>04330121-01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</row>
        <row r="57">
          <cell r="B57" t="str">
            <v>S41211-DTR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</row>
        <row r="58">
          <cell r="B58" t="str">
            <v>AG-3565-CH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</row>
        <row r="59">
          <cell r="B59" t="str">
            <v>32010-MX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</row>
        <row r="60">
          <cell r="B60" t="str">
            <v>MS06-2RST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0</v>
          </cell>
          <cell r="BX60">
            <v>0</v>
          </cell>
          <cell r="BY60">
            <v>0</v>
          </cell>
        </row>
        <row r="61">
          <cell r="B61" t="str">
            <v>SAB207-35DG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</row>
        <row r="62">
          <cell r="B62" t="str">
            <v>BP-18030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</row>
        <row r="63">
          <cell r="B63" t="str">
            <v>BP-20001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</row>
        <row r="64">
          <cell r="B64" t="str">
            <v>BP-16003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</row>
        <row r="65">
          <cell r="B65" t="str">
            <v>ECL210-50D-3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</row>
        <row r="66">
          <cell r="B66" t="str">
            <v>LS05-2RLD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0</v>
          </cell>
          <cell r="BX66">
            <v>0</v>
          </cell>
          <cell r="BY66">
            <v>0</v>
          </cell>
        </row>
        <row r="67">
          <cell r="B67" t="str">
            <v>ASA-80-2-10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</row>
        <row r="68">
          <cell r="B68" t="str">
            <v>PB000155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</row>
        <row r="69">
          <cell r="B69" t="str">
            <v>PB006004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</row>
        <row r="70">
          <cell r="B70" t="str">
            <v>BP-12011-BI2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</row>
        <row r="71">
          <cell r="B71" t="str">
            <v>BP-12011-BD2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</row>
        <row r="72">
          <cell r="B72" t="str">
            <v>32217-MX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</row>
        <row r="73">
          <cell r="B73" t="str">
            <v>32013-MX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</row>
        <row r="74">
          <cell r="B74" t="str">
            <v>MS05-D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</row>
        <row r="75">
          <cell r="B75" t="str">
            <v>32011-MX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</row>
        <row r="76">
          <cell r="B76" t="str">
            <v>PB002860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</row>
        <row r="77">
          <cell r="B77" t="str">
            <v>112-CB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</row>
        <row r="78">
          <cell r="B78" t="str">
            <v>6204-2RS-RC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</row>
        <row r="79">
          <cell r="B79" t="str">
            <v>32214-MX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</row>
        <row r="80">
          <cell r="B80" t="str">
            <v>PFF-9-M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</row>
        <row r="81">
          <cell r="B81" t="str">
            <v>MS07-2RST1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</row>
        <row r="82">
          <cell r="B82" t="str">
            <v>ASA-80-2-12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</row>
        <row r="83">
          <cell r="B83" t="str">
            <v>LM104949-911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</row>
        <row r="84">
          <cell r="B84" t="str">
            <v>33117-MX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</row>
        <row r="85">
          <cell r="B85" t="str">
            <v>PB004772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0</v>
          </cell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</row>
        <row r="86">
          <cell r="B86" t="str">
            <v>33207-MX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BR86">
            <v>0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</row>
        <row r="87">
          <cell r="B87" t="str">
            <v>BP-18020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</row>
        <row r="88">
          <cell r="B88" t="str">
            <v>PB001184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</row>
        <row r="89">
          <cell r="B89" t="str">
            <v>PB003367A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</row>
        <row r="90">
          <cell r="B90" t="str">
            <v>32007-MX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</row>
        <row r="91">
          <cell r="B91" t="str">
            <v>SAB-207-35DG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</row>
        <row r="92">
          <cell r="B92" t="str">
            <v>LM68149-110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</row>
        <row r="93">
          <cell r="B93" t="str">
            <v>PB004848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</row>
        <row r="94">
          <cell r="B94" t="str">
            <v>32208-MX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</row>
        <row r="95">
          <cell r="B95" t="str">
            <v>DS2565C25CHS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</row>
        <row r="96">
          <cell r="B96" t="str">
            <v>32210-MX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</row>
        <row r="97">
          <cell r="B97" t="str">
            <v>SAB206-30DG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</row>
        <row r="98">
          <cell r="B98" t="str">
            <v>PB000864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</row>
        <row r="99">
          <cell r="B99" t="str">
            <v>AG-5575CHS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</row>
        <row r="100">
          <cell r="B100" t="str">
            <v>32207-MX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</row>
        <row r="101">
          <cell r="B101" t="str">
            <v>32219-MX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</row>
        <row r="102">
          <cell r="B102" t="str">
            <v>F-210-C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</row>
        <row r="103">
          <cell r="B103" t="str">
            <v>ECL212-60D-3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</row>
        <row r="104">
          <cell r="B104" t="str">
            <v>30213-MX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V104">
            <v>0</v>
          </cell>
          <cell r="BW104">
            <v>0</v>
          </cell>
          <cell r="BX104">
            <v>0</v>
          </cell>
          <cell r="BY104">
            <v>0</v>
          </cell>
        </row>
        <row r="105">
          <cell r="B105" t="str">
            <v>LS05-ZZ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</row>
        <row r="106">
          <cell r="B106" t="str">
            <v>HCFS210-31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</row>
        <row r="107">
          <cell r="B107" t="str">
            <v>FB-210-C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</row>
        <row r="108">
          <cell r="B108" t="str">
            <v>207-KRRB12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</row>
        <row r="109">
          <cell r="B109" t="str">
            <v>32008-MX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0</v>
          </cell>
          <cell r="BT109">
            <v>0</v>
          </cell>
          <cell r="BU109">
            <v>0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</row>
        <row r="110">
          <cell r="B110" t="str">
            <v>M040000059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0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</row>
        <row r="111">
          <cell r="B111" t="str">
            <v>LS05-2RST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0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</row>
        <row r="112">
          <cell r="B112" t="str">
            <v>PB000721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</row>
        <row r="113">
          <cell r="B113" t="str">
            <v>SAB208-40DG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</row>
        <row r="114">
          <cell r="B114" t="str">
            <v>MS06-D-C3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</row>
        <row r="115">
          <cell r="B115" t="str">
            <v>PB000852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0</v>
          </cell>
          <cell r="BT115">
            <v>0</v>
          </cell>
          <cell r="BU115">
            <v>0</v>
          </cell>
          <cell r="BV115">
            <v>0</v>
          </cell>
          <cell r="BW115">
            <v>0</v>
          </cell>
          <cell r="BX115">
            <v>0</v>
          </cell>
          <cell r="BY115">
            <v>0</v>
          </cell>
        </row>
        <row r="116">
          <cell r="B116" t="str">
            <v>HD04-2RST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</row>
        <row r="117">
          <cell r="B117" t="str">
            <v>207-KRRB9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</row>
        <row r="118">
          <cell r="B118" t="str">
            <v>PB003292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</row>
        <row r="119">
          <cell r="B119" t="str">
            <v>BP-17010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</row>
        <row r="120">
          <cell r="B120" t="str">
            <v>AG59520-62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</row>
        <row r="121">
          <cell r="B121" t="str">
            <v>PB004759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</row>
        <row r="122">
          <cell r="B122" t="str">
            <v>UCF211-32G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</row>
        <row r="123">
          <cell r="B123" t="str">
            <v>ECL207-35DD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0</v>
          </cell>
          <cell r="BT123">
            <v>0</v>
          </cell>
          <cell r="BU123">
            <v>0</v>
          </cell>
          <cell r="BV123">
            <v>0</v>
          </cell>
          <cell r="BW123">
            <v>0</v>
          </cell>
          <cell r="BX123">
            <v>0</v>
          </cell>
          <cell r="BY123">
            <v>0</v>
          </cell>
        </row>
        <row r="124">
          <cell r="B124" t="str">
            <v>PB004771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0</v>
          </cell>
          <cell r="BT124">
            <v>0</v>
          </cell>
          <cell r="BU124">
            <v>0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</row>
        <row r="125">
          <cell r="B125" t="str">
            <v>32006-MX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</row>
        <row r="126">
          <cell r="B126" t="str">
            <v>ECL-205-25DG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</row>
        <row r="127">
          <cell r="B127" t="str">
            <v>01.10.016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</row>
        <row r="128">
          <cell r="B128" t="str">
            <v>SAB5209-3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</row>
        <row r="129">
          <cell r="B129" t="str">
            <v>PB002452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</row>
        <row r="130">
          <cell r="B130" t="str">
            <v>32206-MX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</row>
        <row r="131">
          <cell r="B131" t="str">
            <v>30309-MX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</row>
        <row r="132">
          <cell r="B132" t="str">
            <v>F490306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</row>
        <row r="133">
          <cell r="B133" t="str">
            <v>203-KRR3-E2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</row>
        <row r="134">
          <cell r="B134" t="str">
            <v>F-211-M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V134">
            <v>0</v>
          </cell>
          <cell r="BW134">
            <v>0</v>
          </cell>
          <cell r="BX134">
            <v>0</v>
          </cell>
          <cell r="BY134">
            <v>0</v>
          </cell>
        </row>
        <row r="135">
          <cell r="B135" t="str">
            <v>PB001096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0</v>
          </cell>
          <cell r="BT135">
            <v>0</v>
          </cell>
          <cell r="BU135">
            <v>0</v>
          </cell>
          <cell r="BV135">
            <v>0</v>
          </cell>
          <cell r="BW135">
            <v>0</v>
          </cell>
          <cell r="BX135">
            <v>0</v>
          </cell>
          <cell r="BY135">
            <v>0</v>
          </cell>
        </row>
        <row r="136">
          <cell r="B136" t="str">
            <v>PB002861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</row>
        <row r="137">
          <cell r="B137" t="str">
            <v>M040000077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</row>
        <row r="138">
          <cell r="B138" t="str">
            <v>32220-MX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</row>
        <row r="139">
          <cell r="B139" t="str">
            <v>209-KYYB2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</row>
        <row r="140">
          <cell r="B140" t="str">
            <v>205KYR2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</row>
        <row r="141">
          <cell r="B141" t="str">
            <v>MS02-2RLD-C3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0</v>
          </cell>
          <cell r="BT141">
            <v>0</v>
          </cell>
          <cell r="BU141">
            <v>0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</row>
        <row r="142">
          <cell r="B142" t="str">
            <v>01.10.017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BR142">
            <v>0</v>
          </cell>
          <cell r="BS142">
            <v>0</v>
          </cell>
          <cell r="BT142">
            <v>0</v>
          </cell>
          <cell r="BU142">
            <v>0</v>
          </cell>
          <cell r="BV142">
            <v>0</v>
          </cell>
          <cell r="BW142">
            <v>0</v>
          </cell>
          <cell r="BX142">
            <v>0</v>
          </cell>
          <cell r="BY142">
            <v>0</v>
          </cell>
        </row>
        <row r="143">
          <cell r="B143" t="str">
            <v>ECL-207-35DG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BR143">
            <v>0</v>
          </cell>
          <cell r="BS143">
            <v>0</v>
          </cell>
          <cell r="BT143">
            <v>0</v>
          </cell>
          <cell r="BU143">
            <v>0</v>
          </cell>
          <cell r="BV143">
            <v>0</v>
          </cell>
          <cell r="BW143">
            <v>0</v>
          </cell>
          <cell r="BX143">
            <v>0</v>
          </cell>
          <cell r="BY143">
            <v>0</v>
          </cell>
        </row>
        <row r="144">
          <cell r="B144" t="str">
            <v>PB006186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</v>
          </cell>
          <cell r="BR144">
            <v>0</v>
          </cell>
          <cell r="BS144">
            <v>0</v>
          </cell>
          <cell r="BT144">
            <v>0</v>
          </cell>
          <cell r="BU144">
            <v>0</v>
          </cell>
          <cell r="BV144">
            <v>0</v>
          </cell>
          <cell r="BW144">
            <v>0</v>
          </cell>
          <cell r="BX144">
            <v>0</v>
          </cell>
          <cell r="BY144">
            <v>0</v>
          </cell>
        </row>
        <row r="145">
          <cell r="B145" t="str">
            <v>HCP211-32G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</row>
        <row r="146">
          <cell r="B146" t="str">
            <v>ACL-210-50mm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</row>
        <row r="147">
          <cell r="B147" t="str">
            <v>UCF205-16G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</row>
        <row r="148">
          <cell r="B148" t="str">
            <v>5203-KYY5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BR148">
            <v>0</v>
          </cell>
          <cell r="BS148">
            <v>0</v>
          </cell>
          <cell r="BT148">
            <v>0</v>
          </cell>
          <cell r="BU148">
            <v>0</v>
          </cell>
          <cell r="BV148">
            <v>0</v>
          </cell>
          <cell r="BW148">
            <v>0</v>
          </cell>
          <cell r="BX148">
            <v>0</v>
          </cell>
          <cell r="BY148">
            <v>0</v>
          </cell>
        </row>
        <row r="149">
          <cell r="B149" t="str">
            <v>PB005307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BR149">
            <v>0</v>
          </cell>
          <cell r="BS149">
            <v>0</v>
          </cell>
          <cell r="BT149">
            <v>0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</row>
        <row r="150">
          <cell r="B150" t="str">
            <v>SAB209-45DG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BR150">
            <v>0</v>
          </cell>
          <cell r="BS150">
            <v>0</v>
          </cell>
          <cell r="BT150">
            <v>0</v>
          </cell>
          <cell r="BU150">
            <v>0</v>
          </cell>
          <cell r="BV150">
            <v>0</v>
          </cell>
          <cell r="BW150">
            <v>0</v>
          </cell>
          <cell r="BX150">
            <v>0</v>
          </cell>
          <cell r="BY150">
            <v>0</v>
          </cell>
        </row>
        <row r="151">
          <cell r="B151" t="str">
            <v>PB001842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BR151">
            <v>0</v>
          </cell>
          <cell r="BS151">
            <v>0</v>
          </cell>
          <cell r="BT151">
            <v>0</v>
          </cell>
          <cell r="BU151">
            <v>0</v>
          </cell>
          <cell r="BV151">
            <v>0</v>
          </cell>
          <cell r="BW151">
            <v>0</v>
          </cell>
          <cell r="BX151">
            <v>0</v>
          </cell>
          <cell r="BY151">
            <v>0</v>
          </cell>
        </row>
        <row r="152">
          <cell r="B152" t="str">
            <v>ACLR208-40RG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BR152">
            <v>0</v>
          </cell>
          <cell r="BS152">
            <v>0</v>
          </cell>
          <cell r="BT152">
            <v>0</v>
          </cell>
          <cell r="BU152">
            <v>0</v>
          </cell>
          <cell r="BV152">
            <v>0</v>
          </cell>
          <cell r="BW152">
            <v>0</v>
          </cell>
          <cell r="BX152">
            <v>0</v>
          </cell>
          <cell r="BY152">
            <v>0</v>
          </cell>
        </row>
        <row r="153">
          <cell r="B153" t="str">
            <v>FHP208-24G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BR153">
            <v>0</v>
          </cell>
          <cell r="BS153">
            <v>0</v>
          </cell>
          <cell r="BT153">
            <v>0</v>
          </cell>
          <cell r="BU153">
            <v>0</v>
          </cell>
          <cell r="BV153">
            <v>0</v>
          </cell>
          <cell r="BW153">
            <v>0</v>
          </cell>
          <cell r="BX153">
            <v>0</v>
          </cell>
          <cell r="BY153">
            <v>0</v>
          </cell>
        </row>
        <row r="154">
          <cell r="B154" t="str">
            <v>30308-MX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BR154">
            <v>0</v>
          </cell>
          <cell r="BS154">
            <v>0</v>
          </cell>
          <cell r="BT154">
            <v>0</v>
          </cell>
          <cell r="BU154">
            <v>0</v>
          </cell>
          <cell r="BV154">
            <v>0</v>
          </cell>
          <cell r="BW154">
            <v>0</v>
          </cell>
          <cell r="BX154">
            <v>0</v>
          </cell>
          <cell r="BY154">
            <v>0</v>
          </cell>
        </row>
        <row r="155">
          <cell r="B155" t="str">
            <v>207-KYYB2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BR155">
            <v>0</v>
          </cell>
          <cell r="BS155">
            <v>0</v>
          </cell>
          <cell r="BT155">
            <v>0</v>
          </cell>
          <cell r="BU155">
            <v>0</v>
          </cell>
          <cell r="BV155">
            <v>0</v>
          </cell>
          <cell r="BW155">
            <v>0</v>
          </cell>
          <cell r="BX155">
            <v>0</v>
          </cell>
          <cell r="BY155">
            <v>0</v>
          </cell>
        </row>
        <row r="156">
          <cell r="B156" t="str">
            <v>PB004010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BR156">
            <v>0</v>
          </cell>
          <cell r="BS156">
            <v>0</v>
          </cell>
          <cell r="BT156">
            <v>0</v>
          </cell>
          <cell r="BU156">
            <v>0</v>
          </cell>
          <cell r="BV156">
            <v>0</v>
          </cell>
          <cell r="BW156">
            <v>0</v>
          </cell>
          <cell r="BX156">
            <v>0</v>
          </cell>
          <cell r="BY156">
            <v>0</v>
          </cell>
        </row>
        <row r="157">
          <cell r="B157" t="str">
            <v>PB001335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BR157">
            <v>0</v>
          </cell>
          <cell r="BS157">
            <v>0</v>
          </cell>
          <cell r="BT157">
            <v>0</v>
          </cell>
          <cell r="BU157">
            <v>0</v>
          </cell>
          <cell r="BV157">
            <v>0</v>
          </cell>
          <cell r="BW157">
            <v>0</v>
          </cell>
          <cell r="BX157">
            <v>0</v>
          </cell>
          <cell r="BY157">
            <v>0</v>
          </cell>
        </row>
        <row r="158">
          <cell r="B158" t="str">
            <v>PB001029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BR158">
            <v>0</v>
          </cell>
          <cell r="BS158">
            <v>0</v>
          </cell>
          <cell r="BT158">
            <v>0</v>
          </cell>
          <cell r="BU158">
            <v>0</v>
          </cell>
          <cell r="BV158">
            <v>0</v>
          </cell>
          <cell r="BW158">
            <v>0</v>
          </cell>
          <cell r="BX158">
            <v>0</v>
          </cell>
          <cell r="BY158">
            <v>0</v>
          </cell>
        </row>
        <row r="159">
          <cell r="B159" t="str">
            <v>LS06-D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BR159">
            <v>0</v>
          </cell>
          <cell r="BS159">
            <v>0</v>
          </cell>
          <cell r="BT159">
            <v>0</v>
          </cell>
          <cell r="BU159">
            <v>0</v>
          </cell>
          <cell r="BV159">
            <v>0</v>
          </cell>
          <cell r="BW159">
            <v>0</v>
          </cell>
          <cell r="BX159">
            <v>0</v>
          </cell>
          <cell r="BY159">
            <v>0</v>
          </cell>
        </row>
        <row r="160">
          <cell r="B160" t="str">
            <v>PB004758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BR160">
            <v>0</v>
          </cell>
          <cell r="BS160">
            <v>0</v>
          </cell>
          <cell r="BT160">
            <v>0</v>
          </cell>
          <cell r="BU160">
            <v>0</v>
          </cell>
          <cell r="BV160">
            <v>0</v>
          </cell>
          <cell r="BW160">
            <v>0</v>
          </cell>
          <cell r="BX160">
            <v>0</v>
          </cell>
          <cell r="BY160">
            <v>0</v>
          </cell>
        </row>
        <row r="161">
          <cell r="B161" t="str">
            <v>PB000157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BR161">
            <v>0</v>
          </cell>
          <cell r="BS161">
            <v>0</v>
          </cell>
          <cell r="BT161">
            <v>0</v>
          </cell>
          <cell r="BU161">
            <v>0</v>
          </cell>
          <cell r="BV161">
            <v>0</v>
          </cell>
          <cell r="BW161">
            <v>0</v>
          </cell>
          <cell r="BX161">
            <v>0</v>
          </cell>
          <cell r="BY161">
            <v>0</v>
          </cell>
        </row>
        <row r="162">
          <cell r="B162" t="str">
            <v>HCFTS205-16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</row>
        <row r="163">
          <cell r="B163" t="str">
            <v>PB000840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BR163">
            <v>0</v>
          </cell>
          <cell r="BS163">
            <v>0</v>
          </cell>
          <cell r="BT163">
            <v>0</v>
          </cell>
          <cell r="BU163">
            <v>0</v>
          </cell>
          <cell r="BV163">
            <v>0</v>
          </cell>
          <cell r="BW163">
            <v>0</v>
          </cell>
          <cell r="BX163">
            <v>0</v>
          </cell>
          <cell r="BY163">
            <v>0</v>
          </cell>
        </row>
        <row r="164">
          <cell r="B164" t="str">
            <v>ECL-206-19DG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BR164">
            <v>0</v>
          </cell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0</v>
          </cell>
          <cell r="BX164">
            <v>0</v>
          </cell>
          <cell r="BY164">
            <v>0</v>
          </cell>
        </row>
        <row r="165">
          <cell r="B165" t="str">
            <v>SAB207-35DD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</row>
        <row r="166">
          <cell r="B166" t="str">
            <v>PB006001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</row>
        <row r="167">
          <cell r="B167" t="str">
            <v>SAB207-3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BR167">
            <v>0</v>
          </cell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</row>
        <row r="168">
          <cell r="B168" t="str">
            <v>MS06-2RLD-C3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</row>
        <row r="169">
          <cell r="B169" t="str">
            <v>PB001097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BR169">
            <v>0</v>
          </cell>
          <cell r="BS169">
            <v>0</v>
          </cell>
          <cell r="BT169">
            <v>0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</row>
        <row r="170">
          <cell r="B170" t="str">
            <v>PB002862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0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</row>
        <row r="171">
          <cell r="B171" t="str">
            <v>PB004011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</row>
        <row r="172">
          <cell r="B172" t="str">
            <v>LS05-D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BR172">
            <v>0</v>
          </cell>
          <cell r="BS172">
            <v>0</v>
          </cell>
          <cell r="BT172">
            <v>0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</row>
        <row r="173">
          <cell r="B173" t="str">
            <v>ECL-205-14DG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BR173">
            <v>0</v>
          </cell>
          <cell r="BS173">
            <v>0</v>
          </cell>
          <cell r="BT173">
            <v>0</v>
          </cell>
          <cell r="BU173">
            <v>0</v>
          </cell>
          <cell r="BV173">
            <v>0</v>
          </cell>
          <cell r="BW173">
            <v>0</v>
          </cell>
          <cell r="BX173">
            <v>0</v>
          </cell>
          <cell r="BY173">
            <v>0</v>
          </cell>
        </row>
        <row r="174">
          <cell r="B174" t="str">
            <v>FD-205-C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BQ174">
            <v>0</v>
          </cell>
          <cell r="BR174">
            <v>0</v>
          </cell>
          <cell r="BS174">
            <v>0</v>
          </cell>
          <cell r="BT174">
            <v>0</v>
          </cell>
          <cell r="BU174">
            <v>0</v>
          </cell>
          <cell r="BV174">
            <v>0</v>
          </cell>
          <cell r="BW174">
            <v>0</v>
          </cell>
          <cell r="BX174">
            <v>0</v>
          </cell>
          <cell r="BY174">
            <v>0</v>
          </cell>
        </row>
        <row r="175">
          <cell r="B175" t="str">
            <v>F-209-A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BR175">
            <v>0</v>
          </cell>
          <cell r="BS175">
            <v>0</v>
          </cell>
          <cell r="BT175">
            <v>0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</row>
        <row r="176">
          <cell r="B176" t="str">
            <v>PB004008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BR176">
            <v>0</v>
          </cell>
          <cell r="BS176">
            <v>0</v>
          </cell>
          <cell r="BT176">
            <v>0</v>
          </cell>
          <cell r="BU176">
            <v>0</v>
          </cell>
          <cell r="BV176">
            <v>0</v>
          </cell>
          <cell r="BW176">
            <v>0</v>
          </cell>
          <cell r="BX176">
            <v>0</v>
          </cell>
          <cell r="BY176">
            <v>0</v>
          </cell>
        </row>
        <row r="177">
          <cell r="B177" t="str">
            <v>30310-MX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BR177">
            <v>0</v>
          </cell>
          <cell r="BS177">
            <v>0</v>
          </cell>
          <cell r="BT177">
            <v>0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</row>
        <row r="178">
          <cell r="B178" t="str">
            <v>MS04-D-C3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0</v>
          </cell>
          <cell r="BU178">
            <v>0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</row>
        <row r="179">
          <cell r="B179" t="str">
            <v>PB003254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</row>
        <row r="180">
          <cell r="B180" t="str">
            <v>AG59517-65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BR180">
            <v>0</v>
          </cell>
          <cell r="BS180">
            <v>0</v>
          </cell>
          <cell r="BT180">
            <v>0</v>
          </cell>
          <cell r="BU180">
            <v>0</v>
          </cell>
          <cell r="BV180">
            <v>0</v>
          </cell>
          <cell r="BW180">
            <v>0</v>
          </cell>
          <cell r="BX180">
            <v>0</v>
          </cell>
          <cell r="BY180">
            <v>0</v>
          </cell>
        </row>
        <row r="181">
          <cell r="B181" t="str">
            <v>33213-MX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BR181">
            <v>0</v>
          </cell>
          <cell r="BS181">
            <v>0</v>
          </cell>
          <cell r="BT181">
            <v>0</v>
          </cell>
          <cell r="BU181">
            <v>0</v>
          </cell>
          <cell r="BV181">
            <v>0</v>
          </cell>
          <cell r="BW181">
            <v>0</v>
          </cell>
          <cell r="BX181">
            <v>0</v>
          </cell>
          <cell r="BY181">
            <v>0</v>
          </cell>
        </row>
        <row r="182">
          <cell r="B182" t="str">
            <v>PB005350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BR182">
            <v>0</v>
          </cell>
          <cell r="BS182">
            <v>0</v>
          </cell>
          <cell r="BT182">
            <v>0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</row>
        <row r="183">
          <cell r="B183" t="str">
            <v>30214-MX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BR183">
            <v>0</v>
          </cell>
          <cell r="BS183">
            <v>0</v>
          </cell>
          <cell r="BT183">
            <v>0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</row>
        <row r="184">
          <cell r="B184" t="str">
            <v>ACL205-14RG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</row>
        <row r="185">
          <cell r="B185" t="str">
            <v>206-KRRB6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BR185">
            <v>0</v>
          </cell>
          <cell r="BS185">
            <v>0</v>
          </cell>
          <cell r="BT185">
            <v>0</v>
          </cell>
          <cell r="BU185">
            <v>0</v>
          </cell>
          <cell r="BV185">
            <v>0</v>
          </cell>
          <cell r="BW185">
            <v>0</v>
          </cell>
          <cell r="BX185">
            <v>0</v>
          </cell>
          <cell r="BY185">
            <v>0</v>
          </cell>
        </row>
        <row r="186">
          <cell r="B186" t="str">
            <v>SAB209-3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0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0</v>
          </cell>
        </row>
        <row r="187">
          <cell r="B187" t="str">
            <v>ASL-205-25MM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BR187">
            <v>0</v>
          </cell>
          <cell r="BS187">
            <v>0</v>
          </cell>
          <cell r="BT187">
            <v>0</v>
          </cell>
          <cell r="BU187">
            <v>0</v>
          </cell>
          <cell r="BV187">
            <v>0</v>
          </cell>
          <cell r="BW187">
            <v>0</v>
          </cell>
          <cell r="BX187">
            <v>0</v>
          </cell>
          <cell r="BY187">
            <v>0</v>
          </cell>
        </row>
        <row r="188">
          <cell r="B188" t="str">
            <v>ACL206-18RG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BR188">
            <v>0</v>
          </cell>
          <cell r="BS188">
            <v>0</v>
          </cell>
          <cell r="BT188">
            <v>0</v>
          </cell>
          <cell r="BU188">
            <v>0</v>
          </cell>
          <cell r="BV188">
            <v>0</v>
          </cell>
          <cell r="BW188">
            <v>0</v>
          </cell>
          <cell r="BX188">
            <v>0</v>
          </cell>
          <cell r="BY188">
            <v>0</v>
          </cell>
        </row>
        <row r="189">
          <cell r="B189" t="str">
            <v>AG256514-CH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BR189">
            <v>0</v>
          </cell>
          <cell r="BS189">
            <v>0</v>
          </cell>
          <cell r="BT189">
            <v>0</v>
          </cell>
          <cell r="BU189">
            <v>0</v>
          </cell>
          <cell r="BV189">
            <v>0</v>
          </cell>
          <cell r="BW189">
            <v>0</v>
          </cell>
          <cell r="BX189">
            <v>0</v>
          </cell>
          <cell r="BY189">
            <v>0</v>
          </cell>
        </row>
        <row r="190">
          <cell r="B190" t="str">
            <v>HM-803146/10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T190">
            <v>0</v>
          </cell>
          <cell r="BU190">
            <v>0</v>
          </cell>
          <cell r="BV190">
            <v>0</v>
          </cell>
          <cell r="BW190">
            <v>0</v>
          </cell>
          <cell r="BX190">
            <v>0</v>
          </cell>
          <cell r="BY190">
            <v>0</v>
          </cell>
        </row>
        <row r="191">
          <cell r="B191" t="str">
            <v>F208-M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T191">
            <v>0</v>
          </cell>
          <cell r="BU191">
            <v>0</v>
          </cell>
          <cell r="BV191">
            <v>0</v>
          </cell>
          <cell r="BW191">
            <v>0</v>
          </cell>
          <cell r="BX191">
            <v>0</v>
          </cell>
          <cell r="BY191">
            <v>0</v>
          </cell>
        </row>
        <row r="192">
          <cell r="B192" t="str">
            <v>5203-KYY9-A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>
            <v>0</v>
          </cell>
          <cell r="BT192">
            <v>0</v>
          </cell>
          <cell r="BU192">
            <v>0</v>
          </cell>
          <cell r="BV192">
            <v>0</v>
          </cell>
          <cell r="BW192">
            <v>0</v>
          </cell>
          <cell r="BX192">
            <v>0</v>
          </cell>
          <cell r="BY192">
            <v>0</v>
          </cell>
        </row>
        <row r="193">
          <cell r="B193" t="str">
            <v>30307-MX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T193">
            <v>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</row>
        <row r="194">
          <cell r="B194" t="str">
            <v>PB002091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T194">
            <v>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</row>
        <row r="195">
          <cell r="B195" t="str">
            <v>PB004013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BR195">
            <v>0</v>
          </cell>
          <cell r="BS195">
            <v>0</v>
          </cell>
          <cell r="BT195">
            <v>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</row>
        <row r="196">
          <cell r="B196" t="str">
            <v>3T-12012-MX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BR196">
            <v>0</v>
          </cell>
          <cell r="BS196">
            <v>0</v>
          </cell>
          <cell r="BT196">
            <v>0</v>
          </cell>
          <cell r="BU196">
            <v>0</v>
          </cell>
          <cell r="BV196">
            <v>0</v>
          </cell>
          <cell r="BW196">
            <v>0</v>
          </cell>
          <cell r="BX196">
            <v>0</v>
          </cell>
          <cell r="BY196">
            <v>0</v>
          </cell>
        </row>
        <row r="197">
          <cell r="B197" t="str">
            <v>32014-MX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0</v>
          </cell>
          <cell r="BS197">
            <v>0</v>
          </cell>
          <cell r="BT197">
            <v>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</row>
        <row r="198">
          <cell r="B198" t="str">
            <v>PB004009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>
            <v>0</v>
          </cell>
          <cell r="BT198">
            <v>0</v>
          </cell>
          <cell r="BU198">
            <v>0</v>
          </cell>
          <cell r="BV198">
            <v>0</v>
          </cell>
          <cell r="BW198">
            <v>0</v>
          </cell>
          <cell r="BX198">
            <v>0</v>
          </cell>
          <cell r="BY198">
            <v>0</v>
          </cell>
        </row>
        <row r="199">
          <cell r="B199" t="str">
            <v>ASLLF205-14R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T199">
            <v>0</v>
          </cell>
          <cell r="BU199">
            <v>0</v>
          </cell>
          <cell r="BV199">
            <v>0</v>
          </cell>
          <cell r="BW199">
            <v>0</v>
          </cell>
          <cell r="BX199">
            <v>0</v>
          </cell>
          <cell r="BY199">
            <v>0</v>
          </cell>
        </row>
        <row r="200">
          <cell r="B200" t="str">
            <v>AG593062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BR200">
            <v>0</v>
          </cell>
          <cell r="BS200">
            <v>0</v>
          </cell>
          <cell r="BT200">
            <v>0</v>
          </cell>
          <cell r="BU200">
            <v>0</v>
          </cell>
          <cell r="BV200">
            <v>0</v>
          </cell>
          <cell r="BW200">
            <v>0</v>
          </cell>
          <cell r="BX200">
            <v>0</v>
          </cell>
          <cell r="BY200">
            <v>0</v>
          </cell>
        </row>
        <row r="201">
          <cell r="B201" t="str">
            <v>FT208-M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BR201">
            <v>0</v>
          </cell>
          <cell r="BS201">
            <v>0</v>
          </cell>
          <cell r="BT201">
            <v>0</v>
          </cell>
          <cell r="BU201">
            <v>0</v>
          </cell>
          <cell r="BV201">
            <v>0</v>
          </cell>
          <cell r="BW201">
            <v>0</v>
          </cell>
          <cell r="BX201">
            <v>0</v>
          </cell>
          <cell r="BY201">
            <v>0</v>
          </cell>
        </row>
        <row r="202">
          <cell r="B202" t="str">
            <v>30305-MX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BR202">
            <v>0</v>
          </cell>
          <cell r="BS202">
            <v>0</v>
          </cell>
          <cell r="BT202">
            <v>0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</row>
        <row r="203">
          <cell r="B203" t="str">
            <v>30216-MX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BR203">
            <v>0</v>
          </cell>
          <cell r="BS203">
            <v>0</v>
          </cell>
          <cell r="BT203">
            <v>0</v>
          </cell>
          <cell r="BU203">
            <v>0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</row>
        <row r="204">
          <cell r="B204" t="str">
            <v>PB005305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BR204">
            <v>0</v>
          </cell>
          <cell r="BS204">
            <v>0</v>
          </cell>
          <cell r="BT204">
            <v>0</v>
          </cell>
          <cell r="BU204">
            <v>0</v>
          </cell>
          <cell r="BV204">
            <v>0</v>
          </cell>
          <cell r="BW204">
            <v>0</v>
          </cell>
          <cell r="BX204">
            <v>0</v>
          </cell>
          <cell r="BY204">
            <v>0</v>
          </cell>
        </row>
        <row r="205">
          <cell r="B205" t="str">
            <v>ACL-207-22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BR205">
            <v>0</v>
          </cell>
          <cell r="BS205">
            <v>0</v>
          </cell>
          <cell r="BT205">
            <v>0</v>
          </cell>
          <cell r="BU205">
            <v>0</v>
          </cell>
          <cell r="BV205">
            <v>0</v>
          </cell>
          <cell r="BW205">
            <v>0</v>
          </cell>
          <cell r="BX205">
            <v>0</v>
          </cell>
          <cell r="BY205">
            <v>0</v>
          </cell>
        </row>
        <row r="206">
          <cell r="B206" t="str">
            <v>HA-212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BR206">
            <v>0</v>
          </cell>
          <cell r="BS206">
            <v>0</v>
          </cell>
          <cell r="BT206">
            <v>0</v>
          </cell>
          <cell r="BU206">
            <v>0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</row>
        <row r="207">
          <cell r="B207" t="str">
            <v>204-JY5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BQ207">
            <v>0</v>
          </cell>
          <cell r="BR207">
            <v>0</v>
          </cell>
          <cell r="BS207">
            <v>0</v>
          </cell>
          <cell r="BT207">
            <v>0</v>
          </cell>
          <cell r="BU207">
            <v>0</v>
          </cell>
          <cell r="BV207">
            <v>0</v>
          </cell>
          <cell r="BW207">
            <v>0</v>
          </cell>
          <cell r="BX207">
            <v>0</v>
          </cell>
          <cell r="BY207">
            <v>0</v>
          </cell>
        </row>
        <row r="208">
          <cell r="B208" t="str">
            <v>E080001012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BR208">
            <v>0</v>
          </cell>
          <cell r="BS208">
            <v>0</v>
          </cell>
          <cell r="BT208">
            <v>0</v>
          </cell>
          <cell r="BU208">
            <v>0</v>
          </cell>
          <cell r="BV208">
            <v>0</v>
          </cell>
          <cell r="BW208">
            <v>0</v>
          </cell>
          <cell r="BX208">
            <v>0</v>
          </cell>
          <cell r="BY208">
            <v>0</v>
          </cell>
        </row>
        <row r="209">
          <cell r="B209" t="str">
            <v>32009-MX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BR209">
            <v>0</v>
          </cell>
          <cell r="BS209">
            <v>0</v>
          </cell>
          <cell r="BT209">
            <v>0</v>
          </cell>
          <cell r="BU209">
            <v>0</v>
          </cell>
          <cell r="BV209">
            <v>0</v>
          </cell>
          <cell r="BW209">
            <v>0</v>
          </cell>
          <cell r="BX209">
            <v>0</v>
          </cell>
          <cell r="BY209">
            <v>0</v>
          </cell>
        </row>
        <row r="210">
          <cell r="B210" t="str">
            <v>BP-13014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BQ210">
            <v>0</v>
          </cell>
          <cell r="BR210">
            <v>0</v>
          </cell>
          <cell r="BS210">
            <v>0</v>
          </cell>
          <cell r="BT210">
            <v>0</v>
          </cell>
          <cell r="BU210">
            <v>0</v>
          </cell>
          <cell r="BV210">
            <v>0</v>
          </cell>
          <cell r="BW210">
            <v>0</v>
          </cell>
          <cell r="BX210">
            <v>0</v>
          </cell>
          <cell r="BY210">
            <v>0</v>
          </cell>
        </row>
        <row r="211">
          <cell r="B211" t="str">
            <v>SAB205-25DG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BQ211">
            <v>0</v>
          </cell>
          <cell r="BR211">
            <v>0</v>
          </cell>
          <cell r="BS211">
            <v>0</v>
          </cell>
          <cell r="BT211">
            <v>0</v>
          </cell>
          <cell r="BU211">
            <v>0</v>
          </cell>
          <cell r="BV211">
            <v>0</v>
          </cell>
          <cell r="BW211">
            <v>0</v>
          </cell>
          <cell r="BX211">
            <v>0</v>
          </cell>
          <cell r="BY211">
            <v>0</v>
          </cell>
        </row>
        <row r="212">
          <cell r="B212" t="str">
            <v>33110-MX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V212">
            <v>0</v>
          </cell>
          <cell r="BW212">
            <v>0</v>
          </cell>
          <cell r="BX212">
            <v>0</v>
          </cell>
          <cell r="BY212">
            <v>0</v>
          </cell>
        </row>
        <row r="213">
          <cell r="B213" t="str">
            <v>F4X-208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BR213">
            <v>0</v>
          </cell>
          <cell r="BS213">
            <v>0</v>
          </cell>
          <cell r="BT213">
            <v>0</v>
          </cell>
          <cell r="BU213">
            <v>0</v>
          </cell>
          <cell r="BV213">
            <v>0</v>
          </cell>
          <cell r="BW213">
            <v>0</v>
          </cell>
          <cell r="BX213">
            <v>0</v>
          </cell>
          <cell r="BY213">
            <v>0</v>
          </cell>
        </row>
        <row r="214">
          <cell r="B214" t="str">
            <v>22218-CW33C3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BQ214">
            <v>0</v>
          </cell>
          <cell r="BR214">
            <v>0</v>
          </cell>
          <cell r="BS214">
            <v>0</v>
          </cell>
          <cell r="BT214">
            <v>0</v>
          </cell>
          <cell r="BU214">
            <v>0</v>
          </cell>
          <cell r="BV214">
            <v>0</v>
          </cell>
          <cell r="BW214">
            <v>0</v>
          </cell>
          <cell r="BX214">
            <v>0</v>
          </cell>
          <cell r="BY214">
            <v>0</v>
          </cell>
        </row>
        <row r="215">
          <cell r="B215" t="str">
            <v>W207-KYYB3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BR215">
            <v>0</v>
          </cell>
          <cell r="BS215">
            <v>0</v>
          </cell>
          <cell r="BT215">
            <v>0</v>
          </cell>
          <cell r="BU215">
            <v>0</v>
          </cell>
          <cell r="BV215">
            <v>0</v>
          </cell>
          <cell r="BW215">
            <v>0</v>
          </cell>
          <cell r="BX215">
            <v>0</v>
          </cell>
          <cell r="BY215">
            <v>0</v>
          </cell>
        </row>
        <row r="216">
          <cell r="B216" t="str">
            <v>3984-20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BR216">
            <v>0</v>
          </cell>
          <cell r="BS216">
            <v>0</v>
          </cell>
          <cell r="BT216">
            <v>0</v>
          </cell>
          <cell r="BU216">
            <v>0</v>
          </cell>
          <cell r="BV216">
            <v>0</v>
          </cell>
          <cell r="BW216">
            <v>0</v>
          </cell>
          <cell r="BX216">
            <v>0</v>
          </cell>
          <cell r="BY216">
            <v>0</v>
          </cell>
        </row>
        <row r="217">
          <cell r="B217" t="str">
            <v>PB005519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BR217">
            <v>0</v>
          </cell>
          <cell r="BS217">
            <v>0</v>
          </cell>
          <cell r="BT217">
            <v>0</v>
          </cell>
          <cell r="BU217">
            <v>0</v>
          </cell>
          <cell r="BV217">
            <v>0</v>
          </cell>
          <cell r="BW217">
            <v>0</v>
          </cell>
          <cell r="BX217">
            <v>0</v>
          </cell>
          <cell r="BY217">
            <v>0</v>
          </cell>
        </row>
        <row r="218">
          <cell r="B218" t="str">
            <v>ACL-205-25MM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BR218">
            <v>0</v>
          </cell>
          <cell r="BS218">
            <v>0</v>
          </cell>
          <cell r="BT218">
            <v>0</v>
          </cell>
          <cell r="BU218">
            <v>0</v>
          </cell>
          <cell r="BV218">
            <v>0</v>
          </cell>
          <cell r="BW218">
            <v>0</v>
          </cell>
          <cell r="BX218">
            <v>0</v>
          </cell>
          <cell r="BY218">
            <v>0</v>
          </cell>
        </row>
        <row r="219">
          <cell r="B219" t="str">
            <v>ECL-305DG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BR219">
            <v>0</v>
          </cell>
          <cell r="BS219">
            <v>0</v>
          </cell>
          <cell r="BT219">
            <v>0</v>
          </cell>
          <cell r="BU219">
            <v>0</v>
          </cell>
          <cell r="BV219">
            <v>0</v>
          </cell>
          <cell r="BW219">
            <v>0</v>
          </cell>
          <cell r="BX219">
            <v>0</v>
          </cell>
          <cell r="BY219">
            <v>0</v>
          </cell>
        </row>
        <row r="220">
          <cell r="B220" t="str">
            <v>FHF205-16G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BR220">
            <v>0</v>
          </cell>
          <cell r="BS220">
            <v>0</v>
          </cell>
          <cell r="BT220">
            <v>0</v>
          </cell>
          <cell r="BU220">
            <v>0</v>
          </cell>
          <cell r="BV220">
            <v>0</v>
          </cell>
          <cell r="BW220">
            <v>0</v>
          </cell>
          <cell r="BX220">
            <v>0</v>
          </cell>
          <cell r="BY220">
            <v>0</v>
          </cell>
        </row>
        <row r="221">
          <cell r="B221" t="str">
            <v>MS08-2RSTX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BR221">
            <v>0</v>
          </cell>
          <cell r="BS221">
            <v>0</v>
          </cell>
          <cell r="BT221">
            <v>0</v>
          </cell>
          <cell r="BU221">
            <v>0</v>
          </cell>
          <cell r="BV221">
            <v>0</v>
          </cell>
          <cell r="BW221">
            <v>0</v>
          </cell>
          <cell r="BX221">
            <v>0</v>
          </cell>
          <cell r="BY221">
            <v>0</v>
          </cell>
        </row>
        <row r="222">
          <cell r="B222" t="str">
            <v>FB-211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BR222">
            <v>0</v>
          </cell>
          <cell r="BS222">
            <v>0</v>
          </cell>
          <cell r="BT222">
            <v>0</v>
          </cell>
          <cell r="BU222">
            <v>0</v>
          </cell>
          <cell r="BV222">
            <v>0</v>
          </cell>
          <cell r="BW222">
            <v>0</v>
          </cell>
          <cell r="BX222">
            <v>0</v>
          </cell>
          <cell r="BY222">
            <v>0</v>
          </cell>
        </row>
        <row r="223">
          <cell r="B223" t="str">
            <v>PB004763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BR223">
            <v>0</v>
          </cell>
          <cell r="BS223">
            <v>0</v>
          </cell>
          <cell r="BT223">
            <v>0</v>
          </cell>
          <cell r="BU223">
            <v>0</v>
          </cell>
          <cell r="BV223">
            <v>0</v>
          </cell>
          <cell r="BW223">
            <v>0</v>
          </cell>
          <cell r="BX223">
            <v>0</v>
          </cell>
          <cell r="BY223">
            <v>0</v>
          </cell>
        </row>
        <row r="224">
          <cell r="B224" t="str">
            <v>30306-MX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0</v>
          </cell>
          <cell r="BY224">
            <v>0</v>
          </cell>
        </row>
        <row r="225">
          <cell r="B225" t="str">
            <v>BP-23005-ST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0</v>
          </cell>
          <cell r="BY225">
            <v>0</v>
          </cell>
        </row>
        <row r="226">
          <cell r="B226" t="str">
            <v>ECL209-45D-3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0</v>
          </cell>
          <cell r="BY226">
            <v>0</v>
          </cell>
        </row>
        <row r="227">
          <cell r="B227" t="str">
            <v>PB004520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0</v>
          </cell>
          <cell r="BY227">
            <v>0</v>
          </cell>
        </row>
        <row r="228">
          <cell r="B228" t="str">
            <v>PB005641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BR228">
            <v>0</v>
          </cell>
          <cell r="BS228">
            <v>0</v>
          </cell>
          <cell r="BT228">
            <v>0</v>
          </cell>
          <cell r="BU228">
            <v>0</v>
          </cell>
          <cell r="BV228">
            <v>0</v>
          </cell>
          <cell r="BW228">
            <v>0</v>
          </cell>
          <cell r="BX228">
            <v>0</v>
          </cell>
          <cell r="BY228">
            <v>0</v>
          </cell>
        </row>
        <row r="229">
          <cell r="B229" t="str">
            <v>6307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BR229">
            <v>0</v>
          </cell>
          <cell r="BS229">
            <v>0</v>
          </cell>
          <cell r="BT229">
            <v>0</v>
          </cell>
          <cell r="BU229">
            <v>0</v>
          </cell>
          <cell r="BV229">
            <v>0</v>
          </cell>
          <cell r="BW229">
            <v>0</v>
          </cell>
          <cell r="BX229">
            <v>0</v>
          </cell>
          <cell r="BY229">
            <v>0</v>
          </cell>
        </row>
        <row r="230">
          <cell r="B230" t="str">
            <v>205-KYR2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BQ230">
            <v>0</v>
          </cell>
          <cell r="BR230">
            <v>0</v>
          </cell>
          <cell r="BS230">
            <v>0</v>
          </cell>
          <cell r="BT230">
            <v>0</v>
          </cell>
          <cell r="BU230">
            <v>0</v>
          </cell>
          <cell r="BV230">
            <v>0</v>
          </cell>
          <cell r="BW230">
            <v>0</v>
          </cell>
          <cell r="BX230">
            <v>0</v>
          </cell>
          <cell r="BY230">
            <v>0</v>
          </cell>
        </row>
        <row r="231">
          <cell r="B231" t="str">
            <v>BP-23005-MM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0</v>
          </cell>
          <cell r="BL231">
            <v>0</v>
          </cell>
          <cell r="BM231">
            <v>0</v>
          </cell>
          <cell r="BN231">
            <v>0</v>
          </cell>
          <cell r="BO231">
            <v>0</v>
          </cell>
          <cell r="BP231">
            <v>0</v>
          </cell>
          <cell r="BQ231">
            <v>0</v>
          </cell>
          <cell r="BR231">
            <v>0</v>
          </cell>
          <cell r="BS231">
            <v>0</v>
          </cell>
          <cell r="BT231">
            <v>0</v>
          </cell>
          <cell r="BU231">
            <v>0</v>
          </cell>
          <cell r="BV231">
            <v>0</v>
          </cell>
          <cell r="BW231">
            <v>0</v>
          </cell>
          <cell r="BX231">
            <v>0</v>
          </cell>
          <cell r="BY231">
            <v>0</v>
          </cell>
        </row>
        <row r="232">
          <cell r="B232" t="str">
            <v>ASL207-35RR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P232">
            <v>0</v>
          </cell>
          <cell r="BQ232">
            <v>0</v>
          </cell>
          <cell r="BR232">
            <v>0</v>
          </cell>
          <cell r="BS232">
            <v>0</v>
          </cell>
          <cell r="BT232">
            <v>0</v>
          </cell>
          <cell r="BU232">
            <v>0</v>
          </cell>
          <cell r="BV232">
            <v>0</v>
          </cell>
          <cell r="BW232">
            <v>0</v>
          </cell>
          <cell r="BX232">
            <v>0</v>
          </cell>
          <cell r="BY232">
            <v>0</v>
          </cell>
        </row>
        <row r="233">
          <cell r="B233" t="str">
            <v>PB006005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BQ233">
            <v>0</v>
          </cell>
          <cell r="BR233">
            <v>0</v>
          </cell>
          <cell r="BS233">
            <v>0</v>
          </cell>
          <cell r="BT233">
            <v>0</v>
          </cell>
          <cell r="BU233">
            <v>0</v>
          </cell>
          <cell r="BV233">
            <v>0</v>
          </cell>
          <cell r="BW233">
            <v>0</v>
          </cell>
          <cell r="BX233">
            <v>0</v>
          </cell>
          <cell r="BY233">
            <v>0</v>
          </cell>
        </row>
        <row r="234">
          <cell r="B234" t="str">
            <v>32311-MX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BR234">
            <v>0</v>
          </cell>
          <cell r="BS234">
            <v>0</v>
          </cell>
          <cell r="BT234">
            <v>0</v>
          </cell>
          <cell r="BU234">
            <v>0</v>
          </cell>
          <cell r="BV234">
            <v>0</v>
          </cell>
          <cell r="BW234">
            <v>0</v>
          </cell>
          <cell r="BX234">
            <v>0</v>
          </cell>
          <cell r="BY234">
            <v>0</v>
          </cell>
        </row>
        <row r="235">
          <cell r="B235" t="str">
            <v>33208-MX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BR235">
            <v>0</v>
          </cell>
          <cell r="BS235">
            <v>0</v>
          </cell>
          <cell r="BT235">
            <v>0</v>
          </cell>
          <cell r="BU235">
            <v>0</v>
          </cell>
          <cell r="BV235">
            <v>0</v>
          </cell>
          <cell r="BW235">
            <v>0</v>
          </cell>
          <cell r="BX235">
            <v>0</v>
          </cell>
          <cell r="BY235">
            <v>0</v>
          </cell>
        </row>
        <row r="236">
          <cell r="B236" t="str">
            <v>32308-MX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P236">
            <v>0</v>
          </cell>
          <cell r="BQ236">
            <v>0</v>
          </cell>
          <cell r="BR236">
            <v>0</v>
          </cell>
          <cell r="BS236">
            <v>0</v>
          </cell>
          <cell r="BT236">
            <v>0</v>
          </cell>
          <cell r="BU236">
            <v>0</v>
          </cell>
          <cell r="BV236">
            <v>0</v>
          </cell>
          <cell r="BW236">
            <v>0</v>
          </cell>
          <cell r="BX236">
            <v>0</v>
          </cell>
          <cell r="BY236">
            <v>0</v>
          </cell>
        </row>
        <row r="237">
          <cell r="B237" t="str">
            <v>ASL206-30RG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BQ237">
            <v>0</v>
          </cell>
          <cell r="BR237">
            <v>0</v>
          </cell>
          <cell r="BS237">
            <v>0</v>
          </cell>
          <cell r="BT237">
            <v>0</v>
          </cell>
          <cell r="BU237">
            <v>0</v>
          </cell>
          <cell r="BV237">
            <v>0</v>
          </cell>
          <cell r="BW237">
            <v>0</v>
          </cell>
          <cell r="BX237">
            <v>0</v>
          </cell>
          <cell r="BY237">
            <v>0</v>
          </cell>
        </row>
        <row r="238">
          <cell r="B238" t="str">
            <v>F-208-C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BR238">
            <v>0</v>
          </cell>
          <cell r="BS238">
            <v>0</v>
          </cell>
          <cell r="BT238">
            <v>0</v>
          </cell>
          <cell r="BU238">
            <v>0</v>
          </cell>
          <cell r="BV238">
            <v>0</v>
          </cell>
          <cell r="BW238">
            <v>0</v>
          </cell>
          <cell r="BX238">
            <v>0</v>
          </cell>
          <cell r="BY238">
            <v>0</v>
          </cell>
        </row>
        <row r="239">
          <cell r="B239" t="str">
            <v>FC-207-M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BR239">
            <v>0</v>
          </cell>
          <cell r="BS239">
            <v>0</v>
          </cell>
          <cell r="BT239">
            <v>0</v>
          </cell>
          <cell r="BU239">
            <v>0</v>
          </cell>
          <cell r="BV239">
            <v>0</v>
          </cell>
          <cell r="BW239">
            <v>0</v>
          </cell>
          <cell r="BX239">
            <v>0</v>
          </cell>
          <cell r="BY239">
            <v>0</v>
          </cell>
        </row>
        <row r="240">
          <cell r="B240" t="str">
            <v>HCP209-28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0</v>
          </cell>
          <cell r="BN240">
            <v>0</v>
          </cell>
          <cell r="BO240">
            <v>0</v>
          </cell>
          <cell r="BP240">
            <v>0</v>
          </cell>
          <cell r="BQ240">
            <v>0</v>
          </cell>
          <cell r="BR240">
            <v>0</v>
          </cell>
          <cell r="BS240">
            <v>0</v>
          </cell>
          <cell r="BT240">
            <v>0</v>
          </cell>
          <cell r="BU240">
            <v>0</v>
          </cell>
          <cell r="BV240">
            <v>0</v>
          </cell>
          <cell r="BW240">
            <v>0</v>
          </cell>
          <cell r="BX240">
            <v>0</v>
          </cell>
          <cell r="BY240">
            <v>0</v>
          </cell>
        </row>
        <row r="241">
          <cell r="B241" t="str">
            <v>PB000849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0</v>
          </cell>
          <cell r="BX241">
            <v>0</v>
          </cell>
          <cell r="BY241">
            <v>0</v>
          </cell>
        </row>
        <row r="242">
          <cell r="B242" t="str">
            <v>32205-MX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BQ242">
            <v>0</v>
          </cell>
          <cell r="BR242">
            <v>0</v>
          </cell>
          <cell r="BS242">
            <v>0</v>
          </cell>
          <cell r="BT242">
            <v>0</v>
          </cell>
          <cell r="BU242">
            <v>0</v>
          </cell>
          <cell r="BV242">
            <v>0</v>
          </cell>
          <cell r="BW242">
            <v>0</v>
          </cell>
          <cell r="BX242">
            <v>0</v>
          </cell>
          <cell r="BY242">
            <v>0</v>
          </cell>
        </row>
        <row r="243">
          <cell r="B243" t="str">
            <v>BP15009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BQ243">
            <v>0</v>
          </cell>
          <cell r="BR243">
            <v>0</v>
          </cell>
          <cell r="BS243">
            <v>0</v>
          </cell>
          <cell r="BT243">
            <v>0</v>
          </cell>
          <cell r="BU243">
            <v>0</v>
          </cell>
          <cell r="BV243">
            <v>0</v>
          </cell>
          <cell r="BW243">
            <v>0</v>
          </cell>
          <cell r="BX243">
            <v>0</v>
          </cell>
          <cell r="BY243">
            <v>0</v>
          </cell>
        </row>
        <row r="244">
          <cell r="B244" t="str">
            <v>33010-MX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0</v>
          </cell>
          <cell r="BQ244">
            <v>0</v>
          </cell>
          <cell r="BR244">
            <v>0</v>
          </cell>
          <cell r="BS244">
            <v>0</v>
          </cell>
          <cell r="BT244">
            <v>0</v>
          </cell>
          <cell r="BU244">
            <v>0</v>
          </cell>
          <cell r="BV244">
            <v>0</v>
          </cell>
          <cell r="BW244">
            <v>0</v>
          </cell>
          <cell r="BX244">
            <v>0</v>
          </cell>
          <cell r="BY244">
            <v>0</v>
          </cell>
        </row>
        <row r="245">
          <cell r="B245" t="str">
            <v>SAB210-50DG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</row>
        <row r="246">
          <cell r="B246" t="str">
            <v>33209-MX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0</v>
          </cell>
        </row>
        <row r="247">
          <cell r="B247" t="str">
            <v>CF5202-RM16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0</v>
          </cell>
        </row>
        <row r="248">
          <cell r="B248" t="str">
            <v>BP15010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0</v>
          </cell>
        </row>
        <row r="249">
          <cell r="B249" t="str">
            <v>207-KRRB17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BR249">
            <v>0</v>
          </cell>
          <cell r="BS249">
            <v>0</v>
          </cell>
          <cell r="BT249">
            <v>0</v>
          </cell>
          <cell r="BU249">
            <v>0</v>
          </cell>
          <cell r="BV249">
            <v>0</v>
          </cell>
          <cell r="BW249">
            <v>0</v>
          </cell>
          <cell r="BX249">
            <v>0</v>
          </cell>
          <cell r="BY249">
            <v>0</v>
          </cell>
        </row>
        <row r="250">
          <cell r="B250" t="str">
            <v>HCP207-22G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BR250">
            <v>0</v>
          </cell>
          <cell r="BS250">
            <v>0</v>
          </cell>
          <cell r="BT250">
            <v>0</v>
          </cell>
          <cell r="BU250">
            <v>0</v>
          </cell>
          <cell r="BV250">
            <v>0</v>
          </cell>
          <cell r="BW250">
            <v>0</v>
          </cell>
          <cell r="BX250">
            <v>0</v>
          </cell>
          <cell r="BY250">
            <v>0</v>
          </cell>
        </row>
        <row r="251">
          <cell r="B251" t="str">
            <v>FHLP205-16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BR251">
            <v>0</v>
          </cell>
          <cell r="BS251">
            <v>0</v>
          </cell>
          <cell r="BT251">
            <v>0</v>
          </cell>
          <cell r="BU251">
            <v>0</v>
          </cell>
          <cell r="BV251">
            <v>0</v>
          </cell>
          <cell r="BW251">
            <v>0</v>
          </cell>
          <cell r="BX251">
            <v>0</v>
          </cell>
          <cell r="BY251">
            <v>0</v>
          </cell>
        </row>
        <row r="252">
          <cell r="B252" t="str">
            <v>ACL206-20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BR252">
            <v>0</v>
          </cell>
          <cell r="BS252">
            <v>0</v>
          </cell>
          <cell r="BT252">
            <v>0</v>
          </cell>
          <cell r="BU252">
            <v>0</v>
          </cell>
          <cell r="BV252">
            <v>0</v>
          </cell>
          <cell r="BW252">
            <v>0</v>
          </cell>
          <cell r="BX252">
            <v>0</v>
          </cell>
          <cell r="BY252">
            <v>0</v>
          </cell>
        </row>
        <row r="253">
          <cell r="B253" t="str">
            <v>32310-MX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BR253">
            <v>0</v>
          </cell>
          <cell r="BS253">
            <v>0</v>
          </cell>
          <cell r="BT253">
            <v>0</v>
          </cell>
          <cell r="BU253">
            <v>0</v>
          </cell>
          <cell r="BV253">
            <v>0</v>
          </cell>
          <cell r="BW253">
            <v>0</v>
          </cell>
          <cell r="BX253">
            <v>0</v>
          </cell>
          <cell r="BY253">
            <v>0</v>
          </cell>
        </row>
        <row r="254">
          <cell r="B254" t="str">
            <v>32309-MX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BR254">
            <v>0</v>
          </cell>
          <cell r="BS254">
            <v>0</v>
          </cell>
          <cell r="BT254">
            <v>0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</row>
        <row r="255">
          <cell r="B255" t="str">
            <v>DTR2047-FM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BR255">
            <v>0</v>
          </cell>
          <cell r="BS255">
            <v>0</v>
          </cell>
          <cell r="BT255">
            <v>0</v>
          </cell>
          <cell r="BU255">
            <v>0</v>
          </cell>
          <cell r="BV255">
            <v>0</v>
          </cell>
          <cell r="BW255">
            <v>0</v>
          </cell>
          <cell r="BX255">
            <v>0</v>
          </cell>
          <cell r="BY255">
            <v>0</v>
          </cell>
        </row>
        <row r="256">
          <cell r="B256" t="str">
            <v>205-KYYB5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BR256">
            <v>0</v>
          </cell>
          <cell r="BS256">
            <v>0</v>
          </cell>
          <cell r="BT256">
            <v>0</v>
          </cell>
          <cell r="BU256">
            <v>0</v>
          </cell>
          <cell r="BV256">
            <v>0</v>
          </cell>
          <cell r="BW256">
            <v>0</v>
          </cell>
          <cell r="BX256">
            <v>0</v>
          </cell>
          <cell r="BY256">
            <v>0</v>
          </cell>
        </row>
        <row r="257">
          <cell r="B257" t="str">
            <v>SAB-206-30DG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BR257">
            <v>0</v>
          </cell>
          <cell r="BS257">
            <v>0</v>
          </cell>
          <cell r="BT257">
            <v>0</v>
          </cell>
          <cell r="BU257">
            <v>0</v>
          </cell>
          <cell r="BV257">
            <v>0</v>
          </cell>
          <cell r="BW257">
            <v>0</v>
          </cell>
          <cell r="BX257">
            <v>0</v>
          </cell>
          <cell r="BY257">
            <v>0</v>
          </cell>
        </row>
        <row r="258">
          <cell r="B258" t="str">
            <v>ECL207-23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BR258">
            <v>0</v>
          </cell>
          <cell r="BS258">
            <v>0</v>
          </cell>
          <cell r="BT258">
            <v>0</v>
          </cell>
          <cell r="BU258">
            <v>0</v>
          </cell>
          <cell r="BV258">
            <v>0</v>
          </cell>
          <cell r="BW258">
            <v>0</v>
          </cell>
          <cell r="BX258">
            <v>0</v>
          </cell>
          <cell r="BY258">
            <v>0</v>
          </cell>
        </row>
        <row r="259">
          <cell r="B259" t="str">
            <v>32016-MX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BR259">
            <v>0</v>
          </cell>
          <cell r="BS259">
            <v>0</v>
          </cell>
          <cell r="BT259">
            <v>0</v>
          </cell>
          <cell r="BU259">
            <v>0</v>
          </cell>
          <cell r="BV259">
            <v>0</v>
          </cell>
          <cell r="BW259">
            <v>0</v>
          </cell>
          <cell r="BX259">
            <v>0</v>
          </cell>
          <cell r="BY259">
            <v>0</v>
          </cell>
        </row>
        <row r="260">
          <cell r="B260" t="str">
            <v>FT206-M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</row>
        <row r="261">
          <cell r="B261" t="str">
            <v>FHFD205-16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BR261">
            <v>0</v>
          </cell>
          <cell r="BS261">
            <v>0</v>
          </cell>
          <cell r="BT261">
            <v>0</v>
          </cell>
          <cell r="BU261">
            <v>0</v>
          </cell>
          <cell r="BV261">
            <v>0</v>
          </cell>
          <cell r="BW261">
            <v>0</v>
          </cell>
          <cell r="BX261">
            <v>0</v>
          </cell>
          <cell r="BY261">
            <v>0</v>
          </cell>
        </row>
        <row r="262">
          <cell r="B262" t="str">
            <v>33013-MX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BR262">
            <v>0</v>
          </cell>
          <cell r="BS262">
            <v>0</v>
          </cell>
          <cell r="BT262">
            <v>0</v>
          </cell>
          <cell r="BU262">
            <v>0</v>
          </cell>
          <cell r="BV262">
            <v>0</v>
          </cell>
          <cell r="BW262">
            <v>0</v>
          </cell>
          <cell r="BX262">
            <v>0</v>
          </cell>
          <cell r="BY262">
            <v>0</v>
          </cell>
        </row>
        <row r="263">
          <cell r="B263" t="str">
            <v>32012-MX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BR263">
            <v>0</v>
          </cell>
          <cell r="BS263">
            <v>0</v>
          </cell>
          <cell r="BT263">
            <v>0</v>
          </cell>
          <cell r="BU263">
            <v>0</v>
          </cell>
          <cell r="BV263">
            <v>0</v>
          </cell>
          <cell r="BW263">
            <v>0</v>
          </cell>
          <cell r="BX263">
            <v>0</v>
          </cell>
          <cell r="BY263">
            <v>0</v>
          </cell>
        </row>
        <row r="264">
          <cell r="B264" t="str">
            <v>6202-2RLD-C3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BR264">
            <v>0</v>
          </cell>
          <cell r="BS264">
            <v>0</v>
          </cell>
          <cell r="BT264">
            <v>0</v>
          </cell>
          <cell r="BU264">
            <v>0</v>
          </cell>
          <cell r="BV264">
            <v>0</v>
          </cell>
          <cell r="BW264">
            <v>0</v>
          </cell>
          <cell r="BX264">
            <v>0</v>
          </cell>
          <cell r="BY264">
            <v>0</v>
          </cell>
        </row>
        <row r="265">
          <cell r="B265" t="str">
            <v>PB004773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BR265">
            <v>0</v>
          </cell>
          <cell r="BS265">
            <v>0</v>
          </cell>
          <cell r="BT265">
            <v>0</v>
          </cell>
          <cell r="BU265">
            <v>0</v>
          </cell>
          <cell r="BV265">
            <v>0</v>
          </cell>
          <cell r="BW265">
            <v>0</v>
          </cell>
          <cell r="BX265">
            <v>0</v>
          </cell>
          <cell r="BY265">
            <v>0</v>
          </cell>
        </row>
        <row r="266">
          <cell r="B266" t="str">
            <v>HCP207-20G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</row>
        <row r="267">
          <cell r="B267" t="str">
            <v>PB004012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</row>
        <row r="268">
          <cell r="B268" t="str">
            <v>32312-MX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</row>
        <row r="269">
          <cell r="B269" t="str">
            <v>BP-21003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</row>
        <row r="270">
          <cell r="B270" t="str">
            <v>7209-B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BR270">
            <v>0</v>
          </cell>
          <cell r="BS270">
            <v>0</v>
          </cell>
          <cell r="BT270">
            <v>0</v>
          </cell>
          <cell r="BU270">
            <v>0</v>
          </cell>
          <cell r="BV270">
            <v>0</v>
          </cell>
          <cell r="BW270">
            <v>0</v>
          </cell>
          <cell r="BX270">
            <v>0</v>
          </cell>
          <cell r="BY270">
            <v>0</v>
          </cell>
        </row>
        <row r="271">
          <cell r="B271" t="str">
            <v>204-KRRB2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0</v>
          </cell>
          <cell r="BR271">
            <v>0</v>
          </cell>
          <cell r="BS271">
            <v>0</v>
          </cell>
          <cell r="BT271">
            <v>0</v>
          </cell>
          <cell r="BU271">
            <v>0</v>
          </cell>
          <cell r="BV271">
            <v>0</v>
          </cell>
          <cell r="BW271">
            <v>0</v>
          </cell>
          <cell r="BX271">
            <v>0</v>
          </cell>
          <cell r="BY271">
            <v>0</v>
          </cell>
        </row>
        <row r="272">
          <cell r="B272" t="str">
            <v>CA627-M40A-9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BQ272">
            <v>0</v>
          </cell>
          <cell r="BR272">
            <v>0</v>
          </cell>
          <cell r="BS272">
            <v>0</v>
          </cell>
          <cell r="BT272">
            <v>0</v>
          </cell>
          <cell r="BU272">
            <v>0</v>
          </cell>
          <cell r="BV272">
            <v>0</v>
          </cell>
          <cell r="BW272">
            <v>0</v>
          </cell>
          <cell r="BX272">
            <v>0</v>
          </cell>
          <cell r="BY272">
            <v>0</v>
          </cell>
        </row>
        <row r="273">
          <cell r="B273" t="str">
            <v>BP-12011-01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BR273">
            <v>0</v>
          </cell>
          <cell r="BS273">
            <v>0</v>
          </cell>
          <cell r="BT273">
            <v>0</v>
          </cell>
          <cell r="BU273">
            <v>0</v>
          </cell>
          <cell r="BV273">
            <v>0</v>
          </cell>
          <cell r="BW273">
            <v>0</v>
          </cell>
          <cell r="BX273">
            <v>0</v>
          </cell>
          <cell r="BY273">
            <v>0</v>
          </cell>
        </row>
        <row r="274">
          <cell r="B274" t="str">
            <v>30217-MX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BQ274">
            <v>0</v>
          </cell>
          <cell r="BR274">
            <v>0</v>
          </cell>
          <cell r="BS274">
            <v>0</v>
          </cell>
          <cell r="BT274">
            <v>0</v>
          </cell>
          <cell r="BU274">
            <v>0</v>
          </cell>
          <cell r="BV274">
            <v>0</v>
          </cell>
          <cell r="BW274">
            <v>0</v>
          </cell>
          <cell r="BX274">
            <v>0</v>
          </cell>
          <cell r="BY274">
            <v>0</v>
          </cell>
        </row>
        <row r="275">
          <cell r="B275" t="str">
            <v>T060001020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BR275">
            <v>0</v>
          </cell>
          <cell r="BS275">
            <v>0</v>
          </cell>
          <cell r="BT275">
            <v>0</v>
          </cell>
          <cell r="BU275">
            <v>0</v>
          </cell>
          <cell r="BV275">
            <v>0</v>
          </cell>
          <cell r="BW275">
            <v>0</v>
          </cell>
          <cell r="BX275">
            <v>0</v>
          </cell>
          <cell r="BY275">
            <v>0</v>
          </cell>
        </row>
        <row r="276">
          <cell r="B276" t="str">
            <v>30220-MX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BR276">
            <v>0</v>
          </cell>
          <cell r="BS276">
            <v>0</v>
          </cell>
          <cell r="BT276">
            <v>0</v>
          </cell>
          <cell r="BU276">
            <v>0</v>
          </cell>
          <cell r="BV276">
            <v>0</v>
          </cell>
          <cell r="BW276">
            <v>0</v>
          </cell>
          <cell r="BX276">
            <v>0</v>
          </cell>
          <cell r="BY276">
            <v>0</v>
          </cell>
        </row>
        <row r="277">
          <cell r="B277" t="str">
            <v>W208PPB5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BQ277">
            <v>0</v>
          </cell>
          <cell r="BR277">
            <v>0</v>
          </cell>
          <cell r="BS277">
            <v>0</v>
          </cell>
          <cell r="BT277">
            <v>0</v>
          </cell>
          <cell r="BU277">
            <v>0</v>
          </cell>
          <cell r="BV277">
            <v>0</v>
          </cell>
          <cell r="BW277">
            <v>0</v>
          </cell>
          <cell r="BX277">
            <v>0</v>
          </cell>
          <cell r="BY277">
            <v>0</v>
          </cell>
        </row>
        <row r="278">
          <cell r="B278" t="str">
            <v>SAB5207-35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BQ278">
            <v>0</v>
          </cell>
          <cell r="BR278">
            <v>0</v>
          </cell>
          <cell r="BS278">
            <v>0</v>
          </cell>
          <cell r="BT278">
            <v>0</v>
          </cell>
          <cell r="BU278">
            <v>0</v>
          </cell>
          <cell r="BV278">
            <v>0</v>
          </cell>
          <cell r="BW278">
            <v>0</v>
          </cell>
          <cell r="BX278">
            <v>0</v>
          </cell>
          <cell r="BY278">
            <v>0</v>
          </cell>
        </row>
        <row r="279">
          <cell r="B279" t="str">
            <v>PB005306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BQ279">
            <v>0</v>
          </cell>
          <cell r="BR279">
            <v>0</v>
          </cell>
          <cell r="BS279">
            <v>0</v>
          </cell>
          <cell r="BT279">
            <v>0</v>
          </cell>
          <cell r="BU279">
            <v>0</v>
          </cell>
          <cell r="BV279">
            <v>0</v>
          </cell>
          <cell r="BW279">
            <v>0</v>
          </cell>
          <cell r="BX279">
            <v>0</v>
          </cell>
          <cell r="BY279">
            <v>0</v>
          </cell>
        </row>
        <row r="280">
          <cell r="B280" t="str">
            <v>PB001284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BQ280">
            <v>0</v>
          </cell>
          <cell r="BR280">
            <v>0</v>
          </cell>
          <cell r="BS280">
            <v>0</v>
          </cell>
          <cell r="BT280">
            <v>0</v>
          </cell>
          <cell r="BU280">
            <v>0</v>
          </cell>
          <cell r="BV280">
            <v>0</v>
          </cell>
          <cell r="BW280">
            <v>0</v>
          </cell>
          <cell r="BX280">
            <v>0</v>
          </cell>
          <cell r="BY280">
            <v>0</v>
          </cell>
        </row>
        <row r="281">
          <cell r="B281" t="str">
            <v>33019-MX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BR281">
            <v>0</v>
          </cell>
          <cell r="BS281">
            <v>0</v>
          </cell>
          <cell r="BT281">
            <v>0</v>
          </cell>
          <cell r="BU281">
            <v>0</v>
          </cell>
          <cell r="BV281">
            <v>0</v>
          </cell>
          <cell r="BW281">
            <v>0</v>
          </cell>
          <cell r="BX281">
            <v>0</v>
          </cell>
          <cell r="BY281">
            <v>0</v>
          </cell>
        </row>
        <row r="282">
          <cell r="B282" t="str">
            <v>30219-MX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BQ282">
            <v>0</v>
          </cell>
          <cell r="BR282">
            <v>0</v>
          </cell>
          <cell r="BS282">
            <v>0</v>
          </cell>
          <cell r="BT282">
            <v>0</v>
          </cell>
          <cell r="BU282">
            <v>0</v>
          </cell>
          <cell r="BV282">
            <v>0</v>
          </cell>
          <cell r="BW282">
            <v>0</v>
          </cell>
          <cell r="BX282">
            <v>0</v>
          </cell>
          <cell r="BY282">
            <v>0</v>
          </cell>
        </row>
        <row r="283">
          <cell r="B283" t="str">
            <v>ECL206-18DG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BQ283">
            <v>0</v>
          </cell>
          <cell r="BR283">
            <v>0</v>
          </cell>
          <cell r="BS283">
            <v>0</v>
          </cell>
          <cell r="BT283">
            <v>0</v>
          </cell>
          <cell r="BU283">
            <v>0</v>
          </cell>
          <cell r="BV283">
            <v>0</v>
          </cell>
          <cell r="BW283">
            <v>0</v>
          </cell>
          <cell r="BX283">
            <v>0</v>
          </cell>
          <cell r="BY283">
            <v>0</v>
          </cell>
        </row>
        <row r="284">
          <cell r="B284" t="str">
            <v>33210-MX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BR284">
            <v>0</v>
          </cell>
          <cell r="BS284">
            <v>0</v>
          </cell>
          <cell r="BT284">
            <v>0</v>
          </cell>
          <cell r="BU284">
            <v>0</v>
          </cell>
          <cell r="BV284">
            <v>0</v>
          </cell>
          <cell r="BW284">
            <v>0</v>
          </cell>
          <cell r="BX284">
            <v>0</v>
          </cell>
          <cell r="BY284">
            <v>0</v>
          </cell>
        </row>
        <row r="285">
          <cell r="B285" t="str">
            <v>ECLR205-16D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BQ285">
            <v>0</v>
          </cell>
          <cell r="BR285">
            <v>0</v>
          </cell>
          <cell r="BS285">
            <v>0</v>
          </cell>
          <cell r="BT285">
            <v>0</v>
          </cell>
          <cell r="BU285">
            <v>0</v>
          </cell>
          <cell r="BV285">
            <v>0</v>
          </cell>
          <cell r="BW285">
            <v>0</v>
          </cell>
          <cell r="BX285">
            <v>0</v>
          </cell>
          <cell r="BY285">
            <v>0</v>
          </cell>
        </row>
        <row r="286">
          <cell r="B286" t="str">
            <v>30218-MX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BQ286">
            <v>0</v>
          </cell>
          <cell r="BR286">
            <v>0</v>
          </cell>
          <cell r="BS286">
            <v>0</v>
          </cell>
          <cell r="BT286">
            <v>0</v>
          </cell>
          <cell r="BU286">
            <v>0</v>
          </cell>
          <cell r="BV286">
            <v>0</v>
          </cell>
          <cell r="BW286">
            <v>0</v>
          </cell>
          <cell r="BX286">
            <v>0</v>
          </cell>
          <cell r="BY286">
            <v>0</v>
          </cell>
        </row>
        <row r="287">
          <cell r="B287" t="str">
            <v>DTR2047-TPL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BR287">
            <v>0</v>
          </cell>
          <cell r="BS287">
            <v>0</v>
          </cell>
          <cell r="BT287">
            <v>0</v>
          </cell>
          <cell r="BU287">
            <v>0</v>
          </cell>
          <cell r="BV287">
            <v>0</v>
          </cell>
          <cell r="BW287">
            <v>0</v>
          </cell>
          <cell r="BX287">
            <v>0</v>
          </cell>
          <cell r="BY287">
            <v>0</v>
          </cell>
        </row>
        <row r="288">
          <cell r="B288" t="str">
            <v>3T-12413-MX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BQ288">
            <v>0</v>
          </cell>
          <cell r="BR288">
            <v>0</v>
          </cell>
          <cell r="BS288">
            <v>0</v>
          </cell>
          <cell r="BT288">
            <v>0</v>
          </cell>
          <cell r="BU288">
            <v>0</v>
          </cell>
          <cell r="BV288">
            <v>0</v>
          </cell>
          <cell r="BW288">
            <v>0</v>
          </cell>
          <cell r="BX288">
            <v>0</v>
          </cell>
          <cell r="BY288">
            <v>0</v>
          </cell>
        </row>
        <row r="289">
          <cell r="B289" t="str">
            <v>32307-MX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BQ289">
            <v>0</v>
          </cell>
          <cell r="BR289">
            <v>0</v>
          </cell>
          <cell r="BS289">
            <v>0</v>
          </cell>
          <cell r="BT289">
            <v>0</v>
          </cell>
          <cell r="BU289">
            <v>0</v>
          </cell>
          <cell r="BV289">
            <v>0</v>
          </cell>
          <cell r="BW289">
            <v>0</v>
          </cell>
          <cell r="BX289">
            <v>0</v>
          </cell>
          <cell r="BY289">
            <v>0</v>
          </cell>
        </row>
        <row r="290">
          <cell r="B290" t="str">
            <v>G205-KYYB5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BR290">
            <v>0</v>
          </cell>
          <cell r="BS290">
            <v>0</v>
          </cell>
          <cell r="BT290">
            <v>0</v>
          </cell>
          <cell r="BU290">
            <v>0</v>
          </cell>
          <cell r="BV290">
            <v>0</v>
          </cell>
          <cell r="BW290">
            <v>0</v>
          </cell>
          <cell r="BX290">
            <v>0</v>
          </cell>
          <cell r="BY290">
            <v>0</v>
          </cell>
        </row>
        <row r="291">
          <cell r="B291" t="str">
            <v>PB001030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BR291">
            <v>0</v>
          </cell>
          <cell r="BS291">
            <v>0</v>
          </cell>
          <cell r="BT291">
            <v>0</v>
          </cell>
          <cell r="BU291">
            <v>0</v>
          </cell>
          <cell r="BV291">
            <v>0</v>
          </cell>
          <cell r="BW291">
            <v>0</v>
          </cell>
          <cell r="BX291">
            <v>0</v>
          </cell>
          <cell r="BY291">
            <v>0</v>
          </cell>
        </row>
        <row r="292">
          <cell r="B292" t="str">
            <v>ECL208-40D-3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BR292">
            <v>0</v>
          </cell>
          <cell r="BS292">
            <v>0</v>
          </cell>
          <cell r="BT292">
            <v>0</v>
          </cell>
          <cell r="BU292">
            <v>0</v>
          </cell>
          <cell r="BV292">
            <v>0</v>
          </cell>
          <cell r="BW292">
            <v>0</v>
          </cell>
          <cell r="BX292">
            <v>0</v>
          </cell>
          <cell r="BY292">
            <v>0</v>
          </cell>
        </row>
        <row r="293">
          <cell r="B293" t="str">
            <v>PE208-M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BQ293">
            <v>0</v>
          </cell>
          <cell r="BR293">
            <v>0</v>
          </cell>
          <cell r="BS293">
            <v>0</v>
          </cell>
          <cell r="BT293">
            <v>0</v>
          </cell>
          <cell r="BU293">
            <v>0</v>
          </cell>
          <cell r="BV293">
            <v>0</v>
          </cell>
          <cell r="BW293">
            <v>0</v>
          </cell>
          <cell r="BX293">
            <v>0</v>
          </cell>
          <cell r="BY293">
            <v>0</v>
          </cell>
        </row>
        <row r="294">
          <cell r="B294" t="str">
            <v>FHF206-20G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BR294">
            <v>0</v>
          </cell>
          <cell r="BS294">
            <v>0</v>
          </cell>
          <cell r="BT294">
            <v>0</v>
          </cell>
          <cell r="BU294">
            <v>0</v>
          </cell>
          <cell r="BV294">
            <v>0</v>
          </cell>
          <cell r="BW294">
            <v>0</v>
          </cell>
          <cell r="BX294">
            <v>0</v>
          </cell>
          <cell r="BY294">
            <v>0</v>
          </cell>
        </row>
        <row r="295">
          <cell r="B295" t="str">
            <v>ACL-206-19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BR295">
            <v>0</v>
          </cell>
          <cell r="BS295">
            <v>0</v>
          </cell>
          <cell r="BT295">
            <v>0</v>
          </cell>
          <cell r="BU295">
            <v>0</v>
          </cell>
          <cell r="BV295">
            <v>0</v>
          </cell>
          <cell r="BW295">
            <v>0</v>
          </cell>
          <cell r="BX295">
            <v>0</v>
          </cell>
          <cell r="BY295">
            <v>0</v>
          </cell>
        </row>
        <row r="296">
          <cell r="B296" t="str">
            <v>BP-21001-BD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BR296">
            <v>0</v>
          </cell>
          <cell r="BS296">
            <v>0</v>
          </cell>
          <cell r="BT296">
            <v>0</v>
          </cell>
          <cell r="BU296">
            <v>0</v>
          </cell>
          <cell r="BV296">
            <v>0</v>
          </cell>
          <cell r="BW296">
            <v>0</v>
          </cell>
          <cell r="BX296">
            <v>0</v>
          </cell>
          <cell r="BY296">
            <v>0</v>
          </cell>
        </row>
        <row r="297">
          <cell r="B297" t="str">
            <v>BP-21001-BI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BR297">
            <v>0</v>
          </cell>
          <cell r="BS297">
            <v>0</v>
          </cell>
          <cell r="BT297">
            <v>0</v>
          </cell>
          <cell r="BU297">
            <v>0</v>
          </cell>
          <cell r="BV297">
            <v>0</v>
          </cell>
          <cell r="BW297">
            <v>0</v>
          </cell>
          <cell r="BX297">
            <v>0</v>
          </cell>
          <cell r="BY297">
            <v>0</v>
          </cell>
        </row>
        <row r="298">
          <cell r="B298" t="str">
            <v>BP-13002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BR298">
            <v>0</v>
          </cell>
          <cell r="BS298">
            <v>0</v>
          </cell>
          <cell r="BT298">
            <v>0</v>
          </cell>
          <cell r="BU298">
            <v>0</v>
          </cell>
          <cell r="BV298">
            <v>0</v>
          </cell>
          <cell r="BW298">
            <v>0</v>
          </cell>
          <cell r="BX298">
            <v>0</v>
          </cell>
          <cell r="BY298">
            <v>0</v>
          </cell>
        </row>
        <row r="299">
          <cell r="B299" t="str">
            <v>32005-MX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BQ299">
            <v>0</v>
          </cell>
          <cell r="BR299">
            <v>0</v>
          </cell>
          <cell r="BS299">
            <v>0</v>
          </cell>
          <cell r="BT299">
            <v>0</v>
          </cell>
          <cell r="BU299">
            <v>0</v>
          </cell>
          <cell r="BV299">
            <v>0</v>
          </cell>
          <cell r="BW299">
            <v>0</v>
          </cell>
          <cell r="BX299">
            <v>0</v>
          </cell>
          <cell r="BY299">
            <v>0</v>
          </cell>
        </row>
        <row r="300">
          <cell r="B300" t="str">
            <v>PB004761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BQ300">
            <v>0</v>
          </cell>
          <cell r="BR300">
            <v>0</v>
          </cell>
          <cell r="BS300">
            <v>0</v>
          </cell>
          <cell r="BT300">
            <v>0</v>
          </cell>
          <cell r="BU300">
            <v>0</v>
          </cell>
          <cell r="BV300">
            <v>0</v>
          </cell>
          <cell r="BW300">
            <v>0</v>
          </cell>
          <cell r="BX300">
            <v>0</v>
          </cell>
          <cell r="BY300">
            <v>0</v>
          </cell>
        </row>
        <row r="301">
          <cell r="B301" t="str">
            <v>F-205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BR301">
            <v>0</v>
          </cell>
          <cell r="BS301">
            <v>0</v>
          </cell>
          <cell r="BT301">
            <v>0</v>
          </cell>
          <cell r="BU301">
            <v>0</v>
          </cell>
          <cell r="BV301">
            <v>0</v>
          </cell>
          <cell r="BW301">
            <v>0</v>
          </cell>
          <cell r="BX301">
            <v>0</v>
          </cell>
          <cell r="BY301">
            <v>0</v>
          </cell>
        </row>
        <row r="302">
          <cell r="B302" t="str">
            <v>ACL-207-23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BQ302">
            <v>0</v>
          </cell>
          <cell r="BR302">
            <v>0</v>
          </cell>
          <cell r="BS302">
            <v>0</v>
          </cell>
          <cell r="BT302">
            <v>0</v>
          </cell>
          <cell r="BU302">
            <v>0</v>
          </cell>
          <cell r="BV302">
            <v>0</v>
          </cell>
          <cell r="BW302">
            <v>0</v>
          </cell>
          <cell r="BX302">
            <v>0</v>
          </cell>
          <cell r="BY302">
            <v>0</v>
          </cell>
        </row>
        <row r="303">
          <cell r="B303" t="str">
            <v>ECL-212-39-D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BR303">
            <v>0</v>
          </cell>
          <cell r="BS303">
            <v>0</v>
          </cell>
          <cell r="BT303">
            <v>0</v>
          </cell>
          <cell r="BU303">
            <v>0</v>
          </cell>
          <cell r="BV303">
            <v>0</v>
          </cell>
          <cell r="BW303">
            <v>0</v>
          </cell>
          <cell r="BX303">
            <v>0</v>
          </cell>
          <cell r="BY303">
            <v>0</v>
          </cell>
        </row>
        <row r="304">
          <cell r="B304" t="str">
            <v>ACLR205-14R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BR304">
            <v>0</v>
          </cell>
          <cell r="BS304">
            <v>0</v>
          </cell>
          <cell r="BT304">
            <v>0</v>
          </cell>
          <cell r="BU304">
            <v>0</v>
          </cell>
          <cell r="BV304">
            <v>0</v>
          </cell>
          <cell r="BW304">
            <v>0</v>
          </cell>
          <cell r="BX304">
            <v>0</v>
          </cell>
          <cell r="BY304">
            <v>0</v>
          </cell>
        </row>
        <row r="305">
          <cell r="B305" t="str">
            <v>MS03-D-C3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BQ305">
            <v>0</v>
          </cell>
          <cell r="BR305">
            <v>0</v>
          </cell>
          <cell r="BS305">
            <v>0</v>
          </cell>
          <cell r="BT305">
            <v>0</v>
          </cell>
          <cell r="BU305">
            <v>0</v>
          </cell>
          <cell r="BV305">
            <v>0</v>
          </cell>
          <cell r="BW305">
            <v>0</v>
          </cell>
          <cell r="BX305">
            <v>0</v>
          </cell>
          <cell r="BY305">
            <v>0</v>
          </cell>
        </row>
        <row r="306">
          <cell r="B306" t="str">
            <v>CB6203-1450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P306">
            <v>0</v>
          </cell>
          <cell r="BQ306">
            <v>0</v>
          </cell>
          <cell r="BR306">
            <v>0</v>
          </cell>
          <cell r="BS306">
            <v>0</v>
          </cell>
          <cell r="BT306">
            <v>0</v>
          </cell>
          <cell r="BU306">
            <v>0</v>
          </cell>
          <cell r="BV306">
            <v>0</v>
          </cell>
          <cell r="BW306">
            <v>0</v>
          </cell>
          <cell r="BX306">
            <v>0</v>
          </cell>
          <cell r="BY306">
            <v>0</v>
          </cell>
        </row>
        <row r="307">
          <cell r="B307" t="str">
            <v>F-209-C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BQ307">
            <v>0</v>
          </cell>
          <cell r="BR307">
            <v>0</v>
          </cell>
          <cell r="BS307">
            <v>0</v>
          </cell>
          <cell r="BT307">
            <v>0</v>
          </cell>
          <cell r="BU307">
            <v>0</v>
          </cell>
          <cell r="BV307">
            <v>0</v>
          </cell>
          <cell r="BW307">
            <v>0</v>
          </cell>
          <cell r="BX307">
            <v>0</v>
          </cell>
          <cell r="BY307">
            <v>0</v>
          </cell>
        </row>
        <row r="308">
          <cell r="B308" t="str">
            <v>33211-MX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>
            <v>0</v>
          </cell>
          <cell r="BO308">
            <v>0</v>
          </cell>
          <cell r="BP308">
            <v>0</v>
          </cell>
          <cell r="BQ308">
            <v>0</v>
          </cell>
          <cell r="BR308">
            <v>0</v>
          </cell>
          <cell r="BS308">
            <v>0</v>
          </cell>
          <cell r="BT308">
            <v>0</v>
          </cell>
          <cell r="BU308">
            <v>0</v>
          </cell>
          <cell r="BV308">
            <v>0</v>
          </cell>
          <cell r="BW308">
            <v>0</v>
          </cell>
          <cell r="BX308">
            <v>0</v>
          </cell>
          <cell r="BY308">
            <v>0</v>
          </cell>
        </row>
        <row r="309">
          <cell r="B309" t="str">
            <v>E080001004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>
            <v>0</v>
          </cell>
          <cell r="BO309">
            <v>0</v>
          </cell>
          <cell r="BP309">
            <v>0</v>
          </cell>
          <cell r="BQ309">
            <v>0</v>
          </cell>
          <cell r="BR309">
            <v>0</v>
          </cell>
          <cell r="BS309">
            <v>0</v>
          </cell>
          <cell r="BT309">
            <v>0</v>
          </cell>
          <cell r="BU309">
            <v>0</v>
          </cell>
          <cell r="BV309">
            <v>0</v>
          </cell>
          <cell r="BW309">
            <v>0</v>
          </cell>
          <cell r="BX309">
            <v>0</v>
          </cell>
          <cell r="BY309">
            <v>0</v>
          </cell>
        </row>
        <row r="310">
          <cell r="B310" t="str">
            <v>32315-MX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BQ310">
            <v>0</v>
          </cell>
          <cell r="BR310">
            <v>0</v>
          </cell>
          <cell r="BS310">
            <v>0</v>
          </cell>
          <cell r="BT310">
            <v>0</v>
          </cell>
          <cell r="BU310">
            <v>0</v>
          </cell>
          <cell r="BV310">
            <v>0</v>
          </cell>
          <cell r="BW310">
            <v>0</v>
          </cell>
          <cell r="BX310">
            <v>0</v>
          </cell>
          <cell r="BY310">
            <v>0</v>
          </cell>
        </row>
        <row r="311">
          <cell r="B311" t="str">
            <v>51118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BQ311">
            <v>0</v>
          </cell>
          <cell r="BR311">
            <v>0</v>
          </cell>
          <cell r="BS311">
            <v>0</v>
          </cell>
          <cell r="BT311">
            <v>0</v>
          </cell>
          <cell r="BU311">
            <v>0</v>
          </cell>
          <cell r="BV311">
            <v>0</v>
          </cell>
          <cell r="BW311">
            <v>0</v>
          </cell>
          <cell r="BX311">
            <v>0</v>
          </cell>
          <cell r="BY311">
            <v>0</v>
          </cell>
        </row>
        <row r="312">
          <cell r="B312" t="str">
            <v>MS00-2RST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BQ312">
            <v>0</v>
          </cell>
          <cell r="BR312">
            <v>0</v>
          </cell>
          <cell r="BS312">
            <v>0</v>
          </cell>
          <cell r="BT312">
            <v>0</v>
          </cell>
          <cell r="BU312">
            <v>0</v>
          </cell>
          <cell r="BV312">
            <v>0</v>
          </cell>
          <cell r="BW312">
            <v>0</v>
          </cell>
          <cell r="BX312">
            <v>0</v>
          </cell>
          <cell r="BY312">
            <v>0</v>
          </cell>
        </row>
        <row r="313">
          <cell r="B313" t="str">
            <v>32314-MX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0</v>
          </cell>
          <cell r="BJ313">
            <v>0</v>
          </cell>
          <cell r="BK313">
            <v>0</v>
          </cell>
          <cell r="BL313">
            <v>0</v>
          </cell>
          <cell r="BM313">
            <v>0</v>
          </cell>
          <cell r="BN313">
            <v>0</v>
          </cell>
          <cell r="BO313">
            <v>0</v>
          </cell>
          <cell r="BP313">
            <v>0</v>
          </cell>
          <cell r="BQ313">
            <v>0</v>
          </cell>
          <cell r="BR313">
            <v>0</v>
          </cell>
          <cell r="BS313">
            <v>0</v>
          </cell>
          <cell r="BT313">
            <v>0</v>
          </cell>
          <cell r="BU313">
            <v>0</v>
          </cell>
          <cell r="BV313">
            <v>0</v>
          </cell>
          <cell r="BW313">
            <v>0</v>
          </cell>
          <cell r="BX313">
            <v>0</v>
          </cell>
          <cell r="BY313">
            <v>0</v>
          </cell>
        </row>
        <row r="314">
          <cell r="B314" t="str">
            <v>ECL-208-40DG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BQ314">
            <v>0</v>
          </cell>
          <cell r="BR314">
            <v>0</v>
          </cell>
          <cell r="BS314">
            <v>0</v>
          </cell>
          <cell r="BT314">
            <v>0</v>
          </cell>
          <cell r="BU314">
            <v>0</v>
          </cell>
          <cell r="BV314">
            <v>0</v>
          </cell>
          <cell r="BW314">
            <v>0</v>
          </cell>
          <cell r="BX314">
            <v>0</v>
          </cell>
          <cell r="BY314">
            <v>0</v>
          </cell>
        </row>
        <row r="315">
          <cell r="B315" t="str">
            <v>MS07-D-C3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0</v>
          </cell>
          <cell r="BL315">
            <v>0</v>
          </cell>
          <cell r="BM315">
            <v>0</v>
          </cell>
          <cell r="BN315">
            <v>0</v>
          </cell>
          <cell r="BO315">
            <v>0</v>
          </cell>
          <cell r="BP315">
            <v>0</v>
          </cell>
          <cell r="BQ315">
            <v>0</v>
          </cell>
          <cell r="BR315">
            <v>0</v>
          </cell>
          <cell r="BS315">
            <v>0</v>
          </cell>
          <cell r="BT315">
            <v>0</v>
          </cell>
          <cell r="BU315">
            <v>0</v>
          </cell>
          <cell r="BV315">
            <v>0</v>
          </cell>
          <cell r="BW315">
            <v>0</v>
          </cell>
          <cell r="BX315">
            <v>0</v>
          </cell>
          <cell r="BY315">
            <v>0</v>
          </cell>
        </row>
        <row r="316">
          <cell r="B316" t="str">
            <v>F-207-M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0</v>
          </cell>
          <cell r="BL316">
            <v>0</v>
          </cell>
          <cell r="BM316">
            <v>0</v>
          </cell>
          <cell r="BN316">
            <v>0</v>
          </cell>
          <cell r="BO316">
            <v>0</v>
          </cell>
          <cell r="BP316">
            <v>0</v>
          </cell>
          <cell r="BQ316">
            <v>0</v>
          </cell>
          <cell r="BR316">
            <v>0</v>
          </cell>
          <cell r="BS316">
            <v>0</v>
          </cell>
          <cell r="BT316">
            <v>0</v>
          </cell>
          <cell r="BU316">
            <v>0</v>
          </cell>
          <cell r="BV316">
            <v>0</v>
          </cell>
          <cell r="BW316">
            <v>0</v>
          </cell>
          <cell r="BX316">
            <v>0</v>
          </cell>
          <cell r="BY316">
            <v>0</v>
          </cell>
        </row>
        <row r="317">
          <cell r="B317" t="str">
            <v>F-209-M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0</v>
          </cell>
          <cell r="BL317">
            <v>0</v>
          </cell>
          <cell r="BM317">
            <v>0</v>
          </cell>
          <cell r="BN317">
            <v>0</v>
          </cell>
          <cell r="BO317">
            <v>0</v>
          </cell>
          <cell r="BP317">
            <v>0</v>
          </cell>
          <cell r="BQ317">
            <v>0</v>
          </cell>
          <cell r="BR317">
            <v>0</v>
          </cell>
          <cell r="BS317">
            <v>0</v>
          </cell>
          <cell r="BT317">
            <v>0</v>
          </cell>
          <cell r="BU317">
            <v>0</v>
          </cell>
          <cell r="BV317">
            <v>0</v>
          </cell>
          <cell r="BW317">
            <v>0</v>
          </cell>
          <cell r="BX317">
            <v>0</v>
          </cell>
          <cell r="BY317">
            <v>0</v>
          </cell>
        </row>
        <row r="318">
          <cell r="B318" t="str">
            <v>33112-MX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0</v>
          </cell>
          <cell r="BJ318">
            <v>0</v>
          </cell>
          <cell r="BK318">
            <v>0</v>
          </cell>
          <cell r="BL318">
            <v>0</v>
          </cell>
          <cell r="BM318">
            <v>0</v>
          </cell>
          <cell r="BN318">
            <v>0</v>
          </cell>
          <cell r="BO318">
            <v>0</v>
          </cell>
          <cell r="BP318">
            <v>0</v>
          </cell>
          <cell r="BQ318">
            <v>0</v>
          </cell>
          <cell r="BR318">
            <v>0</v>
          </cell>
          <cell r="BS318">
            <v>0</v>
          </cell>
          <cell r="BT318">
            <v>0</v>
          </cell>
          <cell r="BU318">
            <v>0</v>
          </cell>
          <cell r="BV318">
            <v>0</v>
          </cell>
          <cell r="BW318">
            <v>0</v>
          </cell>
          <cell r="BX318">
            <v>0</v>
          </cell>
          <cell r="BY318">
            <v>0</v>
          </cell>
        </row>
        <row r="319">
          <cell r="B319" t="str">
            <v>CF5202-P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0</v>
          </cell>
          <cell r="BL319">
            <v>0</v>
          </cell>
          <cell r="BM319">
            <v>0</v>
          </cell>
          <cell r="BN319">
            <v>0</v>
          </cell>
          <cell r="BO319">
            <v>0</v>
          </cell>
          <cell r="BP319">
            <v>0</v>
          </cell>
          <cell r="BQ319">
            <v>0</v>
          </cell>
          <cell r="BR319">
            <v>0</v>
          </cell>
          <cell r="BS319">
            <v>0</v>
          </cell>
          <cell r="BT319">
            <v>0</v>
          </cell>
          <cell r="BU319">
            <v>0</v>
          </cell>
          <cell r="BV319">
            <v>0</v>
          </cell>
          <cell r="BW319">
            <v>0</v>
          </cell>
          <cell r="BX319">
            <v>0</v>
          </cell>
          <cell r="BY319">
            <v>0</v>
          </cell>
        </row>
        <row r="320">
          <cell r="B320" t="str">
            <v>32306-MX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0</v>
          </cell>
          <cell r="BL320">
            <v>0</v>
          </cell>
          <cell r="BM320">
            <v>0</v>
          </cell>
          <cell r="BN320">
            <v>0</v>
          </cell>
          <cell r="BO320">
            <v>0</v>
          </cell>
          <cell r="BP320">
            <v>0</v>
          </cell>
          <cell r="BQ320">
            <v>0</v>
          </cell>
          <cell r="BR320">
            <v>0</v>
          </cell>
          <cell r="BS320">
            <v>0</v>
          </cell>
          <cell r="BT320">
            <v>0</v>
          </cell>
          <cell r="BU320">
            <v>0</v>
          </cell>
          <cell r="BV320">
            <v>0</v>
          </cell>
          <cell r="BW320">
            <v>0</v>
          </cell>
          <cell r="BX320">
            <v>0</v>
          </cell>
          <cell r="BY320">
            <v>0</v>
          </cell>
        </row>
        <row r="321">
          <cell r="B321" t="str">
            <v>32316-MX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0</v>
          </cell>
          <cell r="BJ321">
            <v>0</v>
          </cell>
          <cell r="BK321">
            <v>0</v>
          </cell>
          <cell r="BL321">
            <v>0</v>
          </cell>
          <cell r="BM321">
            <v>0</v>
          </cell>
          <cell r="BN321">
            <v>0</v>
          </cell>
          <cell r="BO321">
            <v>0</v>
          </cell>
          <cell r="BP321">
            <v>0</v>
          </cell>
          <cell r="BQ321">
            <v>0</v>
          </cell>
          <cell r="BR321">
            <v>0</v>
          </cell>
          <cell r="BS321">
            <v>0</v>
          </cell>
          <cell r="BT321">
            <v>0</v>
          </cell>
          <cell r="BU321">
            <v>0</v>
          </cell>
          <cell r="BV321">
            <v>0</v>
          </cell>
          <cell r="BW321">
            <v>0</v>
          </cell>
          <cell r="BX321">
            <v>0</v>
          </cell>
          <cell r="BY321">
            <v>0</v>
          </cell>
        </row>
        <row r="322">
          <cell r="B322" t="str">
            <v>29685-620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0</v>
          </cell>
          <cell r="BL322">
            <v>0</v>
          </cell>
          <cell r="BM322">
            <v>0</v>
          </cell>
          <cell r="BN322">
            <v>0</v>
          </cell>
          <cell r="BO322">
            <v>0</v>
          </cell>
          <cell r="BP322">
            <v>0</v>
          </cell>
          <cell r="BQ322">
            <v>0</v>
          </cell>
          <cell r="BR322">
            <v>0</v>
          </cell>
          <cell r="BS322">
            <v>0</v>
          </cell>
          <cell r="BT322">
            <v>0</v>
          </cell>
          <cell r="BU322">
            <v>0</v>
          </cell>
          <cell r="BV322">
            <v>0</v>
          </cell>
          <cell r="BW322">
            <v>0</v>
          </cell>
          <cell r="BX322">
            <v>0</v>
          </cell>
          <cell r="BY322">
            <v>0</v>
          </cell>
        </row>
        <row r="323">
          <cell r="B323" t="str">
            <v>7207-B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BQ323">
            <v>0</v>
          </cell>
          <cell r="BR323">
            <v>0</v>
          </cell>
          <cell r="BS323">
            <v>0</v>
          </cell>
          <cell r="BT323">
            <v>0</v>
          </cell>
          <cell r="BU323">
            <v>0</v>
          </cell>
          <cell r="BV323">
            <v>0</v>
          </cell>
          <cell r="BW323">
            <v>0</v>
          </cell>
          <cell r="BX323">
            <v>0</v>
          </cell>
          <cell r="BY323">
            <v>0</v>
          </cell>
        </row>
        <row r="324">
          <cell r="B324" t="str">
            <v>ASLR205-16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0</v>
          </cell>
          <cell r="BM324">
            <v>0</v>
          </cell>
          <cell r="BN324">
            <v>0</v>
          </cell>
          <cell r="BO324">
            <v>0</v>
          </cell>
          <cell r="BP324">
            <v>0</v>
          </cell>
          <cell r="BQ324">
            <v>0</v>
          </cell>
          <cell r="BR324">
            <v>0</v>
          </cell>
          <cell r="BS324">
            <v>0</v>
          </cell>
          <cell r="BT324">
            <v>0</v>
          </cell>
          <cell r="BU324">
            <v>0</v>
          </cell>
          <cell r="BV324">
            <v>0</v>
          </cell>
          <cell r="BW324">
            <v>0</v>
          </cell>
          <cell r="BX324">
            <v>0</v>
          </cell>
          <cell r="BY324">
            <v>0</v>
          </cell>
        </row>
        <row r="325">
          <cell r="B325" t="str">
            <v>1WW30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BQ325">
            <v>0</v>
          </cell>
          <cell r="BR325">
            <v>0</v>
          </cell>
          <cell r="BS325">
            <v>0</v>
          </cell>
          <cell r="BT325">
            <v>0</v>
          </cell>
          <cell r="BU325">
            <v>0</v>
          </cell>
          <cell r="BV325">
            <v>0</v>
          </cell>
          <cell r="BW325">
            <v>0</v>
          </cell>
          <cell r="BX325">
            <v>0</v>
          </cell>
          <cell r="BY325">
            <v>0</v>
          </cell>
        </row>
        <row r="326">
          <cell r="B326" t="str">
            <v>MS03-2Z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0</v>
          </cell>
          <cell r="BM326">
            <v>0</v>
          </cell>
          <cell r="BN326">
            <v>0</v>
          </cell>
          <cell r="BO326">
            <v>0</v>
          </cell>
          <cell r="BP326">
            <v>0</v>
          </cell>
          <cell r="BQ326">
            <v>0</v>
          </cell>
          <cell r="BR326">
            <v>0</v>
          </cell>
          <cell r="BS326">
            <v>0</v>
          </cell>
          <cell r="BT326">
            <v>0</v>
          </cell>
          <cell r="BU326">
            <v>0</v>
          </cell>
          <cell r="BV326">
            <v>0</v>
          </cell>
          <cell r="BW326">
            <v>0</v>
          </cell>
          <cell r="BX326">
            <v>0</v>
          </cell>
          <cell r="BY326">
            <v>0</v>
          </cell>
        </row>
        <row r="327">
          <cell r="B327" t="str">
            <v>30311-MX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  <cell r="BF327">
            <v>0</v>
          </cell>
          <cell r="BG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0</v>
          </cell>
          <cell r="BM327">
            <v>0</v>
          </cell>
          <cell r="BN327">
            <v>0</v>
          </cell>
          <cell r="BO327">
            <v>0</v>
          </cell>
          <cell r="BP327">
            <v>0</v>
          </cell>
          <cell r="BQ327">
            <v>0</v>
          </cell>
          <cell r="BR327">
            <v>0</v>
          </cell>
          <cell r="BS327">
            <v>0</v>
          </cell>
          <cell r="BT327">
            <v>0</v>
          </cell>
          <cell r="BU327">
            <v>0</v>
          </cell>
          <cell r="BV327">
            <v>0</v>
          </cell>
          <cell r="BW327">
            <v>0</v>
          </cell>
          <cell r="BX327">
            <v>0</v>
          </cell>
          <cell r="BY327">
            <v>0</v>
          </cell>
        </row>
        <row r="328">
          <cell r="B328" t="str">
            <v>ENG458053CHS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BQ328">
            <v>0</v>
          </cell>
          <cell r="BR328">
            <v>0</v>
          </cell>
          <cell r="BS328">
            <v>0</v>
          </cell>
          <cell r="BT328">
            <v>0</v>
          </cell>
          <cell r="BU328">
            <v>0</v>
          </cell>
          <cell r="BV328">
            <v>0</v>
          </cell>
          <cell r="BW328">
            <v>0</v>
          </cell>
          <cell r="BX328">
            <v>0</v>
          </cell>
          <cell r="BY328">
            <v>0</v>
          </cell>
        </row>
        <row r="329">
          <cell r="B329" t="str">
            <v>ECL-207-22-D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0</v>
          </cell>
          <cell r="BJ329">
            <v>0</v>
          </cell>
          <cell r="BK329">
            <v>0</v>
          </cell>
          <cell r="BL329">
            <v>0</v>
          </cell>
          <cell r="BM329">
            <v>0</v>
          </cell>
          <cell r="BN329">
            <v>0</v>
          </cell>
          <cell r="BO329">
            <v>0</v>
          </cell>
          <cell r="BP329">
            <v>0</v>
          </cell>
          <cell r="BQ329">
            <v>0</v>
          </cell>
          <cell r="BR329">
            <v>0</v>
          </cell>
          <cell r="BS329">
            <v>0</v>
          </cell>
          <cell r="BT329">
            <v>0</v>
          </cell>
          <cell r="BU329">
            <v>0</v>
          </cell>
          <cell r="BV329">
            <v>0</v>
          </cell>
          <cell r="BW329">
            <v>0</v>
          </cell>
          <cell r="BX329">
            <v>0</v>
          </cell>
          <cell r="BY329">
            <v>0</v>
          </cell>
        </row>
        <row r="330">
          <cell r="B330" t="str">
            <v>F-206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BQ330">
            <v>0</v>
          </cell>
          <cell r="BR330">
            <v>0</v>
          </cell>
          <cell r="BS330">
            <v>0</v>
          </cell>
          <cell r="BT330">
            <v>0</v>
          </cell>
          <cell r="BU330">
            <v>0</v>
          </cell>
          <cell r="BV330">
            <v>0</v>
          </cell>
          <cell r="BW330">
            <v>0</v>
          </cell>
          <cell r="BX330">
            <v>0</v>
          </cell>
          <cell r="BY330">
            <v>0</v>
          </cell>
        </row>
        <row r="331">
          <cell r="B331" t="str">
            <v>FD-205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BQ331">
            <v>0</v>
          </cell>
          <cell r="BR331">
            <v>0</v>
          </cell>
          <cell r="BS331">
            <v>0</v>
          </cell>
          <cell r="BT331">
            <v>0</v>
          </cell>
          <cell r="BU331">
            <v>0</v>
          </cell>
          <cell r="BV331">
            <v>0</v>
          </cell>
          <cell r="BW331">
            <v>0</v>
          </cell>
          <cell r="BX331">
            <v>0</v>
          </cell>
          <cell r="BY331">
            <v>0</v>
          </cell>
        </row>
        <row r="332">
          <cell r="B332" t="str">
            <v>206-KYY6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BR332">
            <v>0</v>
          </cell>
          <cell r="BS332">
            <v>0</v>
          </cell>
          <cell r="BT332">
            <v>0</v>
          </cell>
          <cell r="BU332">
            <v>0</v>
          </cell>
          <cell r="BV332">
            <v>0</v>
          </cell>
          <cell r="BW332">
            <v>0</v>
          </cell>
          <cell r="BX332">
            <v>0</v>
          </cell>
          <cell r="BY332">
            <v>0</v>
          </cell>
        </row>
        <row r="333">
          <cell r="B333" t="str">
            <v>PB008775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BQ333">
            <v>0</v>
          </cell>
          <cell r="BR333">
            <v>0</v>
          </cell>
          <cell r="BS333">
            <v>0</v>
          </cell>
          <cell r="BT333">
            <v>0</v>
          </cell>
          <cell r="BU333">
            <v>0</v>
          </cell>
          <cell r="BV333">
            <v>0</v>
          </cell>
          <cell r="BW333">
            <v>0</v>
          </cell>
          <cell r="BX333">
            <v>0</v>
          </cell>
          <cell r="BY333">
            <v>0</v>
          </cell>
        </row>
        <row r="334">
          <cell r="B334" t="str">
            <v>MS02-D-C3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BR334">
            <v>0</v>
          </cell>
          <cell r="BS334">
            <v>0</v>
          </cell>
          <cell r="BT334">
            <v>0</v>
          </cell>
          <cell r="BU334">
            <v>0</v>
          </cell>
          <cell r="BV334">
            <v>0</v>
          </cell>
          <cell r="BW334">
            <v>0</v>
          </cell>
          <cell r="BX334">
            <v>0</v>
          </cell>
          <cell r="BY334">
            <v>0</v>
          </cell>
        </row>
        <row r="335">
          <cell r="B335" t="str">
            <v>AG-1235-B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BR335">
            <v>0</v>
          </cell>
          <cell r="BS335">
            <v>0</v>
          </cell>
          <cell r="BT335">
            <v>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</row>
        <row r="336">
          <cell r="B336" t="str">
            <v>PB001098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BR336">
            <v>0</v>
          </cell>
          <cell r="BS336">
            <v>0</v>
          </cell>
          <cell r="BT336">
            <v>0</v>
          </cell>
          <cell r="BU336">
            <v>0</v>
          </cell>
          <cell r="BV336">
            <v>0</v>
          </cell>
          <cell r="BW336">
            <v>0</v>
          </cell>
          <cell r="BX336">
            <v>0</v>
          </cell>
          <cell r="BY336">
            <v>0</v>
          </cell>
        </row>
        <row r="337">
          <cell r="B337" t="str">
            <v>6212-2RS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BR337">
            <v>0</v>
          </cell>
          <cell r="BS337">
            <v>0</v>
          </cell>
          <cell r="BT337">
            <v>0</v>
          </cell>
          <cell r="BU337">
            <v>0</v>
          </cell>
          <cell r="BV337">
            <v>0</v>
          </cell>
          <cell r="BW337">
            <v>0</v>
          </cell>
          <cell r="BX337">
            <v>0</v>
          </cell>
          <cell r="BY337">
            <v>0</v>
          </cell>
        </row>
        <row r="338">
          <cell r="B338" t="str">
            <v>PB001027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BR338">
            <v>0</v>
          </cell>
          <cell r="BS338">
            <v>0</v>
          </cell>
          <cell r="BT338">
            <v>0</v>
          </cell>
          <cell r="BU338">
            <v>0</v>
          </cell>
          <cell r="BV338">
            <v>0</v>
          </cell>
          <cell r="BW338">
            <v>0</v>
          </cell>
          <cell r="BX338">
            <v>0</v>
          </cell>
          <cell r="BY338">
            <v>0</v>
          </cell>
        </row>
        <row r="339">
          <cell r="B339" t="str">
            <v>F-211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BR339">
            <v>0</v>
          </cell>
          <cell r="BS339">
            <v>0</v>
          </cell>
          <cell r="BT339">
            <v>0</v>
          </cell>
          <cell r="BU339">
            <v>0</v>
          </cell>
          <cell r="BV339">
            <v>0</v>
          </cell>
          <cell r="BW339">
            <v>0</v>
          </cell>
          <cell r="BX339">
            <v>0</v>
          </cell>
          <cell r="BY339">
            <v>0</v>
          </cell>
        </row>
        <row r="340">
          <cell r="B340" t="str">
            <v>PB003312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BR340">
            <v>0</v>
          </cell>
          <cell r="BS340">
            <v>0</v>
          </cell>
          <cell r="BT340">
            <v>0</v>
          </cell>
          <cell r="BU340">
            <v>0</v>
          </cell>
          <cell r="BV340">
            <v>0</v>
          </cell>
          <cell r="BW340">
            <v>0</v>
          </cell>
          <cell r="BX340">
            <v>0</v>
          </cell>
          <cell r="BY340">
            <v>0</v>
          </cell>
        </row>
        <row r="341">
          <cell r="B341" t="str">
            <v>BP-18013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BR341">
            <v>0</v>
          </cell>
          <cell r="BS341">
            <v>0</v>
          </cell>
          <cell r="BT341">
            <v>0</v>
          </cell>
          <cell r="BU341">
            <v>0</v>
          </cell>
          <cell r="BV341">
            <v>0</v>
          </cell>
          <cell r="BW341">
            <v>0</v>
          </cell>
          <cell r="BX341">
            <v>0</v>
          </cell>
          <cell r="BY341">
            <v>0</v>
          </cell>
        </row>
        <row r="342">
          <cell r="B342" t="str">
            <v>ACL205-16RG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BR342">
            <v>0</v>
          </cell>
          <cell r="BS342">
            <v>0</v>
          </cell>
          <cell r="BT342">
            <v>0</v>
          </cell>
          <cell r="BU342">
            <v>0</v>
          </cell>
          <cell r="BV342">
            <v>0</v>
          </cell>
          <cell r="BW342">
            <v>0</v>
          </cell>
          <cell r="BX342">
            <v>0</v>
          </cell>
          <cell r="BY342">
            <v>0</v>
          </cell>
        </row>
        <row r="343">
          <cell r="B343" t="str">
            <v>ENG256553CHS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BR343">
            <v>0</v>
          </cell>
          <cell r="BS343">
            <v>0</v>
          </cell>
          <cell r="BT343">
            <v>0</v>
          </cell>
          <cell r="BU343">
            <v>0</v>
          </cell>
          <cell r="BV343">
            <v>0</v>
          </cell>
          <cell r="BW343">
            <v>0</v>
          </cell>
          <cell r="BX343">
            <v>0</v>
          </cell>
          <cell r="BY343">
            <v>0</v>
          </cell>
        </row>
        <row r="344">
          <cell r="B344" t="str">
            <v>PB001028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BR344">
            <v>0</v>
          </cell>
          <cell r="BS344">
            <v>0</v>
          </cell>
          <cell r="BT344">
            <v>0</v>
          </cell>
          <cell r="BU344">
            <v>0</v>
          </cell>
          <cell r="BV344">
            <v>0</v>
          </cell>
          <cell r="BW344">
            <v>0</v>
          </cell>
          <cell r="BX344">
            <v>0</v>
          </cell>
          <cell r="BY344">
            <v>0</v>
          </cell>
        </row>
        <row r="345">
          <cell r="B345" t="str">
            <v>PB001055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BR345">
            <v>0</v>
          </cell>
          <cell r="BS345">
            <v>0</v>
          </cell>
          <cell r="BT345">
            <v>0</v>
          </cell>
          <cell r="BU345">
            <v>0</v>
          </cell>
          <cell r="BV345">
            <v>0</v>
          </cell>
          <cell r="BW345">
            <v>0</v>
          </cell>
          <cell r="BX345">
            <v>0</v>
          </cell>
          <cell r="BY345">
            <v>0</v>
          </cell>
        </row>
        <row r="346">
          <cell r="B346" t="str">
            <v>204-KRR2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BR346">
            <v>0</v>
          </cell>
          <cell r="BS346">
            <v>0</v>
          </cell>
          <cell r="BT346">
            <v>0</v>
          </cell>
          <cell r="BU346">
            <v>0</v>
          </cell>
          <cell r="BV346">
            <v>0</v>
          </cell>
          <cell r="BW346">
            <v>0</v>
          </cell>
          <cell r="BX346">
            <v>0</v>
          </cell>
          <cell r="BY346">
            <v>0</v>
          </cell>
        </row>
        <row r="347">
          <cell r="B347" t="str">
            <v>PB006212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BR347">
            <v>0</v>
          </cell>
          <cell r="BS347">
            <v>0</v>
          </cell>
          <cell r="BT347">
            <v>0</v>
          </cell>
          <cell r="BU347">
            <v>0</v>
          </cell>
          <cell r="BV347">
            <v>0</v>
          </cell>
          <cell r="BW347">
            <v>0</v>
          </cell>
          <cell r="BX347">
            <v>0</v>
          </cell>
          <cell r="BY347">
            <v>0</v>
          </cell>
        </row>
        <row r="348">
          <cell r="B348" t="str">
            <v>DTR2552-RG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BR348">
            <v>0</v>
          </cell>
          <cell r="BS348">
            <v>0</v>
          </cell>
          <cell r="BT348">
            <v>0</v>
          </cell>
          <cell r="BU348">
            <v>0</v>
          </cell>
          <cell r="BV348">
            <v>0</v>
          </cell>
          <cell r="BW348">
            <v>0</v>
          </cell>
          <cell r="BX348">
            <v>0</v>
          </cell>
          <cell r="BY348">
            <v>0</v>
          </cell>
        </row>
        <row r="349">
          <cell r="B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BR349">
            <v>0</v>
          </cell>
          <cell r="BS349">
            <v>0</v>
          </cell>
          <cell r="BT349">
            <v>0</v>
          </cell>
          <cell r="BU349">
            <v>0</v>
          </cell>
          <cell r="BV349">
            <v>0</v>
          </cell>
          <cell r="BW349">
            <v>0</v>
          </cell>
          <cell r="BX349">
            <v>0</v>
          </cell>
          <cell r="BY349">
            <v>0</v>
          </cell>
        </row>
        <row r="350">
          <cell r="B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BR350">
            <v>0</v>
          </cell>
          <cell r="BS350">
            <v>0</v>
          </cell>
          <cell r="BT350">
            <v>0</v>
          </cell>
          <cell r="BU350">
            <v>0</v>
          </cell>
          <cell r="BV350">
            <v>0</v>
          </cell>
          <cell r="BW350">
            <v>0</v>
          </cell>
          <cell r="BX350">
            <v>0</v>
          </cell>
          <cell r="BY350">
            <v>0</v>
          </cell>
        </row>
        <row r="351">
          <cell r="B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BR351">
            <v>0</v>
          </cell>
          <cell r="BS351">
            <v>0</v>
          </cell>
          <cell r="BT351">
            <v>0</v>
          </cell>
          <cell r="BU351">
            <v>0</v>
          </cell>
          <cell r="BV351">
            <v>0</v>
          </cell>
          <cell r="BW351">
            <v>0</v>
          </cell>
          <cell r="BX351">
            <v>0</v>
          </cell>
          <cell r="BY351">
            <v>0</v>
          </cell>
        </row>
        <row r="352">
          <cell r="B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BR352">
            <v>0</v>
          </cell>
          <cell r="BS352">
            <v>0</v>
          </cell>
          <cell r="BT352">
            <v>0</v>
          </cell>
          <cell r="BU352">
            <v>0</v>
          </cell>
          <cell r="BV352">
            <v>0</v>
          </cell>
          <cell r="BW352">
            <v>0</v>
          </cell>
          <cell r="BX352">
            <v>0</v>
          </cell>
          <cell r="BY352">
            <v>0</v>
          </cell>
        </row>
        <row r="353">
          <cell r="B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BR353">
            <v>0</v>
          </cell>
          <cell r="BS353">
            <v>0</v>
          </cell>
          <cell r="BT353">
            <v>0</v>
          </cell>
          <cell r="BU353">
            <v>0</v>
          </cell>
          <cell r="BV353">
            <v>0</v>
          </cell>
          <cell r="BW353">
            <v>0</v>
          </cell>
          <cell r="BX353">
            <v>0</v>
          </cell>
          <cell r="BY353">
            <v>0</v>
          </cell>
        </row>
        <row r="354">
          <cell r="B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BR354">
            <v>0</v>
          </cell>
          <cell r="BS354">
            <v>0</v>
          </cell>
          <cell r="BT354">
            <v>0</v>
          </cell>
          <cell r="BU354">
            <v>0</v>
          </cell>
          <cell r="BV354">
            <v>0</v>
          </cell>
          <cell r="BW354">
            <v>0</v>
          </cell>
          <cell r="BX354">
            <v>0</v>
          </cell>
          <cell r="BY354">
            <v>0</v>
          </cell>
        </row>
        <row r="355">
          <cell r="B355" t="str">
            <v>APROBADO POR:</v>
          </cell>
          <cell r="D355">
            <v>0</v>
          </cell>
          <cell r="E355" t="str">
            <v xml:space="preserve">NOTAS: 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BR355">
            <v>0</v>
          </cell>
          <cell r="BS355">
            <v>0</v>
          </cell>
          <cell r="BT355">
            <v>0</v>
          </cell>
          <cell r="BU355">
            <v>0</v>
          </cell>
          <cell r="BV355">
            <v>0</v>
          </cell>
          <cell r="BW355">
            <v>0</v>
          </cell>
          <cell r="BX355">
            <v>0</v>
          </cell>
          <cell r="BY355">
            <v>0</v>
          </cell>
        </row>
        <row r="356">
          <cell r="B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BQ356">
            <v>0</v>
          </cell>
          <cell r="BR356">
            <v>0</v>
          </cell>
          <cell r="BS356">
            <v>0</v>
          </cell>
          <cell r="BT356">
            <v>0</v>
          </cell>
          <cell r="BU356">
            <v>0</v>
          </cell>
          <cell r="BV356">
            <v>0</v>
          </cell>
          <cell r="BW356">
            <v>0</v>
          </cell>
          <cell r="BX356">
            <v>0</v>
          </cell>
          <cell r="BY356">
            <v>0</v>
          </cell>
        </row>
        <row r="357">
          <cell r="B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</row>
        <row r="358">
          <cell r="B358">
            <v>0</v>
          </cell>
        </row>
        <row r="359">
          <cell r="B359">
            <v>0</v>
          </cell>
        </row>
        <row r="360">
          <cell r="B360">
            <v>0</v>
          </cell>
        </row>
        <row r="361">
          <cell r="B361">
            <v>0</v>
          </cell>
        </row>
        <row r="362">
          <cell r="B362">
            <v>0</v>
          </cell>
        </row>
        <row r="363">
          <cell r="B363">
            <v>0</v>
          </cell>
        </row>
        <row r="364">
          <cell r="B364">
            <v>0</v>
          </cell>
        </row>
        <row r="365">
          <cell r="B365">
            <v>0</v>
          </cell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>
            <v>0</v>
          </cell>
          <cell r="Y9">
            <v>0</v>
          </cell>
          <cell r="Z9">
            <v>0</v>
          </cell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>
            <v>0</v>
          </cell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>
            <v>0</v>
          </cell>
          <cell r="D42">
            <v>0</v>
          </cell>
        </row>
        <row r="43">
          <cell r="C43">
            <v>0</v>
          </cell>
          <cell r="D43">
            <v>0</v>
          </cell>
        </row>
        <row r="44">
          <cell r="C44">
            <v>0</v>
          </cell>
          <cell r="D44">
            <v>0</v>
          </cell>
        </row>
        <row r="45">
          <cell r="C45">
            <v>0</v>
          </cell>
          <cell r="D45">
            <v>0</v>
          </cell>
        </row>
        <row r="46">
          <cell r="C46">
            <v>0</v>
          </cell>
          <cell r="D46">
            <v>0</v>
          </cell>
        </row>
        <row r="47">
          <cell r="C47">
            <v>0</v>
          </cell>
          <cell r="D47">
            <v>0</v>
          </cell>
        </row>
        <row r="48">
          <cell r="C48">
            <v>0</v>
          </cell>
          <cell r="D48">
            <v>0</v>
          </cell>
        </row>
        <row r="49">
          <cell r="C49">
            <v>0</v>
          </cell>
          <cell r="D49">
            <v>0</v>
          </cell>
        </row>
        <row r="50">
          <cell r="C50">
            <v>0</v>
          </cell>
          <cell r="D50">
            <v>0</v>
          </cell>
        </row>
        <row r="51">
          <cell r="C51">
            <v>0</v>
          </cell>
          <cell r="D51">
            <v>0</v>
          </cell>
        </row>
        <row r="52">
          <cell r="C52">
            <v>0</v>
          </cell>
          <cell r="D52">
            <v>0</v>
          </cell>
        </row>
        <row r="53">
          <cell r="C53">
            <v>0</v>
          </cell>
          <cell r="D53">
            <v>0</v>
          </cell>
        </row>
        <row r="54">
          <cell r="C54">
            <v>0</v>
          </cell>
          <cell r="D54">
            <v>0</v>
          </cell>
        </row>
        <row r="55">
          <cell r="C55">
            <v>0</v>
          </cell>
          <cell r="D55">
            <v>0</v>
          </cell>
        </row>
        <row r="56">
          <cell r="C56">
            <v>0</v>
          </cell>
          <cell r="D56">
            <v>0</v>
          </cell>
        </row>
        <row r="57">
          <cell r="C57">
            <v>0</v>
          </cell>
          <cell r="D57">
            <v>0</v>
          </cell>
        </row>
        <row r="58">
          <cell r="C58">
            <v>0</v>
          </cell>
          <cell r="D58">
            <v>0</v>
          </cell>
        </row>
        <row r="59">
          <cell r="C59">
            <v>0</v>
          </cell>
          <cell r="D59">
            <v>0</v>
          </cell>
        </row>
        <row r="60">
          <cell r="C60">
            <v>0</v>
          </cell>
          <cell r="D60">
            <v>0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3">
          <cell r="C63">
            <v>0</v>
          </cell>
          <cell r="D63">
            <v>0</v>
          </cell>
        </row>
        <row r="64">
          <cell r="C64">
            <v>0</v>
          </cell>
          <cell r="D64">
            <v>0</v>
          </cell>
        </row>
        <row r="65">
          <cell r="C65">
            <v>0</v>
          </cell>
          <cell r="D65">
            <v>0</v>
          </cell>
        </row>
        <row r="66">
          <cell r="C66">
            <v>0</v>
          </cell>
          <cell r="D66">
            <v>0</v>
          </cell>
        </row>
        <row r="67">
          <cell r="C67">
            <v>0</v>
          </cell>
          <cell r="D67">
            <v>0</v>
          </cell>
        </row>
        <row r="68">
          <cell r="C68">
            <v>0</v>
          </cell>
          <cell r="D68">
            <v>0</v>
          </cell>
        </row>
        <row r="69">
          <cell r="C69">
            <v>0</v>
          </cell>
          <cell r="D69">
            <v>0</v>
          </cell>
        </row>
        <row r="70">
          <cell r="C70">
            <v>0</v>
          </cell>
          <cell r="D70">
            <v>0</v>
          </cell>
        </row>
        <row r="71">
          <cell r="C71">
            <v>0</v>
          </cell>
          <cell r="D71">
            <v>0</v>
          </cell>
        </row>
        <row r="72">
          <cell r="C72">
            <v>0</v>
          </cell>
          <cell r="D72">
            <v>0</v>
          </cell>
        </row>
        <row r="73">
          <cell r="C73">
            <v>0</v>
          </cell>
          <cell r="D73">
            <v>0</v>
          </cell>
        </row>
        <row r="74">
          <cell r="C74">
            <v>0</v>
          </cell>
          <cell r="D74">
            <v>0</v>
          </cell>
        </row>
        <row r="75">
          <cell r="C75">
            <v>0</v>
          </cell>
          <cell r="D75">
            <v>0</v>
          </cell>
        </row>
        <row r="76">
          <cell r="C76">
            <v>0</v>
          </cell>
          <cell r="D76">
            <v>0</v>
          </cell>
        </row>
        <row r="77">
          <cell r="C77">
            <v>0</v>
          </cell>
          <cell r="D77">
            <v>0</v>
          </cell>
        </row>
        <row r="78">
          <cell r="C78">
            <v>0</v>
          </cell>
          <cell r="D78">
            <v>0</v>
          </cell>
        </row>
        <row r="79">
          <cell r="C79">
            <v>0</v>
          </cell>
          <cell r="D79">
            <v>0</v>
          </cell>
        </row>
        <row r="80">
          <cell r="C80">
            <v>0</v>
          </cell>
          <cell r="D80">
            <v>0</v>
          </cell>
        </row>
        <row r="81">
          <cell r="C81">
            <v>0</v>
          </cell>
          <cell r="D81">
            <v>0</v>
          </cell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>
            <v>0</v>
          </cell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 t="str">
            <v>Mobil Polyrex EM103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 t="str">
            <v>TRA SM 502 Soluble semi p/rectif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 t="str">
            <v>Solvente 261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>
            <v>0</v>
          </cell>
          <cell r="D10">
            <v>0</v>
          </cell>
          <cell r="G10">
            <v>0</v>
          </cell>
        </row>
        <row r="11">
          <cell r="B11">
            <v>0</v>
          </cell>
          <cell r="D11">
            <v>0</v>
          </cell>
          <cell r="G11">
            <v>0</v>
          </cell>
        </row>
        <row r="12">
          <cell r="B12">
            <v>0</v>
          </cell>
          <cell r="D12">
            <v>0</v>
          </cell>
          <cell r="G12">
            <v>0</v>
          </cell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>
            <v>0</v>
          </cell>
          <cell r="D14">
            <v>0</v>
          </cell>
          <cell r="G14">
            <v>0</v>
          </cell>
        </row>
        <row r="15">
          <cell r="B15">
            <v>0</v>
          </cell>
          <cell r="D15">
            <v>0</v>
          </cell>
          <cell r="G15">
            <v>0</v>
          </cell>
        </row>
        <row r="16">
          <cell r="B16">
            <v>0</v>
          </cell>
          <cell r="G16">
            <v>0</v>
          </cell>
        </row>
        <row r="17">
          <cell r="B17">
            <v>0</v>
          </cell>
          <cell r="D17">
            <v>0</v>
          </cell>
          <cell r="G17">
            <v>0</v>
          </cell>
        </row>
        <row r="18">
          <cell r="B18">
            <v>0</v>
          </cell>
          <cell r="D18">
            <v>0</v>
          </cell>
          <cell r="G18">
            <v>0</v>
          </cell>
        </row>
        <row r="19">
          <cell r="B19">
            <v>0</v>
          </cell>
          <cell r="D19">
            <v>0</v>
          </cell>
          <cell r="G19">
            <v>0</v>
          </cell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>
            <v>0</v>
          </cell>
          <cell r="D21">
            <v>0</v>
          </cell>
          <cell r="G21">
            <v>0</v>
          </cell>
        </row>
        <row r="22">
          <cell r="B22">
            <v>0</v>
          </cell>
          <cell r="D22">
            <v>0</v>
          </cell>
          <cell r="G22">
            <v>0</v>
          </cell>
        </row>
        <row r="23">
          <cell r="B23">
            <v>0</v>
          </cell>
          <cell r="D23">
            <v>0</v>
          </cell>
          <cell r="G23">
            <v>0</v>
          </cell>
        </row>
        <row r="24">
          <cell r="B24">
            <v>0</v>
          </cell>
          <cell r="D24">
            <v>0</v>
          </cell>
          <cell r="G24">
            <v>0</v>
          </cell>
        </row>
        <row r="25">
          <cell r="B25">
            <v>0</v>
          </cell>
          <cell r="D25">
            <v>0</v>
          </cell>
          <cell r="G25">
            <v>0</v>
          </cell>
        </row>
        <row r="26">
          <cell r="B26" t="str">
            <v>APROBADO POR:</v>
          </cell>
          <cell r="D26">
            <v>0</v>
          </cell>
          <cell r="G26">
            <v>0</v>
          </cell>
        </row>
        <row r="27">
          <cell r="B27">
            <v>0</v>
          </cell>
          <cell r="D27">
            <v>0</v>
          </cell>
          <cell r="G27">
            <v>0</v>
          </cell>
        </row>
        <row r="28">
          <cell r="B28">
            <v>0</v>
          </cell>
          <cell r="D28">
            <v>0</v>
          </cell>
          <cell r="G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>
            <v>0</v>
          </cell>
          <cell r="D23">
            <v>0</v>
          </cell>
        </row>
        <row r="24">
          <cell r="C24">
            <v>0</v>
          </cell>
          <cell r="D24">
            <v>0</v>
          </cell>
        </row>
        <row r="25">
          <cell r="C25">
            <v>0</v>
          </cell>
          <cell r="D25">
            <v>0</v>
          </cell>
        </row>
        <row r="26">
          <cell r="C26">
            <v>0</v>
          </cell>
          <cell r="D26">
            <v>0</v>
          </cell>
        </row>
        <row r="27">
          <cell r="C27">
            <v>0</v>
          </cell>
          <cell r="D27">
            <v>0</v>
          </cell>
        </row>
        <row r="28">
          <cell r="C28">
            <v>0</v>
          </cell>
          <cell r="D28">
            <v>0</v>
          </cell>
        </row>
        <row r="29">
          <cell r="C29">
            <v>0</v>
          </cell>
          <cell r="D29">
            <v>0</v>
          </cell>
        </row>
        <row r="30">
          <cell r="C30">
            <v>0</v>
          </cell>
          <cell r="D30">
            <v>0</v>
          </cell>
        </row>
        <row r="31">
          <cell r="C31">
            <v>0</v>
          </cell>
          <cell r="D31">
            <v>0</v>
          </cell>
        </row>
        <row r="32">
          <cell r="C32">
            <v>0</v>
          </cell>
          <cell r="D32">
            <v>0</v>
          </cell>
        </row>
        <row r="33">
          <cell r="C33">
            <v>0</v>
          </cell>
          <cell r="D33">
            <v>0</v>
          </cell>
        </row>
        <row r="34">
          <cell r="C34">
            <v>0</v>
          </cell>
          <cell r="D34">
            <v>0</v>
          </cell>
        </row>
        <row r="35">
          <cell r="C35">
            <v>0</v>
          </cell>
          <cell r="D35">
            <v>0</v>
          </cell>
        </row>
        <row r="36">
          <cell r="C36">
            <v>0</v>
          </cell>
          <cell r="D36">
            <v>0</v>
          </cell>
        </row>
        <row r="37">
          <cell r="C37">
            <v>0</v>
          </cell>
          <cell r="D37">
            <v>0</v>
          </cell>
        </row>
        <row r="38">
          <cell r="C38">
            <v>0</v>
          </cell>
          <cell r="D38">
            <v>0</v>
          </cell>
        </row>
        <row r="39">
          <cell r="C39">
            <v>0</v>
          </cell>
          <cell r="D39">
            <v>0</v>
          </cell>
        </row>
        <row r="40">
          <cell r="C40">
            <v>0</v>
          </cell>
          <cell r="D40">
            <v>0</v>
          </cell>
        </row>
        <row r="41">
          <cell r="C41">
            <v>0</v>
          </cell>
          <cell r="D41">
            <v>0</v>
          </cell>
        </row>
        <row r="42">
          <cell r="C42">
            <v>0</v>
          </cell>
          <cell r="D42">
            <v>0</v>
          </cell>
        </row>
        <row r="43">
          <cell r="C43">
            <v>0</v>
          </cell>
          <cell r="D43">
            <v>0</v>
          </cell>
        </row>
        <row r="44">
          <cell r="C44">
            <v>0</v>
          </cell>
          <cell r="D44">
            <v>0</v>
          </cell>
        </row>
        <row r="45">
          <cell r="C45">
            <v>0</v>
          </cell>
          <cell r="D45">
            <v>0</v>
          </cell>
        </row>
        <row r="46">
          <cell r="C46">
            <v>0</v>
          </cell>
          <cell r="D46">
            <v>0</v>
          </cell>
        </row>
        <row r="47">
          <cell r="C47">
            <v>0</v>
          </cell>
          <cell r="D47">
            <v>0</v>
          </cell>
        </row>
        <row r="48">
          <cell r="C48">
            <v>0</v>
          </cell>
          <cell r="D48">
            <v>0</v>
          </cell>
        </row>
        <row r="49">
          <cell r="C49">
            <v>0</v>
          </cell>
          <cell r="D49">
            <v>0</v>
          </cell>
        </row>
        <row r="50">
          <cell r="C50">
            <v>0</v>
          </cell>
          <cell r="D50">
            <v>0</v>
          </cell>
        </row>
        <row r="51">
          <cell r="C51">
            <v>0</v>
          </cell>
          <cell r="D51">
            <v>0</v>
          </cell>
        </row>
        <row r="52">
          <cell r="C52">
            <v>0</v>
          </cell>
          <cell r="D52">
            <v>0</v>
          </cell>
        </row>
        <row r="53">
          <cell r="C53">
            <v>0</v>
          </cell>
          <cell r="D53">
            <v>0</v>
          </cell>
        </row>
        <row r="54">
          <cell r="C54">
            <v>0</v>
          </cell>
          <cell r="D54">
            <v>0</v>
          </cell>
        </row>
        <row r="55">
          <cell r="C55">
            <v>0</v>
          </cell>
          <cell r="D55">
            <v>0</v>
          </cell>
        </row>
        <row r="56">
          <cell r="C56">
            <v>0</v>
          </cell>
          <cell r="D56">
            <v>0</v>
          </cell>
        </row>
        <row r="57">
          <cell r="C57">
            <v>0</v>
          </cell>
          <cell r="D57">
            <v>0</v>
          </cell>
        </row>
        <row r="58">
          <cell r="C58">
            <v>0</v>
          </cell>
          <cell r="D58">
            <v>0</v>
          </cell>
        </row>
        <row r="59">
          <cell r="C59">
            <v>0</v>
          </cell>
          <cell r="D59">
            <v>0</v>
          </cell>
        </row>
        <row r="60">
          <cell r="C60">
            <v>0</v>
          </cell>
          <cell r="D60">
            <v>0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3">
          <cell r="C63">
            <v>0</v>
          </cell>
          <cell r="D63">
            <v>0</v>
          </cell>
        </row>
        <row r="64">
          <cell r="C64">
            <v>0</v>
          </cell>
          <cell r="D64">
            <v>0</v>
          </cell>
        </row>
        <row r="65">
          <cell r="C65">
            <v>0</v>
          </cell>
          <cell r="D65">
            <v>0</v>
          </cell>
        </row>
        <row r="66">
          <cell r="C66">
            <v>0</v>
          </cell>
          <cell r="D66">
            <v>0</v>
          </cell>
        </row>
        <row r="67">
          <cell r="C67">
            <v>0</v>
          </cell>
          <cell r="D67">
            <v>0</v>
          </cell>
        </row>
        <row r="68">
          <cell r="C68">
            <v>0</v>
          </cell>
          <cell r="D68">
            <v>0</v>
          </cell>
        </row>
        <row r="69">
          <cell r="C69">
            <v>0</v>
          </cell>
          <cell r="D69">
            <v>0</v>
          </cell>
        </row>
        <row r="70">
          <cell r="C70">
            <v>0</v>
          </cell>
          <cell r="D70">
            <v>0</v>
          </cell>
        </row>
        <row r="71">
          <cell r="C71">
            <v>0</v>
          </cell>
          <cell r="D71">
            <v>0</v>
          </cell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>
            <v>0</v>
          </cell>
          <cell r="C11">
            <v>0</v>
          </cell>
          <cell r="O11" t="str">
            <v>E102</v>
          </cell>
        </row>
        <row r="12">
          <cell r="B12">
            <v>0</v>
          </cell>
          <cell r="C12">
            <v>0</v>
          </cell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>
            <v>0</v>
          </cell>
          <cell r="C14">
            <v>0</v>
          </cell>
          <cell r="O14" t="str">
            <v>E202</v>
          </cell>
        </row>
        <row r="15">
          <cell r="B15">
            <v>0</v>
          </cell>
          <cell r="C15">
            <v>0</v>
          </cell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>
            <v>0</v>
          </cell>
          <cell r="C17">
            <v>0</v>
          </cell>
          <cell r="O17" t="str">
            <v>E205</v>
          </cell>
        </row>
        <row r="18">
          <cell r="B18">
            <v>0</v>
          </cell>
          <cell r="C18">
            <v>0</v>
          </cell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>
            <v>0</v>
          </cell>
          <cell r="C20">
            <v>0</v>
          </cell>
          <cell r="O20" t="str">
            <v/>
          </cell>
        </row>
        <row r="21">
          <cell r="B21">
            <v>0</v>
          </cell>
          <cell r="C21">
            <v>0</v>
          </cell>
          <cell r="O21" t="str">
            <v/>
          </cell>
        </row>
        <row r="22">
          <cell r="B22">
            <v>0</v>
          </cell>
          <cell r="C22">
            <v>0</v>
          </cell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>
            <v>0</v>
          </cell>
          <cell r="C24">
            <v>0</v>
          </cell>
          <cell r="O24" t="str">
            <v/>
          </cell>
        </row>
        <row r="25">
          <cell r="B25">
            <v>0</v>
          </cell>
          <cell r="C25">
            <v>0</v>
          </cell>
          <cell r="O25" t="str">
            <v/>
          </cell>
        </row>
        <row r="26">
          <cell r="B26">
            <v>0</v>
          </cell>
          <cell r="C26">
            <v>0</v>
          </cell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>
            <v>0</v>
          </cell>
          <cell r="C28">
            <v>0</v>
          </cell>
          <cell r="O28" t="str">
            <v/>
          </cell>
        </row>
        <row r="29">
          <cell r="B29">
            <v>0</v>
          </cell>
          <cell r="C29">
            <v>0</v>
          </cell>
          <cell r="O29" t="str">
            <v/>
          </cell>
        </row>
        <row r="30">
          <cell r="B30">
            <v>0</v>
          </cell>
          <cell r="C30">
            <v>0</v>
          </cell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>
            <v>0</v>
          </cell>
          <cell r="C32">
            <v>0</v>
          </cell>
          <cell r="O32" t="str">
            <v/>
          </cell>
        </row>
        <row r="33">
          <cell r="B33">
            <v>0</v>
          </cell>
          <cell r="C33">
            <v>0</v>
          </cell>
          <cell r="O33" t="str">
            <v/>
          </cell>
        </row>
        <row r="34">
          <cell r="B34">
            <v>0</v>
          </cell>
          <cell r="C34">
            <v>0</v>
          </cell>
          <cell r="O34" t="str">
            <v/>
          </cell>
        </row>
        <row r="35">
          <cell r="B35" t="str">
            <v>E205</v>
          </cell>
          <cell r="C35">
            <v>0</v>
          </cell>
          <cell r="O35" t="str">
            <v/>
          </cell>
        </row>
        <row r="36">
          <cell r="B36">
            <v>0</v>
          </cell>
          <cell r="C36">
            <v>0</v>
          </cell>
          <cell r="O36" t="str">
            <v/>
          </cell>
        </row>
        <row r="37">
          <cell r="B37">
            <v>0</v>
          </cell>
          <cell r="C37">
            <v>0</v>
          </cell>
          <cell r="O37" t="str">
            <v/>
          </cell>
        </row>
        <row r="38">
          <cell r="B38">
            <v>0</v>
          </cell>
          <cell r="C38">
            <v>0</v>
          </cell>
          <cell r="O38" t="str">
            <v/>
          </cell>
        </row>
        <row r="39">
          <cell r="B39" t="str">
            <v>E206</v>
          </cell>
          <cell r="C39">
            <v>0</v>
          </cell>
          <cell r="O39" t="str">
            <v/>
          </cell>
        </row>
        <row r="40">
          <cell r="B40">
            <v>0</v>
          </cell>
          <cell r="C40">
            <v>0</v>
          </cell>
          <cell r="O40" t="str">
            <v/>
          </cell>
        </row>
        <row r="41">
          <cell r="B41">
            <v>0</v>
          </cell>
          <cell r="C41">
            <v>0</v>
          </cell>
          <cell r="O41" t="str">
            <v/>
          </cell>
        </row>
        <row r="42">
          <cell r="B42">
            <v>0</v>
          </cell>
          <cell r="C42">
            <v>0</v>
          </cell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>
            <v>0</v>
          </cell>
          <cell r="D15">
            <v>0</v>
          </cell>
        </row>
        <row r="16">
          <cell r="C16">
            <v>0</v>
          </cell>
          <cell r="D16">
            <v>0</v>
          </cell>
        </row>
        <row r="17">
          <cell r="C17">
            <v>0</v>
          </cell>
          <cell r="D17">
            <v>0</v>
          </cell>
        </row>
        <row r="18">
          <cell r="C18">
            <v>0</v>
          </cell>
          <cell r="D18">
            <v>0</v>
          </cell>
        </row>
        <row r="19">
          <cell r="C19">
            <v>0</v>
          </cell>
          <cell r="D19">
            <v>0</v>
          </cell>
        </row>
        <row r="20">
          <cell r="C20">
            <v>0</v>
          </cell>
          <cell r="D20">
            <v>0</v>
          </cell>
        </row>
        <row r="21">
          <cell r="C21">
            <v>0</v>
          </cell>
          <cell r="D21">
            <v>0</v>
          </cell>
        </row>
        <row r="22">
          <cell r="C22">
            <v>0</v>
          </cell>
          <cell r="D22">
            <v>0</v>
          </cell>
        </row>
        <row r="23">
          <cell r="C23">
            <v>0</v>
          </cell>
          <cell r="D23">
            <v>0</v>
          </cell>
        </row>
        <row r="24">
          <cell r="C24">
            <v>0</v>
          </cell>
          <cell r="D24">
            <v>0</v>
          </cell>
        </row>
        <row r="25">
          <cell r="C25">
            <v>0</v>
          </cell>
          <cell r="D25">
            <v>0</v>
          </cell>
        </row>
        <row r="26">
          <cell r="C26">
            <v>0</v>
          </cell>
          <cell r="D26">
            <v>0</v>
          </cell>
        </row>
        <row r="27">
          <cell r="C27">
            <v>0</v>
          </cell>
          <cell r="D27">
            <v>0</v>
          </cell>
        </row>
        <row r="28">
          <cell r="C28">
            <v>0</v>
          </cell>
          <cell r="D28">
            <v>0</v>
          </cell>
        </row>
        <row r="29">
          <cell r="C29">
            <v>0</v>
          </cell>
          <cell r="D29">
            <v>0</v>
          </cell>
        </row>
        <row r="30">
          <cell r="C30">
            <v>0</v>
          </cell>
          <cell r="D30">
            <v>0</v>
          </cell>
        </row>
        <row r="31">
          <cell r="C31">
            <v>0</v>
          </cell>
          <cell r="D31">
            <v>0</v>
          </cell>
        </row>
        <row r="32">
          <cell r="C32">
            <v>0</v>
          </cell>
          <cell r="D32">
            <v>0</v>
          </cell>
        </row>
        <row r="33">
          <cell r="C33">
            <v>0</v>
          </cell>
          <cell r="D33">
            <v>0</v>
          </cell>
        </row>
        <row r="34">
          <cell r="C34">
            <v>0</v>
          </cell>
          <cell r="D34">
            <v>0</v>
          </cell>
        </row>
        <row r="35">
          <cell r="C35">
            <v>0</v>
          </cell>
          <cell r="D35">
            <v>0</v>
          </cell>
        </row>
        <row r="36">
          <cell r="C36">
            <v>0</v>
          </cell>
          <cell r="D36">
            <v>0</v>
          </cell>
        </row>
        <row r="37">
          <cell r="C37">
            <v>0</v>
          </cell>
          <cell r="D37">
            <v>0</v>
          </cell>
        </row>
        <row r="38">
          <cell r="C38">
            <v>0</v>
          </cell>
          <cell r="D38">
            <v>0</v>
          </cell>
        </row>
        <row r="39">
          <cell r="C39">
            <v>0</v>
          </cell>
          <cell r="D39">
            <v>0</v>
          </cell>
        </row>
        <row r="40">
          <cell r="C40">
            <v>0</v>
          </cell>
          <cell r="D40">
            <v>0</v>
          </cell>
        </row>
        <row r="41">
          <cell r="C41">
            <v>0</v>
          </cell>
          <cell r="D41">
            <v>0</v>
          </cell>
        </row>
        <row r="42">
          <cell r="C42">
            <v>0</v>
          </cell>
          <cell r="D42">
            <v>0</v>
          </cell>
        </row>
        <row r="43">
          <cell r="C43">
            <v>0</v>
          </cell>
          <cell r="D43">
            <v>0</v>
          </cell>
        </row>
        <row r="44">
          <cell r="C44">
            <v>0</v>
          </cell>
          <cell r="D44">
            <v>0</v>
          </cell>
        </row>
        <row r="45">
          <cell r="C45">
            <v>0</v>
          </cell>
          <cell r="D45">
            <v>0</v>
          </cell>
        </row>
        <row r="46">
          <cell r="C46">
            <v>0</v>
          </cell>
          <cell r="D46">
            <v>0</v>
          </cell>
        </row>
        <row r="47">
          <cell r="C47">
            <v>0</v>
          </cell>
          <cell r="D47">
            <v>0</v>
          </cell>
        </row>
        <row r="48">
          <cell r="C48">
            <v>0</v>
          </cell>
          <cell r="D48">
            <v>0</v>
          </cell>
        </row>
        <row r="49">
          <cell r="C49">
            <v>0</v>
          </cell>
          <cell r="D49">
            <v>0</v>
          </cell>
        </row>
        <row r="50">
          <cell r="C50">
            <v>0</v>
          </cell>
          <cell r="D50">
            <v>0</v>
          </cell>
        </row>
        <row r="51">
          <cell r="C51">
            <v>0</v>
          </cell>
          <cell r="D51">
            <v>0</v>
          </cell>
        </row>
        <row r="52">
          <cell r="C52">
            <v>0</v>
          </cell>
          <cell r="D52">
            <v>0</v>
          </cell>
        </row>
        <row r="53">
          <cell r="C53">
            <v>0</v>
          </cell>
          <cell r="D53">
            <v>0</v>
          </cell>
        </row>
        <row r="54">
          <cell r="C54">
            <v>0</v>
          </cell>
          <cell r="D54">
            <v>0</v>
          </cell>
        </row>
        <row r="55">
          <cell r="C55">
            <v>0</v>
          </cell>
          <cell r="D55">
            <v>0</v>
          </cell>
        </row>
        <row r="56">
          <cell r="C56">
            <v>0</v>
          </cell>
          <cell r="D56">
            <v>0</v>
          </cell>
        </row>
        <row r="57">
          <cell r="C57">
            <v>0</v>
          </cell>
          <cell r="D57">
            <v>0</v>
          </cell>
        </row>
        <row r="58">
          <cell r="C58">
            <v>0</v>
          </cell>
          <cell r="D58">
            <v>0</v>
          </cell>
        </row>
        <row r="59">
          <cell r="C59">
            <v>0</v>
          </cell>
          <cell r="D59">
            <v>0</v>
          </cell>
        </row>
        <row r="60">
          <cell r="C60">
            <v>0</v>
          </cell>
          <cell r="D60">
            <v>0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3">
          <cell r="C63">
            <v>0</v>
          </cell>
          <cell r="D63">
            <v>0</v>
          </cell>
        </row>
        <row r="64">
          <cell r="C64">
            <v>0</v>
          </cell>
          <cell r="D64">
            <v>0</v>
          </cell>
        </row>
        <row r="65">
          <cell r="C65">
            <v>0</v>
          </cell>
          <cell r="D65">
            <v>0</v>
          </cell>
        </row>
        <row r="66">
          <cell r="C66">
            <v>0</v>
          </cell>
          <cell r="D66">
            <v>0</v>
          </cell>
        </row>
        <row r="67">
          <cell r="C67">
            <v>0</v>
          </cell>
          <cell r="D67">
            <v>0</v>
          </cell>
        </row>
        <row r="68">
          <cell r="C68">
            <v>0</v>
          </cell>
          <cell r="D68">
            <v>0</v>
          </cell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1"/>
  <sheetViews>
    <sheetView showGridLines="0" tabSelected="1" zoomScale="90" zoomScaleNormal="90" workbookViewId="0">
      <selection activeCell="C9" sqref="C9:C11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45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44" t="s">
        <v>22</v>
      </c>
      <c r="D3" s="144"/>
      <c r="E3" s="10" t="s">
        <v>1</v>
      </c>
      <c r="F3" s="50">
        <v>45950</v>
      </c>
      <c r="G3" s="10" t="s">
        <v>2</v>
      </c>
      <c r="H3" s="145">
        <f>DolarBlueVenta()</f>
        <v>1485</v>
      </c>
      <c r="I3" s="145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46" t="s">
        <v>24</v>
      </c>
      <c r="D5" s="146"/>
      <c r="E5" s="20" t="s">
        <v>5</v>
      </c>
      <c r="F5" s="74" t="s">
        <v>26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37"/>
      <c r="T5" s="137"/>
    </row>
    <row r="6" spans="1:20" ht="30" customHeight="1">
      <c r="A6" s="4"/>
      <c r="B6" s="19" t="s">
        <v>6</v>
      </c>
      <c r="C6" s="138" t="s">
        <v>25</v>
      </c>
      <c r="D6" s="138"/>
      <c r="E6" s="20" t="s">
        <v>7</v>
      </c>
      <c r="F6" s="75" t="s">
        <v>27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33</v>
      </c>
      <c r="D8" s="139" t="s">
        <v>9</v>
      </c>
      <c r="E8" s="139"/>
      <c r="F8" s="63" t="s">
        <v>10</v>
      </c>
      <c r="G8" s="46" t="s">
        <v>29</v>
      </c>
      <c r="H8" s="63" t="s">
        <v>11</v>
      </c>
      <c r="I8" s="46" t="s">
        <v>32</v>
      </c>
      <c r="J8" s="46" t="s">
        <v>12</v>
      </c>
      <c r="K8" s="139" t="s">
        <v>13</v>
      </c>
      <c r="L8" s="139"/>
      <c r="M8" s="28" t="s">
        <v>14</v>
      </c>
      <c r="N8" s="4"/>
      <c r="O8" s="4"/>
    </row>
    <row r="9" spans="1:20" ht="30" customHeight="1">
      <c r="A9" s="4"/>
      <c r="B9" s="126" t="s">
        <v>15</v>
      </c>
      <c r="C9" s="140" t="s">
        <v>16</v>
      </c>
      <c r="D9" s="142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BPB-056-ENG-2565-CHS</v>
      </c>
      <c r="E9" s="143"/>
      <c r="F9" s="110"/>
      <c r="G9" s="81" t="str">
        <f>IF(D9="","", IF(ISERROR(FIND("Seleccionar", D9)), "-", ""))</f>
        <v>-</v>
      </c>
      <c r="H9" s="56">
        <f>IFERROR(
  INDEX([6]Hoja1!$P:$P,
         MATCH($D9, [6]Hoja1!$A:$A, 0)),
"")</f>
        <v>4.4800000000000004</v>
      </c>
      <c r="I9" s="80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42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IDESP - Cotizado el 05/12/2025 a $ 1470,00</v>
      </c>
      <c r="L9" s="143"/>
      <c r="M9" s="65">
        <f>IF(H9=""," ",IFERROR(H9*I9,""))</f>
        <v>4.4800000000000004</v>
      </c>
      <c r="N9" s="4"/>
      <c r="O9" s="4"/>
    </row>
    <row r="10" spans="1:20" ht="30" customHeight="1">
      <c r="A10" s="4"/>
      <c r="B10" s="125"/>
      <c r="C10" s="141"/>
      <c r="D10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B&amp;P-048-AG-1235-B</v>
      </c>
      <c r="E10" s="151"/>
      <c r="F10" s="99"/>
      <c r="G10" s="73" t="str">
        <f t="shared" ref="G10" si="0">IF(D10="","", IF(ISERROR(FIND("Seleccionar", D10)), "-", ""))</f>
        <v>-</v>
      </c>
      <c r="H10" s="97">
        <f>IFERROR(
  INDEX([6]Hoja1!$P:$P,
         MATCH($D10, [6]Hoja1!$A:$A, 0)),
"")</f>
        <v>1.96</v>
      </c>
      <c r="I10" s="9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58" t="str">
        <f t="shared" ref="J10" si="1">IF(D10="","", IF(ISERROR(FIND("Seleccionar", D10)), "un / Pieza", ""))</f>
        <v>un / Pieza</v>
      </c>
      <c r="K10" s="149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14/10/2025 a $ 1375,00</v>
      </c>
      <c r="L10" s="150"/>
      <c r="M10" s="52">
        <f t="shared" ref="M10" si="2">IF(H10=""," ",IFERROR(H10*I10,""))</f>
        <v>1.96</v>
      </c>
      <c r="N10" s="4"/>
      <c r="O10" s="4"/>
    </row>
    <row r="11" spans="1:20" ht="30" customHeight="1">
      <c r="A11" s="4"/>
      <c r="B11" s="125"/>
      <c r="C11" s="141"/>
      <c r="D11" s="147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/>
      </c>
      <c r="E11" s="148"/>
      <c r="F11" s="99"/>
      <c r="G11" s="73" t="str">
        <f t="shared" ref="G11" si="3">IF(D11="","", IF(ISERROR(FIND("Seleccionar", D11)), "-", ""))</f>
        <v/>
      </c>
      <c r="H11" s="97" t="str">
        <f>IFERROR(
  INDEX([6]Hoja1!$P:$P,
         MATCH($D11, [6]Hoja1!$A:$A, 0)),
"")</f>
        <v/>
      </c>
      <c r="I11" s="76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/>
      </c>
      <c r="J11" s="58" t="str">
        <f t="shared" ref="J11" si="4">IF(D11="","", IF(ISERROR(FIND("Seleccionar", D11)), "un / Pieza", ""))</f>
        <v/>
      </c>
      <c r="K11" s="149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/>
      </c>
      <c r="L11" s="150"/>
      <c r="M11" s="52" t="str">
        <f t="shared" ref="M11" si="5">IF(H11=""," ",IFERROR(H11*I11,""))</f>
        <v xml:space="preserve"> </v>
      </c>
      <c r="N11" s="4"/>
      <c r="O11" s="4"/>
    </row>
    <row r="12" spans="1:20" ht="30" customHeight="1">
      <c r="A12" s="4"/>
      <c r="B12" s="54"/>
      <c r="C12" s="72"/>
      <c r="D12" s="105"/>
      <c r="E12" s="106"/>
      <c r="F12" s="72"/>
      <c r="G12" s="67"/>
      <c r="H12" s="68"/>
      <c r="I12" s="67"/>
      <c r="J12" s="69"/>
      <c r="K12" s="70"/>
      <c r="L12" s="71"/>
      <c r="M12" s="47"/>
      <c r="N12" s="4"/>
      <c r="O12" s="4"/>
    </row>
    <row r="13" spans="1:20" ht="30" customHeight="1">
      <c r="A13" s="4"/>
      <c r="B13" s="124" t="s">
        <v>42</v>
      </c>
      <c r="C13" s="99" t="s">
        <v>35</v>
      </c>
      <c r="D13" s="128"/>
      <c r="E13" s="129"/>
      <c r="F13" s="104"/>
      <c r="G13" s="73" t="str">
        <f>IF(D13="","","-")</f>
        <v/>
      </c>
      <c r="H13" s="108" t="str">
        <f>IF(D13="","",PromedioMultiSeleccion(D13,
[1]INDICE!$C$6:$C$100,
[1]INDICE!$D$6:$D$100))</f>
        <v/>
      </c>
      <c r="I13" s="98"/>
      <c r="J13" s="58" t="str">
        <f>IF(D13="",""," un / h ")</f>
        <v/>
      </c>
      <c r="K13" s="130"/>
      <c r="L13" s="130"/>
      <c r="M13" s="66" t="str">
        <f>IF(H13=""," ",IFERROR(H13/I13,""))</f>
        <v xml:space="preserve"> </v>
      </c>
      <c r="N13" s="4"/>
      <c r="O13" s="4"/>
    </row>
    <row r="14" spans="1:20" ht="30" customHeight="1">
      <c r="A14" s="4"/>
      <c r="B14" s="125"/>
      <c r="C14" s="62" t="s">
        <v>51</v>
      </c>
      <c r="D14" s="128"/>
      <c r="E14" s="129"/>
      <c r="F14" s="111" t="str">
        <f>IFERROR(
  INDEX('[1]INFO-INSUMOS'!$D$11:$EA$11,
         1,
         MATCH(D19, '[1]INFO-INSUMOS'!$D$12:$EA$12, 0)
  ),
  ""
)</f>
        <v/>
      </c>
      <c r="G14" s="73" t="str">
        <f>IFERROR(
  INDEX(
    '[1]INFO-INSUMOS'!$D$13:$EA$5000,
    MATCH($C$3, '[1]INFO-INSUMOS'!$B$13:$B$5000, 0),
    MATCH(D19, '[1]INFO-INSUMOS'!$D$12:$EA$12, 0)
  ),
  ""
)</f>
        <v/>
      </c>
      <c r="H14" s="103" t="str">
        <f>IF(D19="","",PromedioMultiSeleccion(D19,
'[1]INFO-INSUMOS'!$D$12:$EA$12,
'[1]INFO-INSUMOS'!$D$13:$EA$13))</f>
        <v/>
      </c>
      <c r="I14" s="76"/>
      <c r="J14" s="59" t="str">
        <f>IF(D14="",""," un / pieza ")</f>
        <v/>
      </c>
      <c r="K14" s="130"/>
      <c r="L14" s="130"/>
      <c r="M14" s="66" t="str">
        <f>IF(H14="","",IFERROR(H14/I14,""))</f>
        <v/>
      </c>
      <c r="N14" s="4"/>
      <c r="O14" s="4"/>
    </row>
    <row r="15" spans="1:20" ht="30" customHeight="1">
      <c r="A15" s="4"/>
      <c r="B15" s="54"/>
      <c r="C15" s="53"/>
      <c r="D15" s="105"/>
      <c r="E15" s="106"/>
      <c r="F15" s="72"/>
      <c r="G15" s="67"/>
      <c r="H15" s="67"/>
      <c r="I15" s="67"/>
      <c r="J15" s="77"/>
      <c r="K15" s="70"/>
      <c r="L15" s="71"/>
      <c r="M15" s="47"/>
      <c r="N15" s="4"/>
      <c r="O15" s="4"/>
    </row>
    <row r="16" spans="1:20" ht="30" customHeight="1">
      <c r="A16" s="4"/>
      <c r="B16" s="124" t="s">
        <v>34</v>
      </c>
      <c r="C16" s="62" t="s">
        <v>35</v>
      </c>
      <c r="D16" s="128" t="s">
        <v>56</v>
      </c>
      <c r="E16" s="129"/>
      <c r="F16" s="62"/>
      <c r="G16" s="48" t="str">
        <f t="shared" ref="G16:G19" si="6">IF(D16="","","-")</f>
        <v>-</v>
      </c>
      <c r="H16" s="108">
        <f>IF(D16="","",PromedioMultiSeleccion(D16,
 [2]INDICE!$C$6:$C$100,
 [2]INDICE!$D$6:$D$100))</f>
        <v>6.7661512063235154</v>
      </c>
      <c r="I16" s="40">
        <v>82</v>
      </c>
      <c r="J16" s="58" t="str">
        <f>IF(D16="",""," un / h ")</f>
        <v xml:space="preserve"> un / h </v>
      </c>
      <c r="K16" s="131"/>
      <c r="L16" s="131"/>
      <c r="M16" s="52">
        <f>IF(H16=""," ",IFERROR(H16/I16,""))</f>
        <v>8.2514039101506287E-2</v>
      </c>
      <c r="N16" s="4"/>
      <c r="O16" s="4"/>
    </row>
    <row r="17" spans="1:15" ht="30" customHeight="1">
      <c r="A17" s="4"/>
      <c r="B17" s="125"/>
      <c r="C17" s="62" t="s">
        <v>36</v>
      </c>
      <c r="D17" s="155" t="s">
        <v>54</v>
      </c>
      <c r="E17" s="156"/>
      <c r="F17" s="85"/>
      <c r="G17" s="73">
        <v>1100</v>
      </c>
      <c r="H17" s="90">
        <f>IF(D17="","",IFERROR(INDEX('[2]INFO-INSUMOS-P'!$G$9:$G$5000,MATCH(D17,'[2]INFO-INSUMOS-P'!$D$9:$D$5000,0)),""))</f>
        <v>16.084700000000002</v>
      </c>
      <c r="I17" s="91">
        <v>1</v>
      </c>
      <c r="J17" s="58" t="str">
        <f>IF(D17="",""," un / Pieza ")</f>
        <v xml:space="preserve"> un / Pieza </v>
      </c>
      <c r="K17" s="130"/>
      <c r="L17" s="130"/>
      <c r="M17" s="66">
        <f>IF(H17="","",IFERROR((H17/G17)*I17,""))</f>
        <v>1.4622454545454546E-2</v>
      </c>
      <c r="N17" s="4"/>
      <c r="O17" s="4"/>
    </row>
    <row r="18" spans="1:15" ht="30" customHeight="1">
      <c r="A18" s="4"/>
      <c r="B18" s="54"/>
      <c r="C18" s="53"/>
      <c r="D18" s="105"/>
      <c r="E18" s="106"/>
      <c r="F18" s="72"/>
      <c r="G18" s="67"/>
      <c r="H18" s="67"/>
      <c r="I18" s="67"/>
      <c r="J18" s="77"/>
      <c r="K18" s="70"/>
      <c r="L18" s="71"/>
      <c r="M18" s="47"/>
      <c r="N18" s="4"/>
      <c r="O18" s="4"/>
    </row>
    <row r="19" spans="1:15" ht="30" customHeight="1">
      <c r="A19" s="4"/>
      <c r="B19" s="124" t="s">
        <v>23</v>
      </c>
      <c r="C19" s="83" t="s">
        <v>37</v>
      </c>
      <c r="D19" s="135" t="s">
        <v>55</v>
      </c>
      <c r="E19" s="136"/>
      <c r="F19" s="83"/>
      <c r="G19" s="73" t="str">
        <f t="shared" si="6"/>
        <v>-</v>
      </c>
      <c r="H19" s="51">
        <f>IF(D19="","",PromedioMultiSeleccion(D19,
 [3]INDICE!$C$6:$C$100,
 [3]INDICE!$D$6:$D$100))</f>
        <v>7.5835692494651346</v>
      </c>
      <c r="I19" s="48">
        <v>320</v>
      </c>
      <c r="J19" s="58" t="str">
        <f>IF(D19="",""," un / h ")</f>
        <v xml:space="preserve"> un / h </v>
      </c>
      <c r="K19" s="84"/>
      <c r="L19" s="86"/>
      <c r="M19" s="52">
        <f>IF(H19="","",IFERROR(H19/I19,""))</f>
        <v>2.3698653904578544E-2</v>
      </c>
      <c r="N19" s="4"/>
      <c r="O19" s="4"/>
    </row>
    <row r="20" spans="1:15" ht="30" customHeight="1">
      <c r="A20" s="4"/>
      <c r="B20" s="125"/>
      <c r="C20" s="83" t="s">
        <v>46</v>
      </c>
      <c r="D20" s="99" t="str">
        <f>IF(C3="", " ↑ ", "Minorista")</f>
        <v>Minorista</v>
      </c>
      <c r="E20" s="107" t="str">
        <f>IF(C3="", "Seleccionar Pieza", "Costo de Embalaje")</f>
        <v>Costo de Embalaje</v>
      </c>
      <c r="F20" s="83" t="str">
        <f>IFERROR(INDEX('[3]INFO-E'!$C$10:$C$42,MATCH(E20,'[3]INFO-E'!$B$10:$B$42,0)),"")</f>
        <v/>
      </c>
      <c r="G20" s="73" t="str">
        <f>IF(ISERROR(FIND("Seleccionar", E20)), "-", "")</f>
        <v>-</v>
      </c>
      <c r="H20" s="51">
        <f>IFERROR(INDEX('[3]INFO-Embalaje'!$DB$13:$DB$349,MATCH($C$3,'[3]INFO-Embalaje'!$B$13:$B$349,0)),"")</f>
        <v>0.19204384705882352</v>
      </c>
      <c r="I20" s="48" t="str">
        <f>IF(H20="","","1")</f>
        <v>1</v>
      </c>
      <c r="J20" s="58" t="str">
        <f>IF(ISERROR(FIND("Seleccionar", E20)), "$ / h", "")</f>
        <v>$ / h</v>
      </c>
      <c r="K20" s="84"/>
      <c r="L20" s="86"/>
      <c r="M20" s="52">
        <f>IF(H20=""," ",IFERROR(H20*I20,""))</f>
        <v>0.19204384705882352</v>
      </c>
      <c r="N20" s="4"/>
      <c r="O20" s="4"/>
    </row>
    <row r="21" spans="1:15" ht="30" customHeight="1">
      <c r="A21" s="4"/>
      <c r="B21" s="134"/>
      <c r="C21" s="83" t="s">
        <v>47</v>
      </c>
      <c r="D21" s="99" t="str">
        <f>IF(C3="", " ↑ ", "Mayorista")</f>
        <v>Mayorista</v>
      </c>
      <c r="E21" s="107" t="str">
        <f>IF(C3="", "Seleccionar Pieza", "Costo de Embalaje")</f>
        <v>Costo de Embalaje</v>
      </c>
      <c r="F21" s="83" t="str">
        <f>IFERROR(INDEX('[3]INFO-E'!$C$10:$C$42,MATCH(E21,'[3]INFO-E'!$B$10:$B$42,0)),"")</f>
        <v/>
      </c>
      <c r="G21" s="73" t="str">
        <f>IF(ISERROR(FIND("Seleccionar", E21)), "-", "")</f>
        <v>-</v>
      </c>
      <c r="H21" s="51">
        <f>IFERROR(INDEX('[3]INFO-Embalaje'!$DC$13:$DC$349,MATCH($C$3,'[3]INFO-Embalaje'!$B$13:$B$349,0)),"")</f>
        <v>0.22010517055048967</v>
      </c>
      <c r="I21" s="48" t="str">
        <f>IF(H21="","","1")</f>
        <v>1</v>
      </c>
      <c r="J21" s="58" t="str">
        <f>IF(ISERROR(FIND("Seleccionar", E21)), "$ / h", "")</f>
        <v>$ / h</v>
      </c>
      <c r="K21" s="84"/>
      <c r="L21" s="86"/>
      <c r="M21" s="52">
        <f>IF(H21=""," ",IFERROR(H21*I21,""))</f>
        <v>0.22010517055048967</v>
      </c>
      <c r="N21" s="4"/>
      <c r="O21" s="4"/>
    </row>
    <row r="22" spans="1:15" ht="30" customHeight="1">
      <c r="A22" s="4"/>
      <c r="B22" s="92"/>
      <c r="C22" s="53"/>
      <c r="D22" s="132"/>
      <c r="E22" s="133"/>
      <c r="F22" s="72"/>
      <c r="G22" s="67"/>
      <c r="H22" s="67"/>
      <c r="I22" s="67"/>
      <c r="J22" s="77"/>
      <c r="K22" s="132"/>
      <c r="L22" s="133"/>
      <c r="M22" s="47"/>
      <c r="N22" s="4"/>
      <c r="O22" s="4"/>
    </row>
    <row r="23" spans="1:15" ht="30" customHeight="1">
      <c r="A23" s="4"/>
      <c r="B23" s="102" t="s">
        <v>48</v>
      </c>
      <c r="C23" s="60" t="s">
        <v>37</v>
      </c>
      <c r="D23" s="127"/>
      <c r="E23" s="127"/>
      <c r="F23" s="62"/>
      <c r="G23" s="48" t="str">
        <f>IF(D23="","","-")</f>
        <v/>
      </c>
      <c r="H23" s="51" t="str">
        <f>IF(D23="","",PromedioMultiSeleccion(D23,
 [7]INDICE!$C$6:$C$100,
 [7]INDICE!$D$6:$D$100))</f>
        <v/>
      </c>
      <c r="I23" s="40"/>
      <c r="J23" s="58" t="str">
        <f>IF(D23="",""," u / h ")</f>
        <v/>
      </c>
      <c r="K23" s="131"/>
      <c r="L23" s="131"/>
      <c r="M23" s="52" t="str">
        <f>IF(H23=""," ",IFERROR(H23/I23,""))</f>
        <v xml:space="preserve"> </v>
      </c>
      <c r="N23" s="4"/>
      <c r="O23" s="4"/>
    </row>
    <row r="24" spans="1:15" ht="30" customHeight="1">
      <c r="A24" s="4"/>
      <c r="B24" s="92"/>
      <c r="C24" s="53"/>
      <c r="D24" s="132"/>
      <c r="E24" s="133"/>
      <c r="F24" s="72"/>
      <c r="G24" s="67"/>
      <c r="H24" s="67"/>
      <c r="I24" s="67"/>
      <c r="J24" s="77"/>
      <c r="K24" s="132"/>
      <c r="L24" s="133"/>
      <c r="M24" s="47"/>
      <c r="N24" s="4"/>
      <c r="O24" s="4"/>
    </row>
    <row r="25" spans="1:15" ht="30" customHeight="1">
      <c r="A25" s="4"/>
      <c r="B25" s="102" t="s">
        <v>43</v>
      </c>
      <c r="C25" s="60" t="s">
        <v>37</v>
      </c>
      <c r="D25" s="127"/>
      <c r="E25" s="127"/>
      <c r="F25" s="99"/>
      <c r="G25" s="48" t="str">
        <f t="shared" ref="G25" si="7">IF(D25="","","-")</f>
        <v/>
      </c>
      <c r="H25" s="41"/>
      <c r="I25" s="40"/>
      <c r="J25" s="58" t="str">
        <f>IF(D25="",""," u ")</f>
        <v/>
      </c>
      <c r="K25" s="131"/>
      <c r="L25" s="131"/>
      <c r="M25" s="52" t="str">
        <f>IF(H25=""," ",IFERROR(H25*I25,""))</f>
        <v xml:space="preserve"> </v>
      </c>
      <c r="N25" s="4"/>
      <c r="O25" s="4"/>
    </row>
    <row r="26" spans="1:15" ht="30" customHeight="1">
      <c r="A26" s="4"/>
      <c r="B26" s="92"/>
      <c r="C26" s="72"/>
      <c r="D26" s="132"/>
      <c r="E26" s="133"/>
      <c r="F26" s="72"/>
      <c r="G26" s="67"/>
      <c r="H26" s="67"/>
      <c r="I26" s="67"/>
      <c r="J26" s="77"/>
      <c r="K26" s="157"/>
      <c r="L26" s="158"/>
      <c r="M26" s="89"/>
      <c r="N26" s="4"/>
      <c r="O26" s="4"/>
    </row>
    <row r="27" spans="1:15" ht="30" customHeight="1">
      <c r="A27" s="4"/>
      <c r="B27" s="119" t="s">
        <v>59</v>
      </c>
      <c r="C27" s="116" t="s">
        <v>16</v>
      </c>
      <c r="D27" s="160" t="str">
        <f>IF(C3="", "Seleccionar Pieza ↑", "Monto asumido de " &amp; C3)</f>
        <v>Monto asumido de AG-2565-CHS</v>
      </c>
      <c r="E27" s="161"/>
      <c r="F27" s="109" t="s">
        <v>53</v>
      </c>
      <c r="G27" s="73" t="str">
        <f>IF(ISERROR(FIND("Seleccionar", D27)), "-", "")</f>
        <v>-</v>
      </c>
      <c r="H27" s="120">
        <f>IF(F29="NAC",
    IFERROR(INDEX([8]NAC!$AU$6:$AU$1838,
                    MATCH(C3,[8]NAC!$A$6:$A$1838,0)),
             ""),
IF(F29="IMP",
    IFERROR(INDEX([8]IMP!$AU$6:$AU$1838,
                    MATCH(C3,[8]IMP!$A$6:$A$1838,0)),
             ""),
""))</f>
        <v>1.5559967774639469</v>
      </c>
      <c r="I27" s="48" t="str">
        <f>IF(H27="","","1")</f>
        <v>1</v>
      </c>
      <c r="J27" s="58" t="str">
        <f>IF(ISERROR(FIND("Seleccionar", D27)), "$ / u", "")</f>
        <v>$ / u</v>
      </c>
      <c r="K27" s="117"/>
      <c r="L27" s="118"/>
      <c r="M27" s="52">
        <f>IF(H27=""," ",IFERROR(H27*I27,""))</f>
        <v>1.5559967774639469</v>
      </c>
      <c r="N27" s="4"/>
      <c r="O27" s="4"/>
    </row>
    <row r="28" spans="1:15" ht="30" customHeight="1">
      <c r="A28" s="4"/>
      <c r="B28" s="92"/>
      <c r="C28" s="72"/>
      <c r="D28" s="114"/>
      <c r="E28" s="115"/>
      <c r="F28" s="72"/>
      <c r="G28" s="67"/>
      <c r="H28" s="67"/>
      <c r="I28" s="67"/>
      <c r="J28" s="77"/>
      <c r="K28" s="112"/>
      <c r="L28" s="113"/>
      <c r="M28" s="89"/>
      <c r="N28" s="4"/>
      <c r="O28" s="4"/>
    </row>
    <row r="29" spans="1:15" ht="30" customHeight="1">
      <c r="A29" s="4"/>
      <c r="B29" s="82" t="s">
        <v>50</v>
      </c>
      <c r="C29" s="62" t="s">
        <v>16</v>
      </c>
      <c r="D29" s="149" t="str">
        <f>IF(C3="", "Seleccionar Pieza ↑", "Monto asumido de " &amp; C3)</f>
        <v>Monto asumido de AG-2565-CHS</v>
      </c>
      <c r="E29" s="150"/>
      <c r="F29" s="109" t="s">
        <v>53</v>
      </c>
      <c r="G29" s="73" t="str">
        <f>IF(ISERROR(FIND("Seleccionar", D29)), "-", "")</f>
        <v>-</v>
      </c>
      <c r="H29" s="78">
        <f>IF(F29="NAC",
    IFERROR(INDEX([8]NAC!$AS$6:$AS$1838,
                    MATCH(C3,[8]NAC!$A$6:$A$1838,0)),
             ""),
IF(F29="IMP",
    IFERROR(INDEX([8]IMP!$AS$6:$AS$1838,
                    MATCH(C3,[8]IMP!$A$6:$A$1838,0)),
             ""),
""))</f>
        <v>10.7840462559226</v>
      </c>
      <c r="I29" s="48" t="str">
        <f>IF(H29="","","1")</f>
        <v>1</v>
      </c>
      <c r="J29" s="58" t="str">
        <f>IF(ISERROR(FIND("Seleccionar", D29)), "$ / u", "")</f>
        <v>$ / u</v>
      </c>
      <c r="K29" s="131"/>
      <c r="L29" s="131"/>
      <c r="M29" s="52">
        <f>IF(H29=""," ",IFERROR(H29*I29,""))</f>
        <v>10.7840462559226</v>
      </c>
      <c r="N29" s="4"/>
      <c r="O29" s="4"/>
    </row>
    <row r="30" spans="1:15" ht="30" customHeight="1" thickBot="1">
      <c r="A30" s="4"/>
      <c r="B30" s="29"/>
      <c r="C30" s="30"/>
      <c r="D30" s="30"/>
      <c r="E30" s="30"/>
      <c r="F30" s="30"/>
      <c r="G30" s="24"/>
      <c r="H30" s="79"/>
      <c r="I30" s="24"/>
      <c r="J30" s="24"/>
      <c r="K30" s="30"/>
      <c r="L30" s="30"/>
      <c r="M30" s="31"/>
      <c r="N30" s="4"/>
      <c r="O30" s="4"/>
    </row>
    <row r="31" spans="1:15" ht="30" customHeight="1" thickBot="1">
      <c r="A31" s="4"/>
      <c r="B31" s="29"/>
      <c r="C31" s="64"/>
      <c r="D31" s="30"/>
      <c r="E31" s="30"/>
      <c r="F31" s="30"/>
      <c r="G31" s="24"/>
      <c r="H31" s="24"/>
      <c r="I31" s="24"/>
      <c r="J31" s="24"/>
      <c r="K31" s="64"/>
      <c r="L31" s="49" t="s">
        <v>30</v>
      </c>
      <c r="M31" s="49" t="s">
        <v>31</v>
      </c>
      <c r="N31" s="4"/>
      <c r="O31" s="4"/>
    </row>
    <row r="32" spans="1:15" ht="30" customHeight="1" thickBot="1">
      <c r="A32" s="4"/>
      <c r="B32" s="29"/>
      <c r="C32" s="64"/>
      <c r="D32" s="30"/>
      <c r="E32" s="30"/>
      <c r="F32" s="64"/>
      <c r="G32" s="24"/>
      <c r="H32" s="24"/>
      <c r="I32" s="21"/>
      <c r="J32" s="21"/>
      <c r="K32" s="32" t="s">
        <v>17</v>
      </c>
      <c r="L32" s="42">
        <f t="array" aca="1" ref="L32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6.44</v>
      </c>
      <c r="M32" s="42">
        <f t="array" aca="1" ref="M32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6.44</v>
      </c>
      <c r="N32" s="4"/>
      <c r="O32" s="4"/>
    </row>
    <row r="33" spans="1:15" ht="30" customHeight="1" thickBot="1">
      <c r="A33" s="4"/>
      <c r="B33" s="23"/>
      <c r="C33" s="24"/>
      <c r="D33" s="24"/>
      <c r="E33" s="159"/>
      <c r="F33" s="159"/>
      <c r="G33" s="21"/>
      <c r="H33" s="21"/>
      <c r="I33" s="21"/>
      <c r="J33" s="21"/>
      <c r="K33" s="33" t="s">
        <v>18</v>
      </c>
      <c r="L33" s="43">
        <f t="array" aca="1" ref="L33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9.7136493646960836E-2</v>
      </c>
      <c r="M33" s="43">
        <f t="array" aca="1" ref="M33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9.7136493646960836E-2</v>
      </c>
      <c r="N33" s="4"/>
      <c r="O33" s="4"/>
    </row>
    <row r="34" spans="1:15" ht="30" customHeight="1" thickBot="1">
      <c r="A34" s="88"/>
      <c r="B34" s="23"/>
      <c r="I34" s="4"/>
      <c r="J34" s="26"/>
      <c r="K34" s="33" t="s">
        <v>20</v>
      </c>
      <c r="L34" s="44">
        <f ca="1">L32+L33</f>
        <v>6.5371364936469609</v>
      </c>
      <c r="M34" s="44">
        <f ca="1">M32+M33</f>
        <v>6.5371364936469609</v>
      </c>
      <c r="N34" s="4"/>
      <c r="O34" s="4"/>
    </row>
    <row r="35" spans="1:15" ht="30" customHeight="1" thickBot="1">
      <c r="A35" s="4"/>
      <c r="B35" s="34" t="s">
        <v>28</v>
      </c>
      <c r="C35" s="152"/>
      <c r="D35" s="152"/>
      <c r="E35" s="35" t="s">
        <v>19</v>
      </c>
      <c r="F35" s="153"/>
      <c r="G35" s="153"/>
      <c r="H35" s="153"/>
      <c r="I35" s="26"/>
      <c r="J35" s="26"/>
      <c r="K35" s="87" t="s">
        <v>58</v>
      </c>
      <c r="L35" s="42">
        <f t="array" aca="1" ref="L35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1.5559967774639469</v>
      </c>
      <c r="M35" s="42">
        <f t="array" aca="1" ref="M35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11.027850080377668</v>
      </c>
      <c r="N35" s="4"/>
      <c r="O35" s="4"/>
    </row>
    <row r="36" spans="1:15" ht="30" customHeight="1" thickBot="1">
      <c r="A36" s="4"/>
      <c r="B36" s="34"/>
      <c r="C36" s="121"/>
      <c r="D36" s="121"/>
      <c r="E36" s="35"/>
      <c r="F36" s="122"/>
      <c r="G36" s="122"/>
      <c r="H36" s="122"/>
      <c r="I36" s="26"/>
      <c r="J36" s="26"/>
      <c r="K36" s="87" t="s">
        <v>44</v>
      </c>
      <c r="L36" s="45">
        <f t="array" aca="1" ref="L36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36" s="45">
        <f t="array" aca="1" ref="M36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1.5559967774639469</v>
      </c>
      <c r="N36" s="4"/>
      <c r="O36" s="4"/>
    </row>
    <row r="37" spans="1:15" ht="30" customHeight="1" thickBot="1">
      <c r="A37" s="4"/>
      <c r="B37" s="34"/>
      <c r="C37" s="26"/>
      <c r="D37" s="26"/>
      <c r="E37" s="26"/>
      <c r="F37" s="35"/>
      <c r="G37" s="26"/>
      <c r="H37" s="26"/>
      <c r="I37" s="26"/>
      <c r="J37" s="26"/>
      <c r="K37" s="33" t="s">
        <v>60</v>
      </c>
      <c r="L37" s="45">
        <f ca="1">IFERROR(SUM(L34:L36),"")</f>
        <v>8.0931332711109079</v>
      </c>
      <c r="M37" s="45">
        <f t="array" aca="1" ref="M37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37" s="4"/>
      <c r="O37" s="4"/>
    </row>
    <row r="38" spans="1:15" ht="30" customHeight="1" thickBot="1">
      <c r="A38" s="4"/>
      <c r="B38" s="34"/>
      <c r="C38" s="26"/>
      <c r="D38" s="26"/>
      <c r="E38" s="26"/>
      <c r="F38" s="35"/>
      <c r="G38" s="26"/>
      <c r="H38" s="26"/>
      <c r="I38" s="26"/>
      <c r="J38" s="26"/>
      <c r="K38" s="87" t="s">
        <v>21</v>
      </c>
      <c r="L38" s="45">
        <f t="array" aca="1" ref="L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10.999788756886002</v>
      </c>
      <c r="M38" s="45">
        <f t="array" aca="1" ref="M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M37 + M36 + M34
    ),
""
)</f>
        <v>8.3369370955659754</v>
      </c>
      <c r="N38" s="4"/>
      <c r="O38" s="4"/>
    </row>
    <row r="39" spans="1:15" ht="28.5" customHeight="1" thickBot="1">
      <c r="A39" s="4"/>
      <c r="B39" s="36"/>
      <c r="C39" s="61"/>
      <c r="D39" s="61"/>
      <c r="E39" s="61"/>
      <c r="F39" s="61"/>
      <c r="G39" s="154"/>
      <c r="H39" s="154"/>
      <c r="I39" s="154"/>
      <c r="J39" s="61"/>
      <c r="K39" s="123" t="s">
        <v>61</v>
      </c>
      <c r="L39" s="45">
        <f ca="1">IFERROR(SUM(L34:L36,L38),"")</f>
        <v>19.092922027996909</v>
      </c>
      <c r="M39" s="45">
        <f ca="1">IFERROR(SUM(M34:M37),"")</f>
        <v>19.120983351488576</v>
      </c>
      <c r="N39" s="4"/>
      <c r="O39" s="4"/>
    </row>
    <row r="40" spans="1:15" ht="30" customHeight="1">
      <c r="A40" s="4"/>
      <c r="B40" s="37"/>
      <c r="C40" s="37"/>
      <c r="D40" s="37"/>
      <c r="E40" s="38"/>
      <c r="F40" s="38"/>
      <c r="G40" s="38"/>
      <c r="H40" s="38"/>
      <c r="I40" s="38"/>
      <c r="J40" s="38"/>
      <c r="K40" s="38"/>
      <c r="L40" s="39"/>
      <c r="M40" s="4"/>
      <c r="N40" s="4"/>
      <c r="O40" s="4"/>
    </row>
    <row r="41" spans="1:15" ht="30" customHeight="1">
      <c r="B41" s="2"/>
    </row>
    <row r="42" spans="1:15" ht="30" customHeight="1">
      <c r="B42" s="2"/>
    </row>
    <row r="43" spans="1:15" ht="30" customHeight="1">
      <c r="B43" s="2"/>
      <c r="C43" s="2"/>
      <c r="D43" s="2"/>
    </row>
    <row r="44" spans="1:15" ht="30" customHeight="1">
      <c r="B44" s="2"/>
      <c r="C44" s="2"/>
      <c r="D44" s="2"/>
      <c r="M44" t="str">
        <f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/>
      </c>
    </row>
    <row r="45" spans="1:15" ht="30" customHeight="1">
      <c r="B45" s="2"/>
      <c r="C45" s="2"/>
      <c r="D45" s="2"/>
      <c r="M45" t="str">
        <f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/>
      </c>
    </row>
    <row r="46" spans="1:15" ht="30" customHeight="1">
      <c r="B46" s="2"/>
      <c r="C46" s="2"/>
      <c r="D46" s="2"/>
      <c r="M46" t="str">
        <f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/>
      </c>
    </row>
    <row r="47" spans="1:15" ht="30" customHeight="1">
      <c r="B47" s="2"/>
      <c r="C47" s="2"/>
      <c r="D47" s="2"/>
      <c r="I47" s="87"/>
      <c r="J47" t="str">
        <f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L37 + L36 + L34
    ),
""
)</f>
        <v/>
      </c>
      <c r="M47" t="str">
        <f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M37 + M36 + M34
    ),
""
)</f>
        <v/>
      </c>
    </row>
    <row r="48" spans="1:15" ht="30" customHeight="1">
      <c r="B48" s="2"/>
      <c r="C48" s="2"/>
      <c r="D48" s="2"/>
    </row>
    <row r="51" spans="3:4" ht="30" customHeight="1">
      <c r="C51" s="3"/>
      <c r="D51" s="3"/>
    </row>
  </sheetData>
  <sheetProtection selectLockedCells="1"/>
  <mergeCells count="44">
    <mergeCell ref="K26:L26"/>
    <mergeCell ref="D29:E29"/>
    <mergeCell ref="K29:L29"/>
    <mergeCell ref="E33:F33"/>
    <mergeCell ref="K17:L17"/>
    <mergeCell ref="D27:E27"/>
    <mergeCell ref="C35:D35"/>
    <mergeCell ref="F35:H35"/>
    <mergeCell ref="G39:I39"/>
    <mergeCell ref="D17:E17"/>
    <mergeCell ref="D26:E26"/>
    <mergeCell ref="D22:E22"/>
    <mergeCell ref="D24:E24"/>
    <mergeCell ref="D23:E23"/>
    <mergeCell ref="C3:D3"/>
    <mergeCell ref="H3:I3"/>
    <mergeCell ref="C5:D5"/>
    <mergeCell ref="D11:E11"/>
    <mergeCell ref="K11:L11"/>
    <mergeCell ref="D10:E10"/>
    <mergeCell ref="K10:L10"/>
    <mergeCell ref="S5:T5"/>
    <mergeCell ref="C6:D6"/>
    <mergeCell ref="D8:E8"/>
    <mergeCell ref="K8:L8"/>
    <mergeCell ref="C9:C11"/>
    <mergeCell ref="D9:E9"/>
    <mergeCell ref="K9:L9"/>
    <mergeCell ref="B16:B17"/>
    <mergeCell ref="B9:B11"/>
    <mergeCell ref="D25:E25"/>
    <mergeCell ref="D13:E13"/>
    <mergeCell ref="K13:L13"/>
    <mergeCell ref="K23:L23"/>
    <mergeCell ref="K25:L25"/>
    <mergeCell ref="K24:L24"/>
    <mergeCell ref="K22:L22"/>
    <mergeCell ref="B19:B21"/>
    <mergeCell ref="D19:E19"/>
    <mergeCell ref="B13:B14"/>
    <mergeCell ref="D16:E16"/>
    <mergeCell ref="K16:L16"/>
    <mergeCell ref="D14:E14"/>
    <mergeCell ref="K14:L14"/>
  </mergeCells>
  <conditionalFormatting sqref="H14 H9:H11">
    <cfRule type="expression" priority="255">
      <formula>D9&lt;&gt;""</formula>
    </cfRule>
  </conditionalFormatting>
  <conditionalFormatting sqref="I16 I19">
    <cfRule type="expression" dxfId="4" priority="128" stopIfTrue="1">
      <formula>D16&lt;&gt;""</formula>
    </cfRule>
  </conditionalFormatting>
  <conditionalFormatting sqref="I14">
    <cfRule type="cellIs" dxfId="3" priority="125" operator="equal">
      <formula>D14="Seleccionar Maquinaria"</formula>
    </cfRule>
  </conditionalFormatting>
  <conditionalFormatting sqref="H12">
    <cfRule type="expression" priority="72">
      <formula>D12&lt;&gt;""</formula>
    </cfRule>
  </conditionalFormatting>
  <conditionalFormatting sqref="H13">
    <cfRule type="expression" priority="6">
      <formula>D13&lt;&gt;""</formula>
    </cfRule>
  </conditionalFormatting>
  <conditionalFormatting sqref="I13">
    <cfRule type="cellIs" dxfId="2" priority="4" operator="equal">
      <formula>D13="Seleccionar Maquinaria"</formula>
    </cfRule>
  </conditionalFormatting>
  <conditionalFormatting sqref="H16">
    <cfRule type="expression" priority="3">
      <formula>D16&lt;&gt;""</formula>
    </cfRule>
  </conditionalFormatting>
  <dataValidations disablePrompts="1" count="7">
    <dataValidation type="list" allowBlank="1" showInputMessage="1" showErrorMessage="1" sqref="D16:E16">
      <formula1>Ensamble_Auxiliar</formula1>
    </dataValidation>
    <dataValidation type="list" allowBlank="1" showInputMessage="1" showErrorMessage="1" sqref="D19">
      <formula1>Embalaje_Auxiliar</formula1>
    </dataValidation>
    <dataValidation type="list" allowBlank="1" showInputMessage="1" showErrorMessage="1" sqref="D23:E23">
      <formula1>Deposito_Auxiliar</formula1>
    </dataValidation>
    <dataValidation type="list" allowBlank="1" showInputMessage="1" showErrorMessage="1" sqref="D13:E13">
      <formula1>Produccion_Auxiliar</formula1>
    </dataValidation>
    <dataValidation type="list" allowBlank="1" showInputMessage="1" showErrorMessage="1" sqref="D17:E17">
      <formula1>INFO_INSUMO_P_ENSAMBLE</formula1>
    </dataValidation>
    <dataValidation type="list" allowBlank="1" showInputMessage="1" showErrorMessage="1" sqref="F29 F27">
      <formula1>NACIMP</formula1>
    </dataValidation>
    <dataValidation type="list" allowBlank="1" showInputMessage="1" showErrorMessage="1" sqref="D14:E14">
      <formula1>Fresas_Auxiliar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33</xdr:row>
                    <xdr:rowOff>333375</xdr:rowOff>
                  </from>
                  <to>
                    <xdr:col>1</xdr:col>
                    <xdr:colOff>1762125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29</xdr:row>
                    <xdr:rowOff>95250</xdr:rowOff>
                  </from>
                  <to>
                    <xdr:col>1</xdr:col>
                    <xdr:colOff>1609725</xdr:colOff>
                    <xdr:row>30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" operator="containsText" id="{8A1B9D62-BEF4-418B-B3B2-5C22BC43EF13}">
            <xm:f>NOT(ISERROR(SEARCH(D14="Insumos",I14)))</xm:f>
            <xm:f>D14="Insumos"</xm:f>
            <x14:dxf>
              <fill>
                <patternFill>
                  <bgColor theme="4" tint="0.7999816888943144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ontainsText" priority="5" operator="containsText" id="{AB2EC109-C368-46A3-903A-8A731013A443}">
            <xm:f>NOT(ISERROR(SEARCH(D13="Insumos",I13)))</xm:f>
            <xm:f>D13="Insumos"</xm:f>
            <x14:dxf>
              <fill>
                <patternFill>
                  <bgColor theme="4" tint="0.79998168889431442"/>
                </patternFill>
              </fill>
            </x14:dxf>
          </x14:cfRule>
          <xm:sqref>I13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3" t="s">
        <v>49</v>
      </c>
      <c r="C1" s="163"/>
      <c r="D1" s="163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0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52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53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01"/>
      <c r="CA75" s="101"/>
    </row>
    <row r="76" spans="1:79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  <c r="BA76" s="101"/>
      <c r="BB76" s="101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</row>
    <row r="78" spans="1:79">
      <c r="A78" s="162" t="s">
        <v>38</v>
      </c>
      <c r="B78" s="162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2" t="s">
        <v>39</v>
      </c>
      <c r="B82" s="162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2" t="s">
        <v>40</v>
      </c>
      <c r="B86" s="162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2" t="s">
        <v>41</v>
      </c>
      <c r="B90" s="162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2" t="s">
        <v>57</v>
      </c>
      <c r="B94" s="162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2026-04-17T16:26:23Z</dcterms:modified>
</cp:coreProperties>
</file>